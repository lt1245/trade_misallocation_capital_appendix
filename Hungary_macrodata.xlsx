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bpu063010\Downloads\replication_package\Data\"/>
    </mc:Choice>
  </mc:AlternateContent>
  <xr:revisionPtr revIDLastSave="0" documentId="13_ncr:1_{6F5397CC-F30F-4290-95E5-D3DDF04F3986}" xr6:coauthVersionLast="47" xr6:coauthVersionMax="47" xr10:uidLastSave="{00000000-0000-0000-0000-000000000000}"/>
  <bookViews>
    <workbookView xWindow="28680" yWindow="-120" windowWidth="29040" windowHeight="15720" firstSheet="3" activeTab="9" xr2:uid="{00000000-000D-0000-FFFF-FFFF00000000}"/>
  </bookViews>
  <sheets>
    <sheet name="Partner1992" sheetId="2" r:id="rId1"/>
    <sheet name="Partner2001" sheetId="4" r:id="rId2"/>
    <sheet name="Partner2008" sheetId="5" r:id="rId3"/>
    <sheet name="EUshare" sheetId="3" r:id="rId4"/>
    <sheet name="Import_tariff_EU" sheetId="11" r:id="rId5"/>
    <sheet name="Importshares" sheetId="7" r:id="rId6"/>
    <sheet name="Foregin credit to NFC" sheetId="8" r:id="rId7"/>
    <sheet name="Real exchange rate" sheetId="24" r:id="rId8"/>
    <sheet name="Hungary Macro-facts" sheetId="13" r:id="rId9"/>
    <sheet name="Hungary Imports" sheetId="12" r:id="rId10"/>
    <sheet name="Hungary TFP" sheetId="14" r:id="rId11"/>
    <sheet name="Hungary Consumption" sheetId="15" r:id="rId12"/>
    <sheet name="Hungary Capital" sheetId="17" r:id="rId13"/>
    <sheet name="Lending rate raw" sheetId="22" r:id="rId14"/>
    <sheet name="GDP deflator" sheetId="23" r:id="rId15"/>
    <sheet name=" Lending rate" sheetId="19" r:id="rId16"/>
    <sheet name="Inflation" sheetId="20" r:id="rId17"/>
    <sheet name="Hungary Real Corporate rate" sheetId="21" r:id="rId18"/>
  </sheets>
  <definedNames>
    <definedName name="ExternalData_1" localSheetId="14" hidden="1">'GDP deflator'!$A$1:$BR$271</definedName>
    <definedName name="ExternalData_1" localSheetId="13" hidden="1">'Lending rate raw'!$A$1:$BR$272</definedName>
    <definedName name="ExternalData_2" localSheetId="4" hidden="1">Import_tariff_EU!$A$1:$V$31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8" l="1"/>
  <c r="G88" i="8"/>
  <c r="G89" i="8"/>
  <c r="G90" i="8"/>
  <c r="G93" i="8"/>
  <c r="G95" i="8"/>
  <c r="H95" i="8" s="1"/>
  <c r="G104" i="8"/>
  <c r="G109" i="8"/>
  <c r="H109" i="8" s="1"/>
  <c r="G117" i="8"/>
  <c r="G119" i="8"/>
  <c r="G121" i="8"/>
  <c r="G123" i="8"/>
  <c r="H123" i="8" s="1"/>
  <c r="G124" i="8"/>
  <c r="G137" i="8"/>
  <c r="H137" i="8" s="1"/>
  <c r="G138" i="8"/>
  <c r="G147" i="8"/>
  <c r="G149" i="8"/>
  <c r="G151" i="8"/>
  <c r="G159" i="8"/>
  <c r="G160" i="8"/>
  <c r="G165" i="8"/>
  <c r="H165" i="8" s="1"/>
  <c r="G173" i="8"/>
  <c r="G177" i="8"/>
  <c r="G178" i="8"/>
  <c r="G180" i="8"/>
  <c r="G187" i="8"/>
  <c r="G201" i="8"/>
  <c r="G203" i="8"/>
  <c r="G204" i="8"/>
  <c r="G205" i="8"/>
  <c r="G206" i="8"/>
  <c r="G215" i="8"/>
  <c r="G216" i="8"/>
  <c r="G4" i="8"/>
  <c r="H4" i="8" s="1"/>
  <c r="G5" i="8"/>
  <c r="G6" i="8"/>
  <c r="H6" i="8" s="1"/>
  <c r="G7" i="8"/>
  <c r="G8" i="8"/>
  <c r="G9" i="8"/>
  <c r="H9" i="8" s="1"/>
  <c r="G10" i="8"/>
  <c r="H10" i="8" s="1"/>
  <c r="G11" i="8"/>
  <c r="H11" i="8" s="1"/>
  <c r="G12" i="8"/>
  <c r="H12" i="8" s="1"/>
  <c r="G13" i="8"/>
  <c r="H13" i="8" s="1"/>
  <c r="G14" i="8"/>
  <c r="H14" i="8" s="1"/>
  <c r="G15" i="8"/>
  <c r="G16" i="8"/>
  <c r="G17" i="8"/>
  <c r="H17" i="8" s="1"/>
  <c r="G18" i="8"/>
  <c r="H18" i="8" s="1"/>
  <c r="G19" i="8"/>
  <c r="H19" i="8" s="1"/>
  <c r="G20" i="8"/>
  <c r="G21" i="8"/>
  <c r="H21" i="8" s="1"/>
  <c r="G22" i="8"/>
  <c r="H22" i="8" s="1"/>
  <c r="G23" i="8"/>
  <c r="H23" i="8" s="1"/>
  <c r="G24" i="8"/>
  <c r="H24" i="8" s="1"/>
  <c r="G25" i="8"/>
  <c r="H25" i="8" s="1"/>
  <c r="G26" i="8"/>
  <c r="H26" i="8" s="1"/>
  <c r="G27" i="8"/>
  <c r="H27" i="8" s="1"/>
  <c r="G28" i="8"/>
  <c r="H28" i="8" s="1"/>
  <c r="G29" i="8"/>
  <c r="H29" i="8" s="1"/>
  <c r="G30" i="8"/>
  <c r="H30" i="8" s="1"/>
  <c r="G31" i="8"/>
  <c r="H31" i="8" s="1"/>
  <c r="G32" i="8"/>
  <c r="H32" i="8" s="1"/>
  <c r="G33" i="8"/>
  <c r="G34" i="8"/>
  <c r="H34" i="8" s="1"/>
  <c r="G35" i="8"/>
  <c r="G36" i="8"/>
  <c r="H36" i="8" s="1"/>
  <c r="G37" i="8"/>
  <c r="H37" i="8" s="1"/>
  <c r="G38" i="8"/>
  <c r="H38" i="8" s="1"/>
  <c r="G39" i="8"/>
  <c r="H39" i="8" s="1"/>
  <c r="G40" i="8"/>
  <c r="H40" i="8" s="1"/>
  <c r="G41" i="8"/>
  <c r="H41" i="8" s="1"/>
  <c r="G42" i="8"/>
  <c r="H42" i="8" s="1"/>
  <c r="G43" i="8"/>
  <c r="H43" i="8" s="1"/>
  <c r="G44" i="8"/>
  <c r="H44" i="8" s="1"/>
  <c r="G45" i="8"/>
  <c r="H45" i="8" s="1"/>
  <c r="G46" i="8"/>
  <c r="H46" i="8" s="1"/>
  <c r="G47" i="8"/>
  <c r="G48" i="8"/>
  <c r="H48" i="8" s="1"/>
  <c r="G49" i="8"/>
  <c r="G50" i="8"/>
  <c r="H50" i="8" s="1"/>
  <c r="G51" i="8"/>
  <c r="G52" i="8"/>
  <c r="H52" i="8" s="1"/>
  <c r="G53" i="8"/>
  <c r="H53" i="8" s="1"/>
  <c r="G54" i="8"/>
  <c r="H54" i="8" s="1"/>
  <c r="G55" i="8"/>
  <c r="H55" i="8" s="1"/>
  <c r="G56" i="8"/>
  <c r="G57" i="8"/>
  <c r="H57" i="8" s="1"/>
  <c r="G58" i="8"/>
  <c r="H58" i="8" s="1"/>
  <c r="G59" i="8"/>
  <c r="H59" i="8" s="1"/>
  <c r="G60" i="8"/>
  <c r="H60" i="8" s="1"/>
  <c r="G61" i="8"/>
  <c r="H61" i="8" s="1"/>
  <c r="G62" i="8"/>
  <c r="G63" i="8"/>
  <c r="G64" i="8"/>
  <c r="H64" i="8" s="1"/>
  <c r="G65" i="8"/>
  <c r="H65" i="8" s="1"/>
  <c r="G66" i="8"/>
  <c r="H66" i="8" s="1"/>
  <c r="G67" i="8"/>
  <c r="H67" i="8" s="1"/>
  <c r="G3" i="8"/>
  <c r="H3" i="8" s="1"/>
  <c r="H7" i="8"/>
  <c r="H15" i="8"/>
  <c r="H16" i="8"/>
  <c r="H20" i="8"/>
  <c r="H56" i="8"/>
  <c r="H62" i="8"/>
  <c r="H5" i="8"/>
  <c r="H8" i="8"/>
  <c r="H33" i="8"/>
  <c r="H35" i="8"/>
  <c r="H47" i="8"/>
  <c r="H49" i="8"/>
  <c r="H51" i="8"/>
  <c r="H63" i="8"/>
  <c r="F78" i="8"/>
  <c r="F106" i="8"/>
  <c r="F113" i="8"/>
  <c r="F120" i="8"/>
  <c r="F134" i="8"/>
  <c r="F148" i="8"/>
  <c r="F176" i="8"/>
  <c r="F190" i="8"/>
  <c r="E2" i="21"/>
  <c r="D2" i="21"/>
  <c r="C2" i="21"/>
  <c r="B2" i="21"/>
  <c r="I3" i="21"/>
  <c r="J3" i="21"/>
  <c r="K3" i="21"/>
  <c r="I4" i="21"/>
  <c r="J4" i="21"/>
  <c r="K4" i="21"/>
  <c r="I5" i="21"/>
  <c r="J5" i="21"/>
  <c r="K5" i="21"/>
  <c r="I6" i="21"/>
  <c r="J6" i="21"/>
  <c r="K6" i="21"/>
  <c r="I7" i="21"/>
  <c r="J7" i="21"/>
  <c r="K7" i="21"/>
  <c r="I8" i="21"/>
  <c r="J8" i="21"/>
  <c r="K8" i="21"/>
  <c r="I9" i="21"/>
  <c r="J9" i="21"/>
  <c r="K9" i="21"/>
  <c r="I10" i="21"/>
  <c r="J10" i="21"/>
  <c r="K10" i="21"/>
  <c r="I11" i="21"/>
  <c r="J11" i="21"/>
  <c r="K11" i="21"/>
  <c r="I12" i="21"/>
  <c r="J12" i="21"/>
  <c r="K12" i="21"/>
  <c r="I13" i="21"/>
  <c r="J13" i="21"/>
  <c r="K13" i="21"/>
  <c r="I14" i="21"/>
  <c r="J14" i="21"/>
  <c r="K14" i="21"/>
  <c r="I15" i="21"/>
  <c r="J15" i="21"/>
  <c r="K15" i="21"/>
  <c r="I16" i="21"/>
  <c r="J16" i="21"/>
  <c r="K16" i="21"/>
  <c r="I17" i="21"/>
  <c r="J17" i="21"/>
  <c r="K17" i="21"/>
  <c r="I18" i="21"/>
  <c r="J18" i="21"/>
  <c r="K18" i="21"/>
  <c r="I19" i="21"/>
  <c r="J19" i="21"/>
  <c r="K19" i="21"/>
  <c r="K2" i="21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" i="2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E3" i="24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71" i="24"/>
  <c r="E72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85" i="24"/>
  <c r="E86" i="24"/>
  <c r="E87" i="24"/>
  <c r="E88" i="24"/>
  <c r="E89" i="24"/>
  <c r="E90" i="24"/>
  <c r="E91" i="24"/>
  <c r="E92" i="24"/>
  <c r="E93" i="24"/>
  <c r="E94" i="24"/>
  <c r="E95" i="24"/>
  <c r="E96" i="24"/>
  <c r="E97" i="24"/>
  <c r="E98" i="24"/>
  <c r="E99" i="24"/>
  <c r="E100" i="24"/>
  <c r="E101" i="24"/>
  <c r="E102" i="24"/>
  <c r="E103" i="24"/>
  <c r="E104" i="24"/>
  <c r="E105" i="24"/>
  <c r="E106" i="24"/>
  <c r="E107" i="24"/>
  <c r="E108" i="24"/>
  <c r="E109" i="24"/>
  <c r="E110" i="24"/>
  <c r="E111" i="24"/>
  <c r="E112" i="24"/>
  <c r="E113" i="24"/>
  <c r="E114" i="24"/>
  <c r="E115" i="24"/>
  <c r="E116" i="24"/>
  <c r="E117" i="24"/>
  <c r="E118" i="24"/>
  <c r="E119" i="24"/>
  <c r="E120" i="24"/>
  <c r="E121" i="24"/>
  <c r="E122" i="24"/>
  <c r="E123" i="24"/>
  <c r="E124" i="24"/>
  <c r="E125" i="24"/>
  <c r="E126" i="24"/>
  <c r="E127" i="24"/>
  <c r="E128" i="24"/>
  <c r="E129" i="24"/>
  <c r="E130" i="24"/>
  <c r="E131" i="24"/>
  <c r="E132" i="24"/>
  <c r="E133" i="24"/>
  <c r="E134" i="24"/>
  <c r="E135" i="24"/>
  <c r="E136" i="24"/>
  <c r="E137" i="24"/>
  <c r="E138" i="24"/>
  <c r="E139" i="24"/>
  <c r="E140" i="24"/>
  <c r="E141" i="24"/>
  <c r="E142" i="24"/>
  <c r="E143" i="24"/>
  <c r="E144" i="24"/>
  <c r="E145" i="24"/>
  <c r="E146" i="24"/>
  <c r="E147" i="24"/>
  <c r="E148" i="24"/>
  <c r="E149" i="24"/>
  <c r="E150" i="24"/>
  <c r="E151" i="24"/>
  <c r="E152" i="24"/>
  <c r="E153" i="24"/>
  <c r="E154" i="24"/>
  <c r="E155" i="24"/>
  <c r="E156" i="24"/>
  <c r="E157" i="24"/>
  <c r="E158" i="24"/>
  <c r="E159" i="24"/>
  <c r="E160" i="24"/>
  <c r="E161" i="24"/>
  <c r="E162" i="24"/>
  <c r="E163" i="24"/>
  <c r="E164" i="24"/>
  <c r="E165" i="24"/>
  <c r="E166" i="24"/>
  <c r="E167" i="24"/>
  <c r="E168" i="24"/>
  <c r="E169" i="24"/>
  <c r="E170" i="24"/>
  <c r="E171" i="24"/>
  <c r="E172" i="24"/>
  <c r="E173" i="24"/>
  <c r="E174" i="24"/>
  <c r="E175" i="24"/>
  <c r="E176" i="24"/>
  <c r="E177" i="24"/>
  <c r="E178" i="24"/>
  <c r="E179" i="24"/>
  <c r="E180" i="24"/>
  <c r="E181" i="24"/>
  <c r="E182" i="24"/>
  <c r="E183" i="24"/>
  <c r="E184" i="24"/>
  <c r="E185" i="24"/>
  <c r="E186" i="24"/>
  <c r="E187" i="24"/>
  <c r="E188" i="24"/>
  <c r="E189" i="24"/>
  <c r="E190" i="24"/>
  <c r="E191" i="24"/>
  <c r="E192" i="24"/>
  <c r="E193" i="24"/>
  <c r="E194" i="24"/>
  <c r="E195" i="24"/>
  <c r="E196" i="24"/>
  <c r="E197" i="24"/>
  <c r="E198" i="24"/>
  <c r="E199" i="24"/>
  <c r="E200" i="24"/>
  <c r="E201" i="24"/>
  <c r="E202" i="24"/>
  <c r="E203" i="24"/>
  <c r="E204" i="24"/>
  <c r="E205" i="24"/>
  <c r="E206" i="24"/>
  <c r="E207" i="24"/>
  <c r="E208" i="24"/>
  <c r="E209" i="24"/>
  <c r="E210" i="24"/>
  <c r="E211" i="24"/>
  <c r="E212" i="24"/>
  <c r="E213" i="24"/>
  <c r="E214" i="24"/>
  <c r="E215" i="24"/>
  <c r="E216" i="24"/>
  <c r="E217" i="24"/>
  <c r="E218" i="24"/>
  <c r="E219" i="24"/>
  <c r="E220" i="24"/>
  <c r="E221" i="24"/>
  <c r="E222" i="24"/>
  <c r="E223" i="24"/>
  <c r="E224" i="24"/>
  <c r="E225" i="24"/>
  <c r="E226" i="24"/>
  <c r="E227" i="24"/>
  <c r="E228" i="24"/>
  <c r="E229" i="24"/>
  <c r="E230" i="24"/>
  <c r="E231" i="24"/>
  <c r="E232" i="24"/>
  <c r="E233" i="24"/>
  <c r="E234" i="24"/>
  <c r="E235" i="24"/>
  <c r="E236" i="24"/>
  <c r="E237" i="24"/>
  <c r="E238" i="24"/>
  <c r="E239" i="24"/>
  <c r="E240" i="24"/>
  <c r="E241" i="24"/>
  <c r="E242" i="24"/>
  <c r="E243" i="24"/>
  <c r="E244" i="24"/>
  <c r="E245" i="24"/>
  <c r="E246" i="24"/>
  <c r="E247" i="24"/>
  <c r="E248" i="24"/>
  <c r="E249" i="24"/>
  <c r="E250" i="24"/>
  <c r="E251" i="24"/>
  <c r="E252" i="24"/>
  <c r="E253" i="24"/>
  <c r="E254" i="24"/>
  <c r="E255" i="24"/>
  <c r="E256" i="24"/>
  <c r="E257" i="24"/>
  <c r="E258" i="24"/>
  <c r="E259" i="24"/>
  <c r="E260" i="24"/>
  <c r="E261" i="24"/>
  <c r="E262" i="24"/>
  <c r="E263" i="24"/>
  <c r="E264" i="24"/>
  <c r="E265" i="24"/>
  <c r="E266" i="24"/>
  <c r="E267" i="24"/>
  <c r="E268" i="24"/>
  <c r="E269" i="24"/>
  <c r="E270" i="24"/>
  <c r="E271" i="24"/>
  <c r="E272" i="24"/>
  <c r="E273" i="24"/>
  <c r="E274" i="24"/>
  <c r="E275" i="24"/>
  <c r="E276" i="24"/>
  <c r="E277" i="24"/>
  <c r="E278" i="24"/>
  <c r="E279" i="24"/>
  <c r="E280" i="24"/>
  <c r="E281" i="24"/>
  <c r="E282" i="24"/>
  <c r="E283" i="24"/>
  <c r="E284" i="24"/>
  <c r="E285" i="24"/>
  <c r="E286" i="24"/>
  <c r="E287" i="24"/>
  <c r="E288" i="24"/>
  <c r="E289" i="24"/>
  <c r="E290" i="24"/>
  <c r="E291" i="24"/>
  <c r="E292" i="24"/>
  <c r="E293" i="24"/>
  <c r="E294" i="24"/>
  <c r="E295" i="24"/>
  <c r="E296" i="24"/>
  <c r="E297" i="24"/>
  <c r="E298" i="24"/>
  <c r="E299" i="24"/>
  <c r="E300" i="24"/>
  <c r="E301" i="24"/>
  <c r="E302" i="24"/>
  <c r="E303" i="24"/>
  <c r="E304" i="24"/>
  <c r="E305" i="24"/>
  <c r="E306" i="24"/>
  <c r="E307" i="24"/>
  <c r="E308" i="24"/>
  <c r="E309" i="24"/>
  <c r="E310" i="24"/>
  <c r="E311" i="24"/>
  <c r="E312" i="24"/>
  <c r="E313" i="24"/>
  <c r="E314" i="24"/>
  <c r="E315" i="24"/>
  <c r="E316" i="24"/>
  <c r="E317" i="24"/>
  <c r="E318" i="24"/>
  <c r="E319" i="24"/>
  <c r="E320" i="24"/>
  <c r="E321" i="24"/>
  <c r="E322" i="24"/>
  <c r="E323" i="24"/>
  <c r="E324" i="24"/>
  <c r="E325" i="24"/>
  <c r="E326" i="24"/>
  <c r="E327" i="24"/>
  <c r="E328" i="24"/>
  <c r="E329" i="24"/>
  <c r="E330" i="24"/>
  <c r="E331" i="24"/>
  <c r="E332" i="24"/>
  <c r="E333" i="24"/>
  <c r="E334" i="24"/>
  <c r="E335" i="24"/>
  <c r="E336" i="24"/>
  <c r="E337" i="24"/>
  <c r="E338" i="24"/>
  <c r="E339" i="24"/>
  <c r="E340" i="24"/>
  <c r="E341" i="24"/>
  <c r="E342" i="24"/>
  <c r="E343" i="24"/>
  <c r="E344" i="24"/>
  <c r="E345" i="24"/>
  <c r="E346" i="24"/>
  <c r="E347" i="24"/>
  <c r="E348" i="24"/>
  <c r="E349" i="24"/>
  <c r="E350" i="24"/>
  <c r="E351" i="24"/>
  <c r="E352" i="24"/>
  <c r="E353" i="24"/>
  <c r="E354" i="24"/>
  <c r="E355" i="24"/>
  <c r="E356" i="24"/>
  <c r="E357" i="24"/>
  <c r="E358" i="24"/>
  <c r="E359" i="24"/>
  <c r="E360" i="24"/>
  <c r="E361" i="24"/>
  <c r="E362" i="24"/>
  <c r="E363" i="24"/>
  <c r="E364" i="24"/>
  <c r="E365" i="24"/>
  <c r="E366" i="24"/>
  <c r="E367" i="24"/>
  <c r="E368" i="24"/>
  <c r="E369" i="24"/>
  <c r="E370" i="24"/>
  <c r="E371" i="24"/>
  <c r="E372" i="24"/>
  <c r="E373" i="24"/>
  <c r="E374" i="24"/>
  <c r="E375" i="24"/>
  <c r="E376" i="24"/>
  <c r="E377" i="24"/>
  <c r="E2" i="24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G76" i="8" s="1"/>
  <c r="E68" i="8"/>
  <c r="F68" i="8" s="1"/>
  <c r="E69" i="8"/>
  <c r="F69" i="8" s="1"/>
  <c r="E70" i="8"/>
  <c r="F70" i="8" s="1"/>
  <c r="E71" i="8"/>
  <c r="F71" i="8" s="1"/>
  <c r="E72" i="8"/>
  <c r="F72" i="8" s="1"/>
  <c r="E73" i="8"/>
  <c r="F73" i="8" s="1"/>
  <c r="E74" i="8"/>
  <c r="E75" i="8"/>
  <c r="E76" i="8"/>
  <c r="F76" i="8" s="1"/>
  <c r="E77" i="8"/>
  <c r="F77" i="8" s="1"/>
  <c r="E78" i="8"/>
  <c r="E79" i="8"/>
  <c r="E80" i="8"/>
  <c r="E81" i="8"/>
  <c r="F81" i="8" s="1"/>
  <c r="E82" i="8"/>
  <c r="F82" i="8" s="1"/>
  <c r="E83" i="8"/>
  <c r="F83" i="8" s="1"/>
  <c r="E84" i="8"/>
  <c r="F84" i="8" s="1"/>
  <c r="E85" i="8"/>
  <c r="F85" i="8" s="1"/>
  <c r="E86" i="8"/>
  <c r="F86" i="8" s="1"/>
  <c r="E87" i="8"/>
  <c r="F87" i="8" s="1"/>
  <c r="E88" i="8"/>
  <c r="E89" i="8"/>
  <c r="E90" i="8"/>
  <c r="E91" i="8"/>
  <c r="F91" i="8" s="1"/>
  <c r="E92" i="8"/>
  <c r="E93" i="8"/>
  <c r="E94" i="8"/>
  <c r="E95" i="8"/>
  <c r="F95" i="8" s="1"/>
  <c r="E96" i="8"/>
  <c r="F96" i="8" s="1"/>
  <c r="E97" i="8"/>
  <c r="F97" i="8" s="1"/>
  <c r="E98" i="8"/>
  <c r="F98" i="8" s="1"/>
  <c r="E99" i="8"/>
  <c r="F99" i="8" s="1"/>
  <c r="E100" i="8"/>
  <c r="F100" i="8" s="1"/>
  <c r="E101" i="8"/>
  <c r="F101" i="8" s="1"/>
  <c r="E102" i="8"/>
  <c r="E103" i="8"/>
  <c r="E104" i="8"/>
  <c r="F104" i="8" s="1"/>
  <c r="H104" i="8" s="1"/>
  <c r="E105" i="8"/>
  <c r="F105" i="8" s="1"/>
  <c r="E106" i="8"/>
  <c r="E107" i="8"/>
  <c r="E108" i="8"/>
  <c r="E109" i="8"/>
  <c r="F109" i="8" s="1"/>
  <c r="E110" i="8"/>
  <c r="F110" i="8" s="1"/>
  <c r="E111" i="8"/>
  <c r="F111" i="8" s="1"/>
  <c r="E112" i="8"/>
  <c r="F112" i="8" s="1"/>
  <c r="E113" i="8"/>
  <c r="E114" i="8"/>
  <c r="F114" i="8" s="1"/>
  <c r="E115" i="8"/>
  <c r="F115" i="8" s="1"/>
  <c r="E116" i="8"/>
  <c r="E117" i="8"/>
  <c r="E118" i="8"/>
  <c r="E119" i="8"/>
  <c r="F119" i="8" s="1"/>
  <c r="E120" i="8"/>
  <c r="E121" i="8"/>
  <c r="E122" i="8"/>
  <c r="E123" i="8"/>
  <c r="F123" i="8" s="1"/>
  <c r="E124" i="8"/>
  <c r="F124" i="8" s="1"/>
  <c r="E125" i="8"/>
  <c r="F125" i="8" s="1"/>
  <c r="E126" i="8"/>
  <c r="F126" i="8" s="1"/>
  <c r="E127" i="8"/>
  <c r="F127" i="8" s="1"/>
  <c r="E128" i="8"/>
  <c r="F128" i="8" s="1"/>
  <c r="E129" i="8"/>
  <c r="F129" i="8" s="1"/>
  <c r="E130" i="8"/>
  <c r="E131" i="8"/>
  <c r="E132" i="8"/>
  <c r="F132" i="8" s="1"/>
  <c r="E133" i="8"/>
  <c r="F133" i="8" s="1"/>
  <c r="E134" i="8"/>
  <c r="E135" i="8"/>
  <c r="E136" i="8"/>
  <c r="E137" i="8"/>
  <c r="F137" i="8" s="1"/>
  <c r="E138" i="8"/>
  <c r="F138" i="8" s="1"/>
  <c r="E139" i="8"/>
  <c r="F139" i="8" s="1"/>
  <c r="E140" i="8"/>
  <c r="F140" i="8" s="1"/>
  <c r="E141" i="8"/>
  <c r="F141" i="8" s="1"/>
  <c r="E142" i="8"/>
  <c r="F142" i="8" s="1"/>
  <c r="E143" i="8"/>
  <c r="F143" i="8" s="1"/>
  <c r="E144" i="8"/>
  <c r="F144" i="8" s="1"/>
  <c r="E145" i="8"/>
  <c r="E146" i="8"/>
  <c r="F146" i="8" s="1"/>
  <c r="E147" i="8"/>
  <c r="F147" i="8" s="1"/>
  <c r="H147" i="8" s="1"/>
  <c r="E148" i="8"/>
  <c r="E149" i="8"/>
  <c r="E150" i="8"/>
  <c r="E151" i="8"/>
  <c r="F151" i="8" s="1"/>
  <c r="E152" i="8"/>
  <c r="F152" i="8" s="1"/>
  <c r="E153" i="8"/>
  <c r="F153" i="8" s="1"/>
  <c r="E154" i="8"/>
  <c r="F154" i="8" s="1"/>
  <c r="E155" i="8"/>
  <c r="F155" i="8" s="1"/>
  <c r="E156" i="8"/>
  <c r="F156" i="8" s="1"/>
  <c r="E157" i="8"/>
  <c r="F157" i="8" s="1"/>
  <c r="E158" i="8"/>
  <c r="F158" i="8" s="1"/>
  <c r="E159" i="8"/>
  <c r="E160" i="8"/>
  <c r="F160" i="8" s="1"/>
  <c r="E161" i="8"/>
  <c r="F161" i="8" s="1"/>
  <c r="E162" i="8"/>
  <c r="E163" i="8"/>
  <c r="E164" i="8"/>
  <c r="E165" i="8"/>
  <c r="F165" i="8" s="1"/>
  <c r="E166" i="8"/>
  <c r="F166" i="8" s="1"/>
  <c r="E167" i="8"/>
  <c r="F167" i="8" s="1"/>
  <c r="E168" i="8"/>
  <c r="F168" i="8" s="1"/>
  <c r="E169" i="8"/>
  <c r="F169" i="8" s="1"/>
  <c r="E170" i="8"/>
  <c r="F170" i="8" s="1"/>
  <c r="E171" i="8"/>
  <c r="F171" i="8" s="1"/>
  <c r="E172" i="8"/>
  <c r="F172" i="8" s="1"/>
  <c r="E173" i="8"/>
  <c r="E174" i="8"/>
  <c r="F174" i="8" s="1"/>
  <c r="E175" i="8"/>
  <c r="F175" i="8" s="1"/>
  <c r="E176" i="8"/>
  <c r="E177" i="8"/>
  <c r="E178" i="8"/>
  <c r="E179" i="8"/>
  <c r="F179" i="8" s="1"/>
  <c r="E180" i="8"/>
  <c r="F180" i="8" s="1"/>
  <c r="E181" i="8"/>
  <c r="F181" i="8" s="1"/>
  <c r="E182" i="8"/>
  <c r="F182" i="8" s="1"/>
  <c r="E183" i="8"/>
  <c r="F183" i="8" s="1"/>
  <c r="E184" i="8"/>
  <c r="F184" i="8" s="1"/>
  <c r="E185" i="8"/>
  <c r="F185" i="8" s="1"/>
  <c r="E186" i="8"/>
  <c r="F186" i="8" s="1"/>
  <c r="E187" i="8"/>
  <c r="E188" i="8"/>
  <c r="E189" i="8"/>
  <c r="F189" i="8" s="1"/>
  <c r="E190" i="8"/>
  <c r="E191" i="8"/>
  <c r="E192" i="8"/>
  <c r="E193" i="8"/>
  <c r="F193" i="8" s="1"/>
  <c r="E194" i="8"/>
  <c r="F194" i="8" s="1"/>
  <c r="E195" i="8"/>
  <c r="F195" i="8" s="1"/>
  <c r="E196" i="8"/>
  <c r="F196" i="8" s="1"/>
  <c r="E197" i="8"/>
  <c r="F197" i="8" s="1"/>
  <c r="E198" i="8"/>
  <c r="F198" i="8" s="1"/>
  <c r="E199" i="8"/>
  <c r="F199" i="8" s="1"/>
  <c r="E200" i="8"/>
  <c r="F200" i="8" s="1"/>
  <c r="E201" i="8"/>
  <c r="F201" i="8" s="1"/>
  <c r="E202" i="8"/>
  <c r="F202" i="8" s="1"/>
  <c r="E203" i="8"/>
  <c r="F203" i="8" s="1"/>
  <c r="E204" i="8"/>
  <c r="F204" i="8" s="1"/>
  <c r="E205" i="8"/>
  <c r="E206" i="8"/>
  <c r="E207" i="8"/>
  <c r="F207" i="8" s="1"/>
  <c r="E208" i="8"/>
  <c r="F208" i="8" s="1"/>
  <c r="E209" i="8"/>
  <c r="F209" i="8" s="1"/>
  <c r="E210" i="8"/>
  <c r="F210" i="8" s="1"/>
  <c r="E211" i="8"/>
  <c r="F211" i="8" s="1"/>
  <c r="E212" i="8"/>
  <c r="F212" i="8" s="1"/>
  <c r="E213" i="8"/>
  <c r="F213" i="8" s="1"/>
  <c r="E214" i="8"/>
  <c r="F214" i="8" s="1"/>
  <c r="E215" i="8"/>
  <c r="F215" i="8" s="1"/>
  <c r="E216" i="8"/>
  <c r="F216" i="8" s="1"/>
  <c r="E217" i="8"/>
  <c r="F217" i="8" s="1"/>
  <c r="E218" i="8"/>
  <c r="F218" i="8" s="1"/>
  <c r="E3" i="8"/>
  <c r="N21" i="13"/>
  <c r="N18" i="13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" i="21"/>
  <c r="B3" i="21"/>
  <c r="C3" i="21"/>
  <c r="B4" i="21"/>
  <c r="C4" i="21"/>
  <c r="B5" i="21"/>
  <c r="C5" i="21"/>
  <c r="B6" i="21"/>
  <c r="C6" i="21"/>
  <c r="B7" i="21"/>
  <c r="C7" i="21"/>
  <c r="B8" i="21"/>
  <c r="C8" i="21"/>
  <c r="B9" i="21"/>
  <c r="C9" i="21"/>
  <c r="B10" i="21"/>
  <c r="C10" i="21"/>
  <c r="B11" i="21"/>
  <c r="C11" i="21"/>
  <c r="B12" i="21"/>
  <c r="C12" i="21"/>
  <c r="B13" i="21"/>
  <c r="C13" i="21"/>
  <c r="B14" i="21"/>
  <c r="C14" i="21"/>
  <c r="B15" i="21"/>
  <c r="C15" i="21"/>
  <c r="B16" i="21"/>
  <c r="C16" i="21"/>
  <c r="B17" i="21"/>
  <c r="C17" i="21"/>
  <c r="B18" i="21"/>
  <c r="C18" i="21"/>
  <c r="B19" i="21"/>
  <c r="C19" i="21"/>
  <c r="J11" i="13"/>
  <c r="I11" i="13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2" i="17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" i="15"/>
  <c r="D2" i="15"/>
  <c r="O7" i="13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" i="14"/>
  <c r="J12" i="13"/>
  <c r="J10" i="13"/>
  <c r="I12" i="13"/>
  <c r="I10" i="13"/>
  <c r="K5" i="13"/>
  <c r="O5" i="13"/>
  <c r="K5" i="12"/>
  <c r="K6" i="12"/>
  <c r="K7" i="12"/>
  <c r="K8" i="12"/>
  <c r="K9" i="12"/>
  <c r="K10" i="12"/>
  <c r="K11" i="12"/>
  <c r="K12" i="12"/>
  <c r="K13" i="12"/>
  <c r="K14" i="12"/>
  <c r="K15" i="12"/>
  <c r="K16" i="12"/>
  <c r="K4" i="12"/>
  <c r="B4" i="3"/>
  <c r="B3" i="3"/>
  <c r="B2" i="3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G202" i="8" l="1"/>
  <c r="G152" i="8"/>
  <c r="G118" i="8"/>
  <c r="G188" i="8"/>
  <c r="G150" i="8"/>
  <c r="G110" i="8"/>
  <c r="H110" i="8" s="1"/>
  <c r="G179" i="8"/>
  <c r="H179" i="8" s="1"/>
  <c r="G145" i="8"/>
  <c r="G103" i="8"/>
  <c r="H103" i="8" s="1"/>
  <c r="H175" i="8"/>
  <c r="H160" i="8"/>
  <c r="H132" i="8"/>
  <c r="H201" i="8"/>
  <c r="F187" i="8"/>
  <c r="F173" i="8"/>
  <c r="H173" i="8" s="1"/>
  <c r="F159" i="8"/>
  <c r="F145" i="8"/>
  <c r="F131" i="8"/>
  <c r="F117" i="8"/>
  <c r="H117" i="8" s="1"/>
  <c r="F103" i="8"/>
  <c r="F89" i="8"/>
  <c r="H89" i="8" s="1"/>
  <c r="F75" i="8"/>
  <c r="G208" i="8"/>
  <c r="H208" i="8" s="1"/>
  <c r="G176" i="8"/>
  <c r="H176" i="8" s="1"/>
  <c r="G132" i="8"/>
  <c r="G92" i="8"/>
  <c r="H92" i="8" s="1"/>
  <c r="H91" i="8"/>
  <c r="F130" i="8"/>
  <c r="F116" i="8"/>
  <c r="F102" i="8"/>
  <c r="F88" i="8"/>
  <c r="H88" i="8" s="1"/>
  <c r="F74" i="8"/>
  <c r="G207" i="8"/>
  <c r="G175" i="8"/>
  <c r="G131" i="8"/>
  <c r="G91" i="8"/>
  <c r="H215" i="8"/>
  <c r="G193" i="8"/>
  <c r="H193" i="8" s="1"/>
  <c r="G164" i="8"/>
  <c r="H164" i="8" s="1"/>
  <c r="G81" i="8"/>
  <c r="H81" i="8" s="1"/>
  <c r="F206" i="8"/>
  <c r="H206" i="8" s="1"/>
  <c r="F192" i="8"/>
  <c r="F178" i="8"/>
  <c r="H178" i="8" s="1"/>
  <c r="F164" i="8"/>
  <c r="F150" i="8"/>
  <c r="H150" i="8" s="1"/>
  <c r="F136" i="8"/>
  <c r="H136" i="8" s="1"/>
  <c r="F122" i="8"/>
  <c r="F108" i="8"/>
  <c r="H108" i="8" s="1"/>
  <c r="F94" i="8"/>
  <c r="H94" i="8" s="1"/>
  <c r="F80" i="8"/>
  <c r="G191" i="8"/>
  <c r="G163" i="8"/>
  <c r="H163" i="8" s="1"/>
  <c r="G135" i="8"/>
  <c r="H135" i="8" s="1"/>
  <c r="G107" i="8"/>
  <c r="G80" i="8"/>
  <c r="H80" i="8" s="1"/>
  <c r="H119" i="8"/>
  <c r="G136" i="8"/>
  <c r="F205" i="8"/>
  <c r="H205" i="8" s="1"/>
  <c r="F191" i="8"/>
  <c r="F177" i="8"/>
  <c r="H177" i="8" s="1"/>
  <c r="F163" i="8"/>
  <c r="F149" i="8"/>
  <c r="H149" i="8" s="1"/>
  <c r="F135" i="8"/>
  <c r="F121" i="8"/>
  <c r="H121" i="8" s="1"/>
  <c r="F107" i="8"/>
  <c r="H107" i="8" s="1"/>
  <c r="F93" i="8"/>
  <c r="H93" i="8" s="1"/>
  <c r="F79" i="8"/>
  <c r="G68" i="8"/>
  <c r="H68" i="8" s="1"/>
  <c r="G190" i="8"/>
  <c r="H190" i="8" s="1"/>
  <c r="G162" i="8"/>
  <c r="G134" i="8"/>
  <c r="H134" i="8" s="1"/>
  <c r="G106" i="8"/>
  <c r="H106" i="8" s="1"/>
  <c r="G79" i="8"/>
  <c r="G108" i="8"/>
  <c r="G217" i="8"/>
  <c r="H217" i="8" s="1"/>
  <c r="G189" i="8"/>
  <c r="H189" i="8" s="1"/>
  <c r="G161" i="8"/>
  <c r="H161" i="8" s="1"/>
  <c r="G133" i="8"/>
  <c r="H133" i="8" s="1"/>
  <c r="G105" i="8"/>
  <c r="G78" i="8"/>
  <c r="H170" i="8"/>
  <c r="H169" i="8"/>
  <c r="H216" i="8"/>
  <c r="H203" i="8"/>
  <c r="H126" i="8"/>
  <c r="H78" i="8"/>
  <c r="H139" i="8"/>
  <c r="F188" i="8"/>
  <c r="F118" i="8"/>
  <c r="F92" i="8"/>
  <c r="G194" i="8"/>
  <c r="H194" i="8" s="1"/>
  <c r="G174" i="8"/>
  <c r="G148" i="8"/>
  <c r="G122" i="8"/>
  <c r="G96" i="8"/>
  <c r="H96" i="8" s="1"/>
  <c r="G77" i="8"/>
  <c r="H77" i="8" s="1"/>
  <c r="H105" i="8"/>
  <c r="H138" i="8"/>
  <c r="G69" i="8"/>
  <c r="H69" i="8" s="1"/>
  <c r="G83" i="8"/>
  <c r="G97" i="8"/>
  <c r="H97" i="8" s="1"/>
  <c r="G111" i="8"/>
  <c r="H111" i="8" s="1"/>
  <c r="G125" i="8"/>
  <c r="H125" i="8" s="1"/>
  <c r="G139" i="8"/>
  <c r="G153" i="8"/>
  <c r="H153" i="8" s="1"/>
  <c r="G167" i="8"/>
  <c r="H167" i="8" s="1"/>
  <c r="G181" i="8"/>
  <c r="H181" i="8" s="1"/>
  <c r="G195" i="8"/>
  <c r="H195" i="8" s="1"/>
  <c r="G209" i="8"/>
  <c r="H209" i="8" s="1"/>
  <c r="G70" i="8"/>
  <c r="G84" i="8"/>
  <c r="G98" i="8"/>
  <c r="H98" i="8" s="1"/>
  <c r="G112" i="8"/>
  <c r="H112" i="8" s="1"/>
  <c r="G126" i="8"/>
  <c r="G140" i="8"/>
  <c r="H140" i="8" s="1"/>
  <c r="G154" i="8"/>
  <c r="G168" i="8"/>
  <c r="H168" i="8" s="1"/>
  <c r="G182" i="8"/>
  <c r="H182" i="8" s="1"/>
  <c r="G196" i="8"/>
  <c r="H196" i="8" s="1"/>
  <c r="G210" i="8"/>
  <c r="H210" i="8" s="1"/>
  <c r="G71" i="8"/>
  <c r="H71" i="8" s="1"/>
  <c r="G85" i="8"/>
  <c r="H85" i="8" s="1"/>
  <c r="G99" i="8"/>
  <c r="H99" i="8" s="1"/>
  <c r="G113" i="8"/>
  <c r="H113" i="8" s="1"/>
  <c r="G127" i="8"/>
  <c r="H127" i="8" s="1"/>
  <c r="G141" i="8"/>
  <c r="H141" i="8" s="1"/>
  <c r="G155" i="8"/>
  <c r="H155" i="8" s="1"/>
  <c r="G169" i="8"/>
  <c r="G183" i="8"/>
  <c r="H183" i="8" s="1"/>
  <c r="G197" i="8"/>
  <c r="H197" i="8" s="1"/>
  <c r="G211" i="8"/>
  <c r="H211" i="8" s="1"/>
  <c r="G72" i="8"/>
  <c r="H72" i="8" s="1"/>
  <c r="G86" i="8"/>
  <c r="H86" i="8" s="1"/>
  <c r="G100" i="8"/>
  <c r="H100" i="8" s="1"/>
  <c r="G114" i="8"/>
  <c r="H114" i="8" s="1"/>
  <c r="G128" i="8"/>
  <c r="H128" i="8" s="1"/>
  <c r="G142" i="8"/>
  <c r="H142" i="8" s="1"/>
  <c r="G156" i="8"/>
  <c r="H156" i="8" s="1"/>
  <c r="G170" i="8"/>
  <c r="G184" i="8"/>
  <c r="H184" i="8" s="1"/>
  <c r="G198" i="8"/>
  <c r="H198" i="8" s="1"/>
  <c r="G212" i="8"/>
  <c r="G73" i="8"/>
  <c r="H73" i="8" s="1"/>
  <c r="G87" i="8"/>
  <c r="H87" i="8" s="1"/>
  <c r="G101" i="8"/>
  <c r="H101" i="8" s="1"/>
  <c r="G115" i="8"/>
  <c r="H115" i="8" s="1"/>
  <c r="G129" i="8"/>
  <c r="H129" i="8" s="1"/>
  <c r="G143" i="8"/>
  <c r="H143" i="8" s="1"/>
  <c r="G157" i="8"/>
  <c r="H157" i="8" s="1"/>
  <c r="G171" i="8"/>
  <c r="H171" i="8" s="1"/>
  <c r="G185" i="8"/>
  <c r="H185" i="8" s="1"/>
  <c r="G199" i="8"/>
  <c r="G213" i="8"/>
  <c r="G74" i="8"/>
  <c r="H74" i="8" s="1"/>
  <c r="G102" i="8"/>
  <c r="H102" i="8" s="1"/>
  <c r="G116" i="8"/>
  <c r="G130" i="8"/>
  <c r="H130" i="8" s="1"/>
  <c r="G144" i="8"/>
  <c r="H144" i="8" s="1"/>
  <c r="G158" i="8"/>
  <c r="H158" i="8" s="1"/>
  <c r="G172" i="8"/>
  <c r="H172" i="8" s="1"/>
  <c r="G186" i="8"/>
  <c r="H186" i="8" s="1"/>
  <c r="G200" i="8"/>
  <c r="H200" i="8" s="1"/>
  <c r="G214" i="8"/>
  <c r="H214" i="8" s="1"/>
  <c r="F162" i="8"/>
  <c r="H162" i="8" s="1"/>
  <c r="F90" i="8"/>
  <c r="H90" i="8" s="1"/>
  <c r="G218" i="8"/>
  <c r="H218" i="8" s="1"/>
  <c r="G192" i="8"/>
  <c r="G166" i="8"/>
  <c r="H166" i="8" s="1"/>
  <c r="G146" i="8"/>
  <c r="H146" i="8" s="1"/>
  <c r="G120" i="8"/>
  <c r="H120" i="8" s="1"/>
  <c r="G94" i="8"/>
  <c r="G75" i="8"/>
  <c r="H75" i="8" s="1"/>
  <c r="H202" i="8"/>
  <c r="H174" i="8"/>
  <c r="H76" i="8"/>
  <c r="H187" i="8"/>
  <c r="H159" i="8"/>
  <c r="H145" i="8"/>
  <c r="H131" i="8"/>
  <c r="H213" i="8"/>
  <c r="H199" i="8"/>
  <c r="H207" i="8"/>
  <c r="H151" i="8"/>
  <c r="H204" i="8"/>
  <c r="H148" i="8"/>
  <c r="H212" i="8"/>
  <c r="H154" i="8"/>
  <c r="H84" i="8"/>
  <c r="H70" i="8"/>
  <c r="H83" i="8"/>
  <c r="H180" i="8"/>
  <c r="H152" i="8"/>
  <c r="H124" i="8"/>
  <c r="H82" i="8"/>
  <c r="J2" i="21"/>
  <c r="I2" i="21"/>
  <c r="H79" i="8" l="1"/>
  <c r="H118" i="8"/>
  <c r="H116" i="8"/>
  <c r="H188" i="8"/>
  <c r="H122" i="8"/>
  <c r="H191" i="8"/>
  <c r="H19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D822F7-4859-4BEE-8FD7-AB4227F69624}" keepAlive="1" name="Query - API_FR INR LEND_DS2_en_csv_v2_92833" description="Connection to the 'API_FR INR LEND_DS2_en_csv_v2_92833' query in the workbook." type="5" refreshedVersion="8" background="1" saveData="1">
    <dbPr connection="Provider=Microsoft.Mashup.OleDb.1;Data Source=$Workbook$;Location=&quot;API_FR INR LEND_DS2_en_csv_v2_92833&quot;;Extended Properties=&quot;&quot;" command="SELECT * FROM [API_FR INR LEND_DS2_en_csv_v2_92833]"/>
  </connection>
  <connection id="2" xr16:uid="{C52B17D1-18AA-41F0-865B-9CC0419968C5}" keepAlive="1" name="Query - API_NY GDP DEFL KD ZG_DS2_en_csv_v2_85245" description="Connection to the 'API_NY GDP DEFL KD ZG_DS2_en_csv_v2_85245' query in the workbook." type="5" refreshedVersion="8" background="1" saveData="1">
    <dbPr connection="Provider=Microsoft.Mashup.OleDb.1;Data Source=$Workbook$;Location=&quot;API_NY GDP DEFL KD ZG_DS2_en_csv_v2_85245&quot;;Extended Properties=&quot;&quot;" command="SELECT * FROM [API_NY GDP DEFL KD ZG_DS2_en_csv_v2_85245]"/>
  </connection>
  <connection id="3" xr16:uid="{D458462D-A2D5-4B1A-A642-1A473C9C5842}" keepAlive="1" name="Query - DataJobID-2866457_2866457_Laszlo" description="Connection to the 'DataJobID-2866457_2866457_Laszlo' query in the workbook." type="5" refreshedVersion="8" background="1" saveData="1">
    <dbPr connection="Provider=Microsoft.Mashup.OleDb.1;Data Source=$Workbook$;Location=DataJobID-2866457_2866457_Laszlo;Extended Properties=&quot;&quot;" command="SELECT * FROM [DataJobID-2866457_2866457_Laszlo]"/>
  </connection>
  <connection id="4" xr16:uid="{BA75ABB5-3677-4A7D-93E0-D3CB46BC6781}" keepAlive="1" name="Query - DataJobID-2866674_2866674_Laszlo" description="Connection to the 'DataJobID-2866674_2866674_Laszlo' query in the workbook." type="5" refreshedVersion="8" background="1" saveData="1">
    <dbPr connection="Provider=Microsoft.Mashup.OleDb.1;Data Source=$Workbook$;Location=DataJobID-2866674_2866674_Laszlo;Extended Properties=&quot;&quot;" command="SELECT * FROM [DataJobID-2866674_2866674_Laszlo]"/>
  </connection>
  <connection id="5" xr16:uid="{3E56B111-036D-4133-A0D7-B8D7A5EF0840}" keepAlive="1" name="Query - RKNANPHUA666NRUG" description="Connection to the 'RKNANPHUA666NRUG' query in the workbook." type="5" refreshedVersion="0" background="1">
    <dbPr connection="Provider=Microsoft.Mashup.OleDb.1;Data Source=$Workbook$;Location=RKNANPHUA666NRUG;Extended Properties=&quot;&quot;" command="SELECT * FROM [RKNANPHUA666NRUG]"/>
  </connection>
  <connection id="6" xr16:uid="{8856F948-278A-4F8B-9E3D-25F90BBC368C}" keepAlive="1" name="Query - RTFPNAHUA632NRUG" description="Connection to the 'RTFPNAHUA632NRUG' query in the workbook." type="5" refreshedVersion="0" background="1">
    <dbPr connection="Provider=Microsoft.Mashup.OleDb.1;Data Source=$Workbook$;Location=RTFPNAHUA632NRUG;Extended Properties=&quot;&quot;" command="SELECT * FROM [RTFPNAHUA632NRUG]"/>
  </connection>
  <connection id="7" xr16:uid="{3B29FEB3-10C7-494C-9778-F553022350A3}" keepAlive="1" name="Query - RTFPNAHUA632NRUG (2)" description="Connection to the 'RTFPNAHUA632NRUG (2)' query in the workbook." type="5" refreshedVersion="0" background="1">
    <dbPr connection="Provider=Microsoft.Mashup.OleDb.1;Data Source=$Workbook$;Location=&quot;RTFPNAHUA632NRUG (2)&quot;;Extended Properties=&quot;&quot;" command="SELECT * FROM [RTFPNAHUA632NRUG (2)]"/>
  </connection>
</connections>
</file>

<file path=xl/sharedStrings.xml><?xml version="1.0" encoding="utf-8"?>
<sst xmlns="http://schemas.openxmlformats.org/spreadsheetml/2006/main" count="39878" uniqueCount="17024">
  <si>
    <t>Reporter Name</t>
  </si>
  <si>
    <t>Partner Name</t>
  </si>
  <si>
    <t>Year</t>
  </si>
  <si>
    <t>Trade Flow</t>
  </si>
  <si>
    <t>No Of exported HS6 digit Products</t>
  </si>
  <si>
    <t>No Of imported HS6 digit Products</t>
  </si>
  <si>
    <t>Export Share in Total Products (%)</t>
  </si>
  <si>
    <t>Import Share in Total Products (%)</t>
  </si>
  <si>
    <t>Trade Balance (US$ Thousand)</t>
  </si>
  <si>
    <t>Export (US$ Thousand)</t>
  </si>
  <si>
    <t>Import (US$ Thousand)</t>
  </si>
  <si>
    <t>Import Partner Share (%)</t>
  </si>
  <si>
    <t>Export Partner Share (%)</t>
  </si>
  <si>
    <t>AHS Simple Average (%)</t>
  </si>
  <si>
    <t>AHS Weighted Average (%)</t>
  </si>
  <si>
    <t>AHS Total Tariff Lines</t>
  </si>
  <si>
    <t>AHS Dutiable Tariff Lines Share (%)</t>
  </si>
  <si>
    <t>AHS Duty Free Tariff Lines Share (%)</t>
  </si>
  <si>
    <t>AHS Specific Tariff Lines Share (%)</t>
  </si>
  <si>
    <t>AHS AVE Tariff Lines Share (%)</t>
  </si>
  <si>
    <t>AHS MaxRate (%)</t>
  </si>
  <si>
    <t>AHS MinRate (%)</t>
  </si>
  <si>
    <t>AHS SpecificDuty Imports(US$ Thousand)</t>
  </si>
  <si>
    <t>AHS Dutiable Imports (US$ Thousand)</t>
  </si>
  <si>
    <t>AHS Duty Free Imports (US$ Thousand)</t>
  </si>
  <si>
    <t>MFN Simple Average (%)</t>
  </si>
  <si>
    <t>MFN Weighted Average (%)</t>
  </si>
  <si>
    <t>MFN Total Tariff Lines</t>
  </si>
  <si>
    <t>MFN Dutiable Tariff Lines Share (%)</t>
  </si>
  <si>
    <t>MFN Duty Free Tariff Lines Share (%)</t>
  </si>
  <si>
    <t>MFN Specific Tariff Lines Share (%)</t>
  </si>
  <si>
    <t>MFN AVE Tariff Lines Share (%)</t>
  </si>
  <si>
    <t>MFN MaxRate (%)</t>
  </si>
  <si>
    <t>MFN MinRate (%)</t>
  </si>
  <si>
    <t>MFN SpecificDuty Imports (US$ Thousand)</t>
  </si>
  <si>
    <t>MFN Dutiable Imports (US$ Thousand)</t>
  </si>
  <si>
    <t>MFN Duty Free Imports (US$ Thousand)</t>
  </si>
  <si>
    <t>No Of Tariff Agreement</t>
  </si>
  <si>
    <t>Hungary</t>
  </si>
  <si>
    <t>Afghanistan</t>
  </si>
  <si>
    <t>Exports &amp; Imports</t>
  </si>
  <si>
    <t>Angola</t>
  </si>
  <si>
    <t>Albania</t>
  </si>
  <si>
    <t>United Arab Emirates</t>
  </si>
  <si>
    <t>Argentina</t>
  </si>
  <si>
    <t>Antigua and Barbuda</t>
  </si>
  <si>
    <t>Australia</t>
  </si>
  <si>
    <t>Austria</t>
  </si>
  <si>
    <t>Bangladesh</t>
  </si>
  <si>
    <t>Bulgaria</t>
  </si>
  <si>
    <t>Bahrain</t>
  </si>
  <si>
    <t>Bahamas, The</t>
  </si>
  <si>
    <t>Belgium-Luxembourg</t>
  </si>
  <si>
    <t>Belize</t>
  </si>
  <si>
    <t>Bermuda</t>
  </si>
  <si>
    <t>Bolivia</t>
  </si>
  <si>
    <t>Brazil</t>
  </si>
  <si>
    <t>Barbados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</si>
  <si>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</si>
  <si>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</si>
  <si>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</si>
  <si>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</si>
  <si>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</si>
  <si>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</si>
  <si>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</si>
  <si>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Rep.</t>
  </si>
  <si>
    <t>Colombia</t>
  </si>
  <si>
    <t>Comoros</t>
  </si>
  <si>
    <t>Costa Rica</t>
  </si>
  <si>
    <t>Czechoslovakia</t>
  </si>
  <si>
    <t>Cuba</t>
  </si>
  <si>
    <t>Cyprus</t>
  </si>
  <si>
    <t>Germany</t>
  </si>
  <si>
    <t>Djibouti</t>
  </si>
  <si>
    <t>Denmark</t>
  </si>
  <si>
    <t>Dominican Republic</t>
  </si>
  <si>
    <t>Algeria</t>
  </si>
  <si>
    <t>East Asia &amp; Pacific</t>
  </si>
  <si>
    <t>Europe &amp; Central Asia</t>
  </si>
  <si>
    <t>Ecuador</t>
  </si>
  <si>
    <t>Egypt, Arab Rep.</t>
  </si>
  <si>
    <t>Spain</t>
  </si>
  <si>
    <t>Finland</t>
  </si>
  <si>
    <t>Falkland Island</t>
  </si>
  <si>
    <t>France</t>
  </si>
  <si>
    <t>Gabon</t>
  </si>
  <si>
    <t>United Kingdom</t>
  </si>
  <si>
    <t>Ghana</t>
  </si>
  <si>
    <t>Gibraltar</t>
  </si>
  <si>
    <t>Guinea</t>
  </si>
  <si>
    <t>Guinea-Bissau</t>
  </si>
  <si>
    <t>Greece</t>
  </si>
  <si>
    <t>Grenada</t>
  </si>
  <si>
    <t>Guatemala</t>
  </si>
  <si>
    <t>Guyana</t>
  </si>
  <si>
    <t>Hong Kong, China</t>
  </si>
  <si>
    <t>Honduras</t>
  </si>
  <si>
    <t>Haiti</t>
  </si>
  <si>
    <t>Indonesia</t>
  </si>
  <si>
    <t>India</t>
  </si>
  <si>
    <t>Ireland</t>
  </si>
  <si>
    <t>Iran, Islamic Rep.</t>
  </si>
  <si>
    <t>Iceland</t>
  </si>
  <si>
    <t>Israel</t>
  </si>
  <si>
    <t>Italy</t>
  </si>
  <si>
    <t>Jamaica</t>
  </si>
  <si>
    <t>Jordan</t>
  </si>
  <si>
    <t>Japan</t>
  </si>
  <si>
    <t>Kenya</t>
  </si>
  <si>
    <t>Cambodia</t>
  </si>
  <si>
    <t>Korea, Rep.</t>
  </si>
  <si>
    <t>Kuwait</t>
  </si>
  <si>
    <t>Lao PDR</t>
  </si>
  <si>
    <t>Lebanon</t>
  </si>
  <si>
    <t>Liberia</t>
  </si>
  <si>
    <t>Libya</t>
  </si>
  <si>
    <t>St. Lucia</t>
  </si>
  <si>
    <t>Latin America &amp; Caribbean</t>
  </si>
  <si>
    <t>Sri Lanka</t>
  </si>
  <si>
    <t>Macao</t>
  </si>
  <si>
    <t>Morocco</t>
  </si>
  <si>
    <t>Madagascar</t>
  </si>
  <si>
    <t>Middle East &amp; North Africa</t>
  </si>
  <si>
    <t>Mexico</t>
  </si>
  <si>
    <t>Mali</t>
  </si>
  <si>
    <t>Malta</t>
  </si>
  <si>
    <t>Myanmar</t>
  </si>
  <si>
    <t>Mongolia</t>
  </si>
  <si>
    <t>Mauritania</t>
  </si>
  <si>
    <t>Mauritius</t>
  </si>
  <si>
    <t>Malawi</t>
  </si>
  <si>
    <t>Malaysia</t>
  </si>
  <si>
    <t>North America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</si>
  <si>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</si>
  <si>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</si>
  <si>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</si>
  <si>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</si>
  <si>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</si>
  <si>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</si>
  <si>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</si>
  <si>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</si>
  <si>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Other Asia, nes</t>
  </si>
  <si>
    <t>Pakistan</t>
  </si>
  <si>
    <t>Panama</t>
  </si>
  <si>
    <t>Peru</t>
  </si>
  <si>
    <t>Philippines</t>
  </si>
  <si>
    <t>Papua New Guinea</t>
  </si>
  <si>
    <t>Poland</t>
  </si>
  <si>
    <t>Korea, Dem. Rep.</t>
  </si>
  <si>
    <t>Portugal</t>
  </si>
  <si>
    <t>Paraguay</t>
  </si>
  <si>
    <t>Qatar</t>
  </si>
  <si>
    <t>Romania</t>
  </si>
  <si>
    <t>Russian Federation</t>
  </si>
  <si>
    <t>Rwanda</t>
  </si>
  <si>
    <t>South Asia</t>
  </si>
  <si>
    <t>Saudi Arabia</t>
  </si>
  <si>
    <t>Fm Sudan</t>
  </si>
  <si>
    <t>Senegal</t>
  </si>
  <si>
    <t>Serbia, FR(Serbia/Montenegro)</t>
  </si>
  <si>
    <t>Singapore</t>
  </si>
  <si>
    <t>Solomon Islands</t>
  </si>
  <si>
    <t>Sierra Leone</t>
  </si>
  <si>
    <t>El Salvador</t>
  </si>
  <si>
    <t>Somalia</t>
  </si>
  <si>
    <t>Sub-Saharan Africa</t>
  </si>
  <si>
    <t>Sao Tome and Principe</t>
  </si>
  <si>
    <t>Suriname</t>
  </si>
  <si>
    <t>Sweden</t>
  </si>
  <si>
    <t>Seychelles</t>
  </si>
  <si>
    <t>Syrian Arab Republic</t>
  </si>
  <si>
    <t>Thailand</t>
  </si>
  <si>
    <t>Trinidad and Tobago</t>
  </si>
  <si>
    <t>Tunisia</t>
  </si>
  <si>
    <t>Turkey</t>
  </si>
  <si>
    <t>Tanzania</t>
  </si>
  <si>
    <t>Uganda</t>
  </si>
  <si>
    <t>Unspecified</t>
  </si>
  <si>
    <t>Uruguay</t>
  </si>
  <si>
    <t>United States</t>
  </si>
  <si>
    <t>Us Msc.Pac.I</t>
  </si>
  <si>
    <t>Venezuela</t>
  </si>
  <si>
    <t>Vietnam</t>
  </si>
  <si>
    <t>Vanuatu</t>
  </si>
  <si>
    <t xml:space="preserve"> World</t>
  </si>
  <si>
    <t>Yemen</t>
  </si>
  <si>
    <t>South Africa</t>
  </si>
  <si>
    <t>Congo, Dem. Rep.</t>
  </si>
  <si>
    <t>Zambia</t>
  </si>
  <si>
    <t>Zimbabwe</t>
  </si>
  <si>
    <t>EU Import share</t>
  </si>
  <si>
    <t>Andorra</t>
  </si>
  <si>
    <t>Netherlands Antilles</t>
  </si>
  <si>
    <t>Armenia</t>
  </si>
  <si>
    <t>Azerbaijan</t>
  </si>
  <si>
    <t>Burundi</t>
  </si>
  <si>
    <t>Belgium</t>
  </si>
  <si>
    <t>Benin</t>
  </si>
  <si>
    <t>Burkina Faso</t>
  </si>
  <si>
    <t>Bosnia and Herzegovina</t>
  </si>
  <si>
    <t>Belarus</t>
  </si>
  <si>
    <t>Brunei</t>
  </si>
  <si>
    <t>Botswana</t>
  </si>
  <si>
    <t>Cayman Islands</t>
  </si>
  <si>
    <t>Czech Republic</t>
  </si>
  <si>
    <t>Dominica</t>
  </si>
  <si>
    <t>Estonia</t>
  </si>
  <si>
    <t>Ethiopia(excludes Eritrea)</t>
  </si>
  <si>
    <t>Fiji</t>
  </si>
  <si>
    <t>Micronesia, Fed. Sts.</t>
  </si>
  <si>
    <t>Georgia</t>
  </si>
  <si>
    <t>Gambia, The</t>
  </si>
  <si>
    <t>Equatorial Guinea</t>
  </si>
  <si>
    <t>Croatia</t>
  </si>
  <si>
    <t>Kazakhstan</t>
  </si>
  <si>
    <t>Kyrgyz Republic</t>
  </si>
  <si>
    <t>Kiribati</t>
  </si>
  <si>
    <t>St. Kitts and Nevis</t>
  </si>
  <si>
    <t>Lithuania</t>
  </si>
  <si>
    <t>Luxembourg</t>
  </si>
  <si>
    <t>Latvia</t>
  </si>
  <si>
    <t>Moldova</t>
  </si>
  <si>
    <t>Maldives</t>
  </si>
  <si>
    <t>North Macedonia</t>
  </si>
  <si>
    <t>Mozambique</t>
  </si>
  <si>
    <t>Montserrat</t>
  </si>
  <si>
    <t>Namibia</t>
  </si>
  <si>
    <t>New Caledonia</t>
  </si>
  <si>
    <t>Oman</t>
  </si>
  <si>
    <t>San Marino</t>
  </si>
  <si>
    <t>Slovak Republic</t>
  </si>
  <si>
    <t>Slovenia</t>
  </si>
  <si>
    <t>Eswatini</t>
  </si>
  <si>
    <t>Chad</t>
  </si>
  <si>
    <t>Tajikistan</t>
  </si>
  <si>
    <t>Turkmenistan</t>
  </si>
  <si>
    <t>Tonga</t>
  </si>
  <si>
    <t>Tuvalu</t>
  </si>
  <si>
    <t>Ukraine</t>
  </si>
  <si>
    <t>Uzbekistan</t>
  </si>
  <si>
    <t>St. Vincent and the Grenadines</t>
  </si>
  <si>
    <t>Aruba</t>
  </si>
  <si>
    <t>Cook Islands</t>
  </si>
  <si>
    <t>Greenland</t>
  </si>
  <si>
    <t>Iraq</t>
  </si>
  <si>
    <t>Marshall Islands</t>
  </si>
  <si>
    <t>Montenegro</t>
  </si>
  <si>
    <t>Turks and Caicos Isl.</t>
  </si>
  <si>
    <t>Tokelau</t>
  </si>
  <si>
    <t>British Virgin Islands</t>
  </si>
  <si>
    <t>Selected Nomen</t>
  </si>
  <si>
    <t>Native Nomen</t>
  </si>
  <si>
    <t>Reporter</t>
  </si>
  <si>
    <t>Product</t>
  </si>
  <si>
    <t>Product Name</t>
  </si>
  <si>
    <t>Partner</t>
  </si>
  <si>
    <t>Tariff Year</t>
  </si>
  <si>
    <t>Trade Year</t>
  </si>
  <si>
    <t>Trade Source</t>
  </si>
  <si>
    <t>DutyType</t>
  </si>
  <si>
    <t>Simple Average</t>
  </si>
  <si>
    <t>Weighted Average</t>
  </si>
  <si>
    <t>Standard Deviation</t>
  </si>
  <si>
    <t>Minimum Rate</t>
  </si>
  <si>
    <t>Maximum Rate</t>
  </si>
  <si>
    <t>Nbr of Total Lines</t>
  </si>
  <si>
    <t>Nbr of DomesticPeaks</t>
  </si>
  <si>
    <t>Nbr of InternationalPeaks</t>
  </si>
  <si>
    <t>Imports Value in 1000 USD</t>
  </si>
  <si>
    <t>Binding Coverage</t>
  </si>
  <si>
    <t>HS</t>
  </si>
  <si>
    <t>H0</t>
  </si>
  <si>
    <t xml:space="preserve"> Total</t>
  </si>
  <si>
    <t>Total Trade</t>
  </si>
  <si>
    <t/>
  </si>
  <si>
    <t xml:space="preserve">All countries  All --- All  </t>
  </si>
  <si>
    <t>TRN</t>
  </si>
  <si>
    <t>AHS</t>
  </si>
  <si>
    <t>12.36</t>
  </si>
  <si>
    <t>10.07</t>
  </si>
  <si>
    <t>10.87</t>
  </si>
  <si>
    <t>500</t>
  </si>
  <si>
    <t>11115173</t>
  </si>
  <si>
    <t xml:space="preserve">EU25 --- EU25 members   --- EU25  </t>
  </si>
  <si>
    <t>12.66</t>
  </si>
  <si>
    <t>12.18</t>
  </si>
  <si>
    <t>10.63</t>
  </si>
  <si>
    <t>150</t>
  </si>
  <si>
    <t>6644519</t>
  </si>
  <si>
    <t xml:space="preserve">EU27 --- EU27 members --- EU27  </t>
  </si>
  <si>
    <t>12.68</t>
  </si>
  <si>
    <t>12.16</t>
  </si>
  <si>
    <t>10.64</t>
  </si>
  <si>
    <t>6740106</t>
  </si>
  <si>
    <t xml:space="preserve">EU28 - EU members (excl. UK) --- EU-UK  </t>
  </si>
  <si>
    <t>12.14</t>
  </si>
  <si>
    <t>10.65</t>
  </si>
  <si>
    <t>6460277</t>
  </si>
  <si>
    <t>CMT</t>
  </si>
  <si>
    <t>10.21</t>
  </si>
  <si>
    <t>8.96</t>
  </si>
  <si>
    <t>11.58</t>
  </si>
  <si>
    <t>800</t>
  </si>
  <si>
    <t>11376083</t>
  </si>
  <si>
    <t>10.34</t>
  </si>
  <si>
    <t>9.18</t>
  </si>
  <si>
    <t>7479712</t>
  </si>
  <si>
    <t>10.36</t>
  </si>
  <si>
    <t>10.16</t>
  </si>
  <si>
    <t>9.25</t>
  </si>
  <si>
    <t>7632251</t>
  </si>
  <si>
    <t>10.33</t>
  </si>
  <si>
    <t>10.14</t>
  </si>
  <si>
    <t>9.21</t>
  </si>
  <si>
    <t>7314124</t>
  </si>
  <si>
    <t>H1</t>
  </si>
  <si>
    <t>10.32</t>
  </si>
  <si>
    <t>8.62</t>
  </si>
  <si>
    <t>14.1</t>
  </si>
  <si>
    <t>142.4</t>
  </si>
  <si>
    <t>16042644.016</t>
  </si>
  <si>
    <t>10.66</t>
  </si>
  <si>
    <t>9.95</t>
  </si>
  <si>
    <t>14.68</t>
  </si>
  <si>
    <t>10903632</t>
  </si>
  <si>
    <t>10.67</t>
  </si>
  <si>
    <t>9.9</t>
  </si>
  <si>
    <t>14.71</t>
  </si>
  <si>
    <t>11104333</t>
  </si>
  <si>
    <t>9.86</t>
  </si>
  <si>
    <t>14.72</t>
  </si>
  <si>
    <t>10579013</t>
  </si>
  <si>
    <t>5.85</t>
  </si>
  <si>
    <t>4.48</t>
  </si>
  <si>
    <t>138.6</t>
  </si>
  <si>
    <t>20918387.016</t>
  </si>
  <si>
    <t>4.22</t>
  </si>
  <si>
    <t>3.78</t>
  </si>
  <si>
    <t>15.84</t>
  </si>
  <si>
    <t>14616261</t>
  </si>
  <si>
    <t>4.33</t>
  </si>
  <si>
    <t>3.81</t>
  </si>
  <si>
    <t>15.79</t>
  </si>
  <si>
    <t>14828531</t>
  </si>
  <si>
    <t>4.36</t>
  </si>
  <si>
    <t>3.83</t>
  </si>
  <si>
    <t>15.75</t>
  </si>
  <si>
    <t>14105189</t>
  </si>
  <si>
    <t>H2</t>
  </si>
  <si>
    <t>8.89</t>
  </si>
  <si>
    <t>7.91</t>
  </si>
  <si>
    <t>10.7</t>
  </si>
  <si>
    <t>127.5</t>
  </si>
  <si>
    <t>37080050</t>
  </si>
  <si>
    <t>8.92</t>
  </si>
  <si>
    <t>8.88</t>
  </si>
  <si>
    <t>11.57</t>
  </si>
  <si>
    <t>23700920</t>
  </si>
  <si>
    <t>8.94</t>
  </si>
  <si>
    <t>8.87</t>
  </si>
  <si>
    <t>11.51</t>
  </si>
  <si>
    <t>24238028</t>
  </si>
  <si>
    <t>8.98</t>
  </si>
  <si>
    <t>11.56</t>
  </si>
  <si>
    <t>23176819</t>
  </si>
  <si>
    <t>2.34</t>
  </si>
  <si>
    <t>1.13</t>
  </si>
  <si>
    <t>4.37</t>
  </si>
  <si>
    <t>74.9</t>
  </si>
  <si>
    <t>15644337</t>
  </si>
  <si>
    <t>2.55</t>
  </si>
  <si>
    <t>1.12</t>
  </si>
  <si>
    <t>4.3</t>
  </si>
  <si>
    <t>57.6</t>
  </si>
  <si>
    <t>18988067</t>
  </si>
  <si>
    <t>2.46</t>
  </si>
  <si>
    <t>1.3</t>
  </si>
  <si>
    <t>3.96</t>
  </si>
  <si>
    <t>19624063</t>
  </si>
  <si>
    <t>H3</t>
  </si>
  <si>
    <t>2.33</t>
  </si>
  <si>
    <t>3.85</t>
  </si>
  <si>
    <t>27729492</t>
  </si>
  <si>
    <t>2.07</t>
  </si>
  <si>
    <t>0.93</t>
  </si>
  <si>
    <t>3.59</t>
  </si>
  <si>
    <t>29089151</t>
  </si>
  <si>
    <t>Column1</t>
  </si>
  <si>
    <t>year</t>
  </si>
  <si>
    <t>import_share_WB</t>
  </si>
  <si>
    <t xml:space="preserve">EU15 --- EU15  </t>
  </si>
  <si>
    <t>12.34</t>
  </si>
  <si>
    <t>10.62</t>
  </si>
  <si>
    <t>6421851</t>
  </si>
  <si>
    <t>10.35</t>
  </si>
  <si>
    <t>10.56</t>
  </si>
  <si>
    <t>9.37</t>
  </si>
  <si>
    <t>6512201</t>
  </si>
  <si>
    <t>10.78</t>
  </si>
  <si>
    <t>10.43</t>
  </si>
  <si>
    <t>14.82</t>
  </si>
  <si>
    <t>9230657</t>
  </si>
  <si>
    <t>4.23</t>
  </si>
  <si>
    <t>3.75</t>
  </si>
  <si>
    <t>16.47</t>
  </si>
  <si>
    <t>12742513</t>
  </si>
  <si>
    <t>8.86</t>
  </si>
  <si>
    <t>11.72</t>
  </si>
  <si>
    <t>20950739</t>
  </si>
  <si>
    <t>Import value</t>
  </si>
  <si>
    <t>current LCU</t>
  </si>
  <si>
    <t>Import tariff revenue</t>
  </si>
  <si>
    <t>Implied tariff rate</t>
  </si>
  <si>
    <t>GDP</t>
  </si>
  <si>
    <t>German GDP</t>
  </si>
  <si>
    <t>German growth from 1991</t>
  </si>
  <si>
    <t>GDP per capita comparisons</t>
  </si>
  <si>
    <t>Hungary Savings rate</t>
  </si>
  <si>
    <t>Domestic saving rate</t>
  </si>
  <si>
    <t>Savings rate from peak to trough</t>
  </si>
  <si>
    <t>12% to 27%</t>
  </si>
  <si>
    <t>EU GDP PPP per capita</t>
  </si>
  <si>
    <t>relative to Gerrmany</t>
  </si>
  <si>
    <t>relative to EU</t>
  </si>
  <si>
    <t>TFP</t>
  </si>
  <si>
    <t>TFP new base</t>
  </si>
  <si>
    <t>Current price, from FRED</t>
  </si>
  <si>
    <t>Hungary Growth from 1991 to 2008</t>
  </si>
  <si>
    <t>Hungary Growth from 1991 to 2001</t>
  </si>
  <si>
    <t>National Accounts: GDP by Expenditure: Current Prices: Private Final Consumption Expenditure for Hungary (HUNPFCEADSMEI)</t>
  </si>
  <si>
    <t>Hungary Cons</t>
  </si>
  <si>
    <t>1991 base</t>
  </si>
  <si>
    <t>Capital</t>
  </si>
  <si>
    <t>Capital Stock at Constant National Prices for Hungary (RKNANPHUA666NRUG)</t>
  </si>
  <si>
    <t>with 1991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</si>
  <si>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</si>
  <si>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</si>
  <si>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</si>
  <si>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</si>
  <si>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</si>
  <si>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</si>
  <si>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</si>
  <si>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</si>
  <si>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</si>
  <si>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</si>
  <si>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</si>
  <si>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</si>
  <si>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</si>
  <si>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</si>
  <si>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</si>
  <si>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</si>
  <si>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</si>
  <si>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</si>
  <si>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</si>
  <si>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</si>
  <si>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</si>
  <si>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</si>
  <si>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</si>
  <si>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</si>
  <si>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</si>
  <si>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</si>
  <si>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</si>
  <si>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</si>
  <si>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</si>
  <si>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</si>
  <si>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</si>
  <si>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</si>
  <si>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</si>
  <si>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</si>
  <si>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</si>
  <si>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</si>
  <si>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</si>
  <si>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</si>
  <si>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</si>
  <si>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</si>
  <si>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</si>
  <si>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</si>
  <si>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</si>
  <si>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</si>
  <si>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</si>
  <si>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</si>
  <si>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</si>
  <si>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</si>
  <si>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</si>
  <si>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</si>
  <si>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</si>
  <si>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</si>
  <si>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</si>
  <si>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</si>
  <si>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</si>
  <si>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</si>
  <si>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</si>
  <si>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</si>
  <si>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</si>
  <si>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</si>
  <si>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</si>
  <si>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</si>
  <si>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</si>
  <si>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</si>
  <si>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</si>
  <si>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</si>
  <si>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</si>
  <si>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</si>
  <si>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</si>
  <si>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Data Source</t>
  </si>
  <si>
    <t>World Development Indicators</t>
  </si>
  <si>
    <t>Last Updated Date</t>
  </si>
  <si>
    <t>2025-04-15</t>
  </si>
  <si>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</si>
  <si>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</si>
  <si>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</si>
  <si>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</si>
  <si>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</si>
  <si>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</si>
  <si>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</si>
  <si>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</si>
  <si>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</si>
  <si>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</si>
  <si>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</si>
  <si>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</si>
  <si>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</si>
  <si>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</si>
  <si>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</si>
  <si>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</si>
  <si>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</si>
  <si>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</si>
  <si>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</si>
  <si>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</si>
  <si>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</si>
  <si>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</si>
  <si>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</si>
  <si>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</si>
  <si>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</si>
  <si>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</si>
  <si>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</si>
  <si>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</si>
  <si>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</si>
  <si>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</si>
  <si>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</si>
  <si>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</si>
  <si>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</si>
  <si>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</si>
  <si>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</si>
  <si>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</si>
  <si>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</si>
  <si>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</si>
  <si>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</si>
  <si>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</si>
  <si>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</si>
  <si>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</si>
  <si>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</si>
  <si>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</si>
  <si>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</si>
  <si>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</si>
  <si>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</si>
  <si>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</si>
  <si>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</si>
  <si>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</si>
  <si>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</si>
  <si>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</si>
  <si>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</si>
  <si>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</si>
  <si>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</si>
  <si>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</si>
  <si>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</si>
  <si>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</si>
  <si>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</si>
  <si>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</si>
  <si>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</si>
  <si>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</si>
  <si>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</si>
  <si>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</si>
  <si>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</si>
  <si>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</si>
  <si>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</si>
  <si>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</si>
  <si>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</si>
  <si>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ABW</t>
  </si>
  <si>
    <t>Lending interest rate (%)</t>
  </si>
  <si>
    <t>FR.INR.LEND</t>
  </si>
  <si>
    <t>11</t>
  </si>
  <si>
    <t>10.3</t>
  </si>
  <si>
    <t>10.2416666666667</t>
  </si>
  <si>
    <t>10.475</t>
  </si>
  <si>
    <t>10.6</t>
  </si>
  <si>
    <t>10.675</t>
  </si>
  <si>
    <t>10.375</t>
  </si>
  <si>
    <t>10.25</t>
  </si>
  <si>
    <t>11.0416666666667</t>
  </si>
  <si>
    <t>13.1416666666667</t>
  </si>
  <si>
    <t>12.0666666666667</t>
  </si>
  <si>
    <t>12.6</t>
  </si>
  <si>
    <t>11.3</t>
  </si>
  <si>
    <t>9.6</t>
  </si>
  <si>
    <t>9.5</t>
  </si>
  <si>
    <t>10.4</t>
  </si>
  <si>
    <t>10.5</t>
  </si>
  <si>
    <t>9</t>
  </si>
  <si>
    <t>8.4</t>
  </si>
  <si>
    <t>8.5</t>
  </si>
  <si>
    <t>7.3</t>
  </si>
  <si>
    <t>7</t>
  </si>
  <si>
    <t>6.9</t>
  </si>
  <si>
    <t>6.3</t>
  </si>
  <si>
    <t>6</t>
  </si>
  <si>
    <t>5.7</t>
  </si>
  <si>
    <t>6.8</t>
  </si>
  <si>
    <t>6.4</t>
  </si>
  <si>
    <t>6.1</t>
  </si>
  <si>
    <t>5.8</t>
  </si>
  <si>
    <t>Africa Eastern and Southern</t>
  </si>
  <si>
    <t>AFE</t>
  </si>
  <si>
    <t>AFG</t>
  </si>
  <si>
    <t>17.97</t>
  </si>
  <si>
    <t>18.135</t>
  </si>
  <si>
    <t>14.9175</t>
  </si>
  <si>
    <t>15</t>
  </si>
  <si>
    <t>15.6122222222222</t>
  </si>
  <si>
    <t>15.1458333333333</t>
  </si>
  <si>
    <t>15.0791666666667</t>
  </si>
  <si>
    <t>14.8366666666667</t>
  </si>
  <si>
    <t>Africa Western and Central</t>
  </si>
  <si>
    <t>AFW</t>
  </si>
  <si>
    <t>AGO</t>
  </si>
  <si>
    <t>206.25</t>
  </si>
  <si>
    <t>217.875</t>
  </si>
  <si>
    <t>37.75</t>
  </si>
  <si>
    <t>45</t>
  </si>
  <si>
    <t>80.2966666666667</t>
  </si>
  <si>
    <t>103.160174166667</t>
  </si>
  <si>
    <t>95.9665608333333</t>
  </si>
  <si>
    <t>97.3358333333333</t>
  </si>
  <si>
    <t>96.115</t>
  </si>
  <si>
    <t>82.3341666666667</t>
  </si>
  <si>
    <t>67.7181307369684</t>
  </si>
  <si>
    <t>19.5108144527911</t>
  </si>
  <si>
    <t>17.6988356005955</t>
  </si>
  <si>
    <t>12.533605759663</t>
  </si>
  <si>
    <t>15.682074235437</t>
  </si>
  <si>
    <t>22.5435720221269</t>
  </si>
  <si>
    <t>18.7572405365757</t>
  </si>
  <si>
    <t>16.6564013212232</t>
  </si>
  <si>
    <t>15.8086382955866</t>
  </si>
  <si>
    <t>16.3822709411366</t>
  </si>
  <si>
    <t>16.8818623998822</t>
  </si>
  <si>
    <t>15.7805039391116</t>
  </si>
  <si>
    <t>15.8061003813255</t>
  </si>
  <si>
    <t>20.6770040277157</t>
  </si>
  <si>
    <t>19.295367205655</t>
  </si>
  <si>
    <t>19.6558949254322</t>
  </si>
  <si>
    <t>19.4031546297083</t>
  </si>
  <si>
    <t>20.1172113762759</t>
  </si>
  <si>
    <t>16.9208615225951</t>
  </si>
  <si>
    <t>19.3991553172159</t>
  </si>
  <si>
    <t>ALB</t>
  </si>
  <si>
    <t>1</t>
  </si>
  <si>
    <t>20.5833333333333</t>
  </si>
  <si>
    <t>29.5833333333333</t>
  </si>
  <si>
    <t>23.6666666666667</t>
  </si>
  <si>
    <t>19.65</t>
  </si>
  <si>
    <t>23.9583333333333</t>
  </si>
  <si>
    <t>32.7083333333333</t>
  </si>
  <si>
    <t>21.615</t>
  </si>
  <si>
    <t>22.1025</t>
  </si>
  <si>
    <t>19.6541666666667</t>
  </si>
  <si>
    <t>15.3041666666667</t>
  </si>
  <si>
    <t>14.2708333333333</t>
  </si>
  <si>
    <t>11.7615218344487</t>
  </si>
  <si>
    <t>13.075</t>
  </si>
  <si>
    <t>12.9399428618515</t>
  </si>
  <si>
    <t>14.0996227871662</t>
  </si>
  <si>
    <t>13.0196427128802</t>
  </si>
  <si>
    <t>12.6609351537225</t>
  </si>
  <si>
    <t>12.8223298853561</t>
  </si>
  <si>
    <t>12.4320985987679</t>
  </si>
  <si>
    <t>10.8803465425902</t>
  </si>
  <si>
    <t>9.8266043443155</t>
  </si>
  <si>
    <t>7.9725</t>
  </si>
  <si>
    <t>7.8775</t>
  </si>
  <si>
    <t>6.73416666666667</t>
  </si>
  <si>
    <t>6.22</t>
  </si>
  <si>
    <t>5.9325</t>
  </si>
  <si>
    <t>6.27583333333333</t>
  </si>
  <si>
    <t>6.12083333333333</t>
  </si>
  <si>
    <t>6.02166666666667</t>
  </si>
  <si>
    <t>6.50666666666667</t>
  </si>
  <si>
    <t>6.35166666666667</t>
  </si>
  <si>
    <t>6.44333333333333</t>
  </si>
  <si>
    <t>AND</t>
  </si>
  <si>
    <t>Arab World</t>
  </si>
  <si>
    <t>ARB</t>
  </si>
  <si>
    <t>ARE</t>
  </si>
  <si>
    <t>ARG</t>
  </si>
  <si>
    <t>10.5575</t>
  </si>
  <si>
    <t>14.0875</t>
  </si>
  <si>
    <t>14.0608333333333</t>
  </si>
  <si>
    <t>17.1491666666667</t>
  </si>
  <si>
    <t>24.0091666666667</t>
  </si>
  <si>
    <t>24.9158333333333</t>
  </si>
  <si>
    <t>31.2325</t>
  </si>
  <si>
    <t>26.5808333333333</t>
  </si>
  <si>
    <t>48.5166666666667</t>
  </si>
  <si>
    <t>67.2541666666667</t>
  </si>
  <si>
    <t>29.3875</t>
  </si>
  <si>
    <t>35.5583333333333</t>
  </si>
  <si>
    <t>52.3991666666667</t>
  </si>
  <si>
    <t>95.8941666666667</t>
  </si>
  <si>
    <t>61.7066666666667</t>
  </si>
  <si>
    <t>ARM</t>
  </si>
  <si>
    <t>96.1</t>
  </si>
  <si>
    <t>66.3583333333333</t>
  </si>
  <si>
    <t>54.2275</t>
  </si>
  <si>
    <t>48.485</t>
  </si>
  <si>
    <t>38.8483333333333</t>
  </si>
  <si>
    <t>31.5660003908333</t>
  </si>
  <si>
    <t>26.6875</t>
  </si>
  <si>
    <t>21.1369819305524</t>
  </si>
  <si>
    <t>20.8290544327249</t>
  </si>
  <si>
    <t>18.6332851199601</t>
  </si>
  <si>
    <t>17.9842728930413</t>
  </si>
  <si>
    <t>16.5251037109246</t>
  </si>
  <si>
    <t>17.5156853679268</t>
  </si>
  <si>
    <t>17.0494827336028</t>
  </si>
  <si>
    <t>18.7644705946022</t>
  </si>
  <si>
    <t>19.2004283143122</t>
  </si>
  <si>
    <t>17.7544737854169</t>
  </si>
  <si>
    <t>17.2300682381835</t>
  </si>
  <si>
    <t>15.9949873679769</t>
  </si>
  <si>
    <t>16.4086652627089</t>
  </si>
  <si>
    <t>17.5903303177529</t>
  </si>
  <si>
    <t>17.3567061146333</t>
  </si>
  <si>
    <t>14.4060016758329</t>
  </si>
  <si>
    <t>12.793041927804</t>
  </si>
  <si>
    <t>12.1419889531682</t>
  </si>
  <si>
    <t>11.6198425058429</t>
  </si>
  <si>
    <t>11.7619087610202</t>
  </si>
  <si>
    <t>11.7194139566373</t>
  </si>
  <si>
    <t>12.3852390680976</t>
  </si>
  <si>
    <t>13.149294481602</t>
  </si>
  <si>
    <t>American Samoa</t>
  </si>
  <si>
    <t>ASM</t>
  </si>
  <si>
    <t>ATG</t>
  </si>
  <si>
    <t>10.9200003306071</t>
  </si>
  <si>
    <t>11.6200003517998</t>
  </si>
  <si>
    <t>11.4800003475613</t>
  </si>
  <si>
    <t>11.0600003348456</t>
  </si>
  <si>
    <t>11.9000003602769</t>
  </si>
  <si>
    <t>10.64000032213</t>
  </si>
  <si>
    <t>9.380000283983</t>
  </si>
  <si>
    <t>12.6500000953674</t>
  </si>
  <si>
    <t>12.7000000476837</t>
  </si>
  <si>
    <t>12.6758596545235</t>
  </si>
  <si>
    <t>13.1467623059324</t>
  </si>
  <si>
    <t>12.695846968362</t>
  </si>
  <si>
    <t>12.2591910606266</t>
  </si>
  <si>
    <t>11.9825861100038</t>
  </si>
  <si>
    <t>12.1951114740288</t>
  </si>
  <si>
    <t>12.071877641383</t>
  </si>
  <si>
    <t>12.1715539440033</t>
  </si>
  <si>
    <t>11.6243803976043</t>
  </si>
  <si>
    <t>11.387913378312</t>
  </si>
  <si>
    <t>12.8219814495275</t>
  </si>
  <si>
    <t>11.9643907528209</t>
  </si>
  <si>
    <t>11.3939380792616</t>
  </si>
  <si>
    <t>10.8905898841823</t>
  </si>
  <si>
    <t>10.4385350357948</t>
  </si>
  <si>
    <t>10.4291009360419</t>
  </si>
  <si>
    <t>10.0653700920516</t>
  </si>
  <si>
    <t>10.9993475073677</t>
  </si>
  <si>
    <t>10.9144525231277</t>
  </si>
  <si>
    <t>10.1571966422671</t>
  </si>
  <si>
    <t>9.95235329417181</t>
  </si>
  <si>
    <t>10.0718377079627</t>
  </si>
  <si>
    <t>9.83508333333333</t>
  </si>
  <si>
    <t>9.575</t>
  </si>
  <si>
    <t>9.31</t>
  </si>
  <si>
    <t>8.976532</t>
  </si>
  <si>
    <t>8.61132908333333</t>
  </si>
  <si>
    <t>7.68383775</t>
  </si>
  <si>
    <t>7.39227225</t>
  </si>
  <si>
    <t>7.31490375</t>
  </si>
  <si>
    <t>6.71453383333333</t>
  </si>
  <si>
    <t>6.525259</t>
  </si>
  <si>
    <t>AUS</t>
  </si>
  <si>
    <t>5</t>
  </si>
  <si>
    <t>5.5</t>
  </si>
  <si>
    <t>5.125</t>
  </si>
  <si>
    <t>5.07291666666667</t>
  </si>
  <si>
    <t>5.3125</t>
  </si>
  <si>
    <t>5.375</t>
  </si>
  <si>
    <t>5.58333333333333</t>
  </si>
  <si>
    <t>5.875</t>
  </si>
  <si>
    <t>6.90625</t>
  </si>
  <si>
    <t>7.25</t>
  </si>
  <si>
    <t>7.02083333333333</t>
  </si>
  <si>
    <t>7.34375</t>
  </si>
  <si>
    <t>9.375</t>
  </si>
  <si>
    <t>10.2708333333333</t>
  </si>
  <si>
    <t>9.91666666666667</t>
  </si>
  <si>
    <t>9.875</t>
  </si>
  <si>
    <t>9.125</t>
  </si>
  <si>
    <t>9.97916666666667</t>
  </si>
  <si>
    <t>11.8333333333333</t>
  </si>
  <si>
    <t>13.2916666666667</t>
  </si>
  <si>
    <t>12.4166666666667</t>
  </si>
  <si>
    <t>11.5</t>
  </si>
  <si>
    <t>15.0833333333333</t>
  </si>
  <si>
    <t>14.0833333333333</t>
  </si>
  <si>
    <t>16.4583333333333</t>
  </si>
  <si>
    <t>16.3541666666667</t>
  </si>
  <si>
    <t>13.4166666666667</t>
  </si>
  <si>
    <t>10.5833333333333</t>
  </si>
  <si>
    <t>9.41666666666667</t>
  </si>
  <si>
    <t>9.0875</t>
  </si>
  <si>
    <t>9.72916666666667</t>
  </si>
  <si>
    <t>7.16666666666667</t>
  </si>
  <si>
    <t>6.68333333333333</t>
  </si>
  <si>
    <t>6.56666666666667</t>
  </si>
  <si>
    <t>7.71666666666667</t>
  </si>
  <si>
    <t>6.84166666666667</t>
  </si>
  <si>
    <t>6.3625</t>
  </si>
  <si>
    <t>6.6125</t>
  </si>
  <si>
    <t>7.05</t>
  </si>
  <si>
    <t>7.25833333333333</t>
  </si>
  <si>
    <t>7.6125</t>
  </si>
  <si>
    <t>8.19583333333333</t>
  </si>
  <si>
    <t>8.90833333333333</t>
  </si>
  <si>
    <t>6.02083333333333</t>
  </si>
  <si>
    <t>7.27916666666667</t>
  </si>
  <si>
    <t>7.7375</t>
  </si>
  <si>
    <t>6.975</t>
  </si>
  <si>
    <t>6.17916666666667</t>
  </si>
  <si>
    <t>5.95</t>
  </si>
  <si>
    <t>5.575</t>
  </si>
  <si>
    <t>5.42083333333333</t>
  </si>
  <si>
    <t>5.2455</t>
  </si>
  <si>
    <t>5.26083333333333</t>
  </si>
  <si>
    <t>5.101</t>
  </si>
  <si>
    <t>AUT</t>
  </si>
  <si>
    <t>AZE</t>
  </si>
  <si>
    <t>19.85</t>
  </si>
  <si>
    <t>19.4833333333333</t>
  </si>
  <si>
    <t>19.6558333333333</t>
  </si>
  <si>
    <t>19.7058333333333</t>
  </si>
  <si>
    <t>17.3708333333333</t>
  </si>
  <si>
    <t>15.4566666666667</t>
  </si>
  <si>
    <t>15.72</t>
  </si>
  <si>
    <t>17.0283333333333</t>
  </si>
  <si>
    <t>17.8633333333333</t>
  </si>
  <si>
    <t>19.1308333333333</t>
  </si>
  <si>
    <t>19.7625</t>
  </si>
  <si>
    <t>20.0291666666667</t>
  </si>
  <si>
    <t>20.7</t>
  </si>
  <si>
    <t>18.9883333333333</t>
  </si>
  <si>
    <t>18.3458333333333</t>
  </si>
  <si>
    <t>18.21</t>
  </si>
  <si>
    <t>17.8575</t>
  </si>
  <si>
    <t>17.5341666666667</t>
  </si>
  <si>
    <t>16.3752267159245</t>
  </si>
  <si>
    <t>16.5425</t>
  </si>
  <si>
    <t>17.4483333333333</t>
  </si>
  <si>
    <t>17.2812151745262</t>
  </si>
  <si>
    <t>17.1782012225111</t>
  </si>
  <si>
    <t>16.4259638117337</t>
  </si>
  <si>
    <t>14.5897924973182</t>
  </si>
  <si>
    <t>13.9648868370787</t>
  </si>
  <si>
    <t>14.6710589959746</t>
  </si>
  <si>
    <t>BDI</t>
  </si>
  <si>
    <t>12</t>
  </si>
  <si>
    <t>12.3416666666667</t>
  </si>
  <si>
    <t>12.7833333333333</t>
  </si>
  <si>
    <t>13.6583333333333</t>
  </si>
  <si>
    <t>13.7666666666667</t>
  </si>
  <si>
    <t>14.2</t>
  </si>
  <si>
    <t>15.2583333333333</t>
  </si>
  <si>
    <t>15.4</t>
  </si>
  <si>
    <t>15.2358333333333</t>
  </si>
  <si>
    <t>15.77</t>
  </si>
  <si>
    <t>16.8241666666667</t>
  </si>
  <si>
    <t>19.4675</t>
  </si>
  <si>
    <t>18.2308333333333</t>
  </si>
  <si>
    <t>18.2541666666667</t>
  </si>
  <si>
    <t>18.445</t>
  </si>
  <si>
    <t>17.0725</t>
  </si>
  <si>
    <t>16.8433333333333</t>
  </si>
  <si>
    <t>16.5208333333333</t>
  </si>
  <si>
    <t>14.0758333333333</t>
  </si>
  <si>
    <t>12.42</t>
  </si>
  <si>
    <t>13.2325</t>
  </si>
  <si>
    <t>14.32</t>
  </si>
  <si>
    <t>15.1475</t>
  </si>
  <si>
    <t>15.6683333333333</t>
  </si>
  <si>
    <t>15.3291666666667</t>
  </si>
  <si>
    <t>14.2383333333333</t>
  </si>
  <si>
    <t>14.7966666666667</t>
  </si>
  <si>
    <t>14.7891666666667</t>
  </si>
  <si>
    <t>14.5333333333333</t>
  </si>
  <si>
    <t>12.195</t>
  </si>
  <si>
    <t>12.8583333333333</t>
  </si>
  <si>
    <t>11.7725</t>
  </si>
  <si>
    <t>11.23</t>
  </si>
  <si>
    <t>BEL</t>
  </si>
  <si>
    <t>BEN</t>
  </si>
  <si>
    <t>8.04416666666667</t>
  </si>
  <si>
    <t>4.73666666666667</t>
  </si>
  <si>
    <t>4.75166666666667</t>
  </si>
  <si>
    <t>4.98416666666667</t>
  </si>
  <si>
    <t>4.9775</t>
  </si>
  <si>
    <t>5.11333333333333</t>
  </si>
  <si>
    <t>5.25591666666667</t>
  </si>
  <si>
    <t>5.03916666666667</t>
  </si>
  <si>
    <t>5.2875</t>
  </si>
  <si>
    <t>5.33833333333333</t>
  </si>
  <si>
    <t>5.15416666666667</t>
  </si>
  <si>
    <t>5.295</t>
  </si>
  <si>
    <t>6.93416666666667</t>
  </si>
  <si>
    <t>6.76333333333333</t>
  </si>
  <si>
    <t>6.68833333333333</t>
  </si>
  <si>
    <t>6.5375</t>
  </si>
  <si>
    <t>6.25</t>
  </si>
  <si>
    <t>BFA</t>
  </si>
  <si>
    <t>8.86833333333333</t>
  </si>
  <si>
    <t>6.51166666666667</t>
  </si>
  <si>
    <t>BGD</t>
  </si>
  <si>
    <t>10.2064285714286</t>
  </si>
  <si>
    <t>10.5157142857143</t>
  </si>
  <si>
    <t>11.1342857142857</t>
  </si>
  <si>
    <t>12.99</t>
  </si>
  <si>
    <t>14.8457142857143</t>
  </si>
  <si>
    <t>14.7683928571429</t>
  </si>
  <si>
    <t>13.9178571428571</t>
  </si>
  <si>
    <t>13.4539285714286</t>
  </si>
  <si>
    <t>12.9325</t>
  </si>
  <si>
    <t>13.0991666666667</t>
  </si>
  <si>
    <t>12.755</t>
  </si>
  <si>
    <t>12.82</t>
  </si>
  <si>
    <t>12.6091666666667</t>
  </si>
  <si>
    <t>12.0425</t>
  </si>
  <si>
    <t>10.3991666666667</t>
  </si>
  <si>
    <t>10.615</t>
  </si>
  <si>
    <t>11.6641666666667</t>
  </si>
  <si>
    <t>12.635</t>
  </si>
  <si>
    <t>12.8891666666667</t>
  </si>
  <si>
    <t>13.3266666666667</t>
  </si>
  <si>
    <t>12.2191666666667</t>
  </si>
  <si>
    <t>13.3216666666667</t>
  </si>
  <si>
    <t>13.9441666666667</t>
  </si>
  <si>
    <t>13.5933333333333</t>
  </si>
  <si>
    <t>12.945</t>
  </si>
  <si>
    <t>11.7091666666667</t>
  </si>
  <si>
    <t>10.4091666666667</t>
  </si>
  <si>
    <t>9.54</t>
  </si>
  <si>
    <t>9.65083333333333</t>
  </si>
  <si>
    <t>9.55583333333333</t>
  </si>
  <si>
    <t>8.295</t>
  </si>
  <si>
    <t>7.32416666666667</t>
  </si>
  <si>
    <t>7.12109342742786</t>
  </si>
  <si>
    <t>7.57</t>
  </si>
  <si>
    <t>9.8525</t>
  </si>
  <si>
    <t>BGR</t>
  </si>
  <si>
    <t>74.05</t>
  </si>
  <si>
    <t>76.8558333333333</t>
  </si>
  <si>
    <t>102.515875</t>
  </si>
  <si>
    <t>79.3615</t>
  </si>
  <si>
    <t>291.05985</t>
  </si>
  <si>
    <t>213.018416666667</t>
  </si>
  <si>
    <t>14.08335</t>
  </si>
  <si>
    <t>13.498425</t>
  </si>
  <si>
    <t>11.3433833333333</t>
  </si>
  <si>
    <t>11.1107666666667</t>
  </si>
  <si>
    <t>9.20784166666667</t>
  </si>
  <si>
    <t>8.54336666666667</t>
  </si>
  <si>
    <t>8.871325</t>
  </si>
  <si>
    <t>8.66098333333333</t>
  </si>
  <si>
    <t>8.892525</t>
  </si>
  <si>
    <t>9.99776666666667</t>
  </si>
  <si>
    <t>10.861425</t>
  </si>
  <si>
    <t>11.335</t>
  </si>
  <si>
    <t>11.1443666666667</t>
  </si>
  <si>
    <t>10.6294583333333</t>
  </si>
  <si>
    <t>9.71420833333333</t>
  </si>
  <si>
    <t>9.04340833333333</t>
  </si>
  <si>
    <t>8.26264166666667</t>
  </si>
  <si>
    <t>7.44886666666667</t>
  </si>
  <si>
    <t>6.39301666666667</t>
  </si>
  <si>
    <t>5.43955833333333</t>
  </si>
  <si>
    <t>4.963225</t>
  </si>
  <si>
    <t>4.54920833333333</t>
  </si>
  <si>
    <t>4.33663333333333</t>
  </si>
  <si>
    <t>4.11618333333333</t>
  </si>
  <si>
    <t>3.74595833333333</t>
  </si>
  <si>
    <t>4.43805833333333</t>
  </si>
  <si>
    <t>4.61249166666667</t>
  </si>
  <si>
    <t>BHR</t>
  </si>
  <si>
    <t>8.95833333333333</t>
  </si>
  <si>
    <t>7.5</t>
  </si>
  <si>
    <t>7.8</t>
  </si>
  <si>
    <t>8.41148197596796</t>
  </si>
  <si>
    <t>9.37632843791722</t>
  </si>
  <si>
    <t>11.7265954606142</t>
  </si>
  <si>
    <t>10.8359679572764</t>
  </si>
  <si>
    <t>10.7122696929239</t>
  </si>
  <si>
    <t>11.7018558077437</t>
  </si>
  <si>
    <t>12.320347129506</t>
  </si>
  <si>
    <t>12.1966488651535</t>
  </si>
  <si>
    <t>11.7958664886515</t>
  </si>
  <si>
    <t>11.7340173564753</t>
  </si>
  <si>
    <t>11.6028971962617</t>
  </si>
  <si>
    <t>10.6924779706275</t>
  </si>
  <si>
    <t>8.40653404539386</t>
  </si>
  <si>
    <t>8.29520560747664</t>
  </si>
  <si>
    <t>7.90431909212283</t>
  </si>
  <si>
    <t>7.82185358255452</t>
  </si>
  <si>
    <t>7.97523943035158</t>
  </si>
  <si>
    <t>8.26634267912772</t>
  </si>
  <si>
    <t>8.2234606141522</t>
  </si>
  <si>
    <t>7.94142857142857</t>
  </si>
  <si>
    <t>7.2475</t>
  </si>
  <si>
    <t>6.79083333333333</t>
  </si>
  <si>
    <t>6.035</t>
  </si>
  <si>
    <t>5.935</t>
  </si>
  <si>
    <t>5.86833333333333</t>
  </si>
  <si>
    <t>5.16083333333333</t>
  </si>
  <si>
    <t>BHS</t>
  </si>
  <si>
    <t>10.8333333333333</t>
  </si>
  <si>
    <t>10.3333333333333</t>
  </si>
  <si>
    <t>8.08333333333333</t>
  </si>
  <si>
    <t>7.45833333333333</t>
  </si>
  <si>
    <t>6.875</t>
  </si>
  <si>
    <t>6.75</t>
  </si>
  <si>
    <t>6.375</t>
  </si>
  <si>
    <t>5.54166666666667</t>
  </si>
  <si>
    <t>5.0625</t>
  </si>
  <si>
    <t>4.75</t>
  </si>
  <si>
    <t>4.25</t>
  </si>
  <si>
    <t>BIH</t>
  </si>
  <si>
    <t>12.6958333333333</t>
  </si>
  <si>
    <t>10.2816666666667</t>
  </si>
  <si>
    <t>9.6125</t>
  </si>
  <si>
    <t>8.01416666666667</t>
  </si>
  <si>
    <t>7.1725</t>
  </si>
  <si>
    <t>6.97833333333333</t>
  </si>
  <si>
    <t>7.9325</t>
  </si>
  <si>
    <t>7.88833333333333</t>
  </si>
  <si>
    <t>7.43166666666667</t>
  </si>
  <si>
    <t>7.32891666666667</t>
  </si>
  <si>
    <t>7.03604811133436</t>
  </si>
  <si>
    <t>6.64150863945302</t>
  </si>
  <si>
    <t>5.78888799043185</t>
  </si>
  <si>
    <t>5.23816683778765</t>
  </si>
  <si>
    <t>4.37958143265647</t>
  </si>
  <si>
    <t>3.79028136918822</t>
  </si>
  <si>
    <t>3.28722715810128</t>
  </si>
  <si>
    <t>3.07187413211574</t>
  </si>
  <si>
    <t>3.20129279505403</t>
  </si>
  <si>
    <t>3.36081655916726</t>
  </si>
  <si>
    <t>4.11153155413122</t>
  </si>
  <si>
    <t>4.4501687610148</t>
  </si>
  <si>
    <t>BLR</t>
  </si>
  <si>
    <t>21</t>
  </si>
  <si>
    <t>71.625</t>
  </si>
  <si>
    <t>148.5</t>
  </si>
  <si>
    <t>175</t>
  </si>
  <si>
    <t>62.3333333333333</t>
  </si>
  <si>
    <t>31.8</t>
  </si>
  <si>
    <t>26.9916666666667</t>
  </si>
  <si>
    <t>51.0416666666667</t>
  </si>
  <si>
    <t>67.6666666666667</t>
  </si>
  <si>
    <t>46.9666666666667</t>
  </si>
  <si>
    <t>36.8833333333333</t>
  </si>
  <si>
    <t>23.975</t>
  </si>
  <si>
    <t>16.9083333333333</t>
  </si>
  <si>
    <t>11.3583333333333</t>
  </si>
  <si>
    <t>8.84166666666667</t>
  </si>
  <si>
    <t>8.575</t>
  </si>
  <si>
    <t>8.55</t>
  </si>
  <si>
    <t>11.675</t>
  </si>
  <si>
    <t>9.21666666666667</t>
  </si>
  <si>
    <t>13.575</t>
  </si>
  <si>
    <t>19.4916666666667</t>
  </si>
  <si>
    <t>19.1333333333333</t>
  </si>
  <si>
    <t>18.7416666666667</t>
  </si>
  <si>
    <t>18.0833333333333</t>
  </si>
  <si>
    <t>14.4</t>
  </si>
  <si>
    <t>9.65871241633364</t>
  </si>
  <si>
    <t>8.69583333333333</t>
  </si>
  <si>
    <t>9.02333333333333</t>
  </si>
  <si>
    <t>9.0325</t>
  </si>
  <si>
    <t>10.1175</t>
  </si>
  <si>
    <t>12.7158333333333</t>
  </si>
  <si>
    <t>9.9623073222544</t>
  </si>
  <si>
    <t>9.99166666666667</t>
  </si>
  <si>
    <t>BLZ</t>
  </si>
  <si>
    <t>14.5916666666667</t>
  </si>
  <si>
    <t>14.6916666666667</t>
  </si>
  <si>
    <t>14.1416666666667</t>
  </si>
  <si>
    <t>13.5583333333333</t>
  </si>
  <si>
    <t>14.0416666666667</t>
  </si>
  <si>
    <t>14.2416666666667</t>
  </si>
  <si>
    <t>14.3166666666667</t>
  </si>
  <si>
    <t>14.3666666666667</t>
  </si>
  <si>
    <t>14.775</t>
  </si>
  <si>
    <t>15.6916666666667</t>
  </si>
  <si>
    <t>16.3</t>
  </si>
  <si>
    <t>16.2916666666667</t>
  </si>
  <si>
    <t>16.5</t>
  </si>
  <si>
    <t>16.2725</t>
  </si>
  <si>
    <t>16.005</t>
  </si>
  <si>
    <t>15.4541666666667</t>
  </si>
  <si>
    <t>14.8341666666667</t>
  </si>
  <si>
    <t>14.345</t>
  </si>
  <si>
    <t>13.9416666666667</t>
  </si>
  <si>
    <t>14.255</t>
  </si>
  <si>
    <t>14.2091666666667</t>
  </si>
  <si>
    <t>14.3333333333333</t>
  </si>
  <si>
    <t>14.1408333333333</t>
  </si>
  <si>
    <t>14.0816666666667</t>
  </si>
  <si>
    <t>13.8833333333333</t>
  </si>
  <si>
    <t>13.3633333333333</t>
  </si>
  <si>
    <t>12.4408333333333</t>
  </si>
  <si>
    <t>11.5691666666667</t>
  </si>
  <si>
    <t>10.8217831837388</t>
  </si>
  <si>
    <t>10.320279926803</t>
  </si>
  <si>
    <t>9.84091010965423</t>
  </si>
  <si>
    <t>9.4625</t>
  </si>
  <si>
    <t>9.115</t>
  </si>
  <si>
    <t>9.06666666666667</t>
  </si>
  <si>
    <t>8.73416666666667</t>
  </si>
  <si>
    <t>8.43833333333333</t>
  </si>
  <si>
    <t>8.52349151589079</t>
  </si>
  <si>
    <t>8.4375</t>
  </si>
  <si>
    <t>8.41743522598784</t>
  </si>
  <si>
    <t>BMU</t>
  </si>
  <si>
    <t>BOL</t>
  </si>
  <si>
    <t>49.4141666666667</t>
  </si>
  <si>
    <t>39.7941666666667</t>
  </si>
  <si>
    <t>37.2733333333333</t>
  </si>
  <si>
    <t>41.8133333333333</t>
  </si>
  <si>
    <t>41.1475</t>
  </si>
  <si>
    <t>45.5116666666667</t>
  </si>
  <si>
    <t>53.8766666666667</t>
  </si>
  <si>
    <t>55.5733333333333</t>
  </si>
  <si>
    <t>51.0175</t>
  </si>
  <si>
    <t>55.9666666666667</t>
  </si>
  <si>
    <t>50.05</t>
  </si>
  <si>
    <t>39.4116666666667</t>
  </si>
  <si>
    <t>35.3691666666667</t>
  </si>
  <si>
    <t>34.5958333333333</t>
  </si>
  <si>
    <t>20.0570612222166</t>
  </si>
  <si>
    <t>20.6324567427484</t>
  </si>
  <si>
    <t>17.6632890518186</t>
  </si>
  <si>
    <t>14.4698833333333</t>
  </si>
  <si>
    <t>16.6150416666667</t>
  </si>
  <si>
    <t>11.8912833333333</t>
  </si>
  <si>
    <t>12.8608083333333</t>
  </si>
  <si>
    <t>13.8733333333333</t>
  </si>
  <si>
    <t>12.359625</t>
  </si>
  <si>
    <t>9.90992714868378</t>
  </si>
  <si>
    <t>10.915392341297</t>
  </si>
  <si>
    <t>11.1349478606743</t>
  </si>
  <si>
    <t>11.0513992821176</t>
  </si>
  <si>
    <t>9.69422821628935</t>
  </si>
  <si>
    <t>8.07325379670779</t>
  </si>
  <si>
    <t>7.95202606117997</t>
  </si>
  <si>
    <t>8.10989203240817</t>
  </si>
  <si>
    <t>8.03724252665112</t>
  </si>
  <si>
    <t>8.39953170954602</t>
  </si>
  <si>
    <t>7.59222372184479</t>
  </si>
  <si>
    <t>8.01711817014333</t>
  </si>
  <si>
    <t>7.76498872156729</t>
  </si>
  <si>
    <t>8.64390131615292</t>
  </si>
  <si>
    <t>BRA</t>
  </si>
  <si>
    <t>78.1933333333333</t>
  </si>
  <si>
    <t>86.3633333333333</t>
  </si>
  <si>
    <t>80.4433333333333</t>
  </si>
  <si>
    <t>56.83</t>
  </si>
  <si>
    <t>57.6166666666667</t>
  </si>
  <si>
    <t>62.875</t>
  </si>
  <si>
    <t>67.0833333333333</t>
  </si>
  <si>
    <t>54.925</t>
  </si>
  <si>
    <t>55.3833333333333</t>
  </si>
  <si>
    <t>50.8083333333333</t>
  </si>
  <si>
    <t>43.7166666666667</t>
  </si>
  <si>
    <t>47.25</t>
  </si>
  <si>
    <t>44.65</t>
  </si>
  <si>
    <t>39.9916666666667</t>
  </si>
  <si>
    <t>43.8833333333333</t>
  </si>
  <si>
    <t>36.6366666666667</t>
  </si>
  <si>
    <t>27.3916666666667</t>
  </si>
  <si>
    <t>32.0083333333333</t>
  </si>
  <si>
    <t>43.9583333333333</t>
  </si>
  <si>
    <t>52.1</t>
  </si>
  <si>
    <t>46.9166666666667</t>
  </si>
  <si>
    <t>39.0833333333333</t>
  </si>
  <si>
    <t>37.475</t>
  </si>
  <si>
    <t>29.0416666666667</t>
  </si>
  <si>
    <t>30.0166666666667</t>
  </si>
  <si>
    <t>39.4</t>
  </si>
  <si>
    <t>43.6</t>
  </si>
  <si>
    <t>40.225</t>
  </si>
  <si>
    <t>BRB</t>
  </si>
  <si>
    <t>11.4583333333333</t>
  </si>
  <si>
    <t>13.375</t>
  </si>
  <si>
    <t>11.7916666666667</t>
  </si>
  <si>
    <t>10.5625</t>
  </si>
  <si>
    <t>9.0625</t>
  </si>
  <si>
    <t>8.75</t>
  </si>
  <si>
    <t>9.4375</t>
  </si>
  <si>
    <t>11.4166666666667</t>
  </si>
  <si>
    <t>13.5416666666667</t>
  </si>
  <si>
    <t>8.91666666666667</t>
  </si>
  <si>
    <t>9.08333333333333</t>
  </si>
  <si>
    <t>10</t>
  </si>
  <si>
    <t>9.83333333333333</t>
  </si>
  <si>
    <t>9.75</t>
  </si>
  <si>
    <t>9.39583333333333</t>
  </si>
  <si>
    <t>10.1875</t>
  </si>
  <si>
    <t>9.58333333333333</t>
  </si>
  <si>
    <t>8.33333333333333</t>
  </si>
  <si>
    <t>9.16666666666667</t>
  </si>
  <si>
    <t>10.2916666666667</t>
  </si>
  <si>
    <t>10.7583333333333</t>
  </si>
  <si>
    <t>10.0333333333333</t>
  </si>
  <si>
    <t>9.20416666666667</t>
  </si>
  <si>
    <t>8.7</t>
  </si>
  <si>
    <t>8.38333333333333</t>
  </si>
  <si>
    <t>8.05833333333333</t>
  </si>
  <si>
    <t>8.05</t>
  </si>
  <si>
    <t>Brunei Darussalam</t>
  </si>
  <si>
    <t>BRN</t>
  </si>
  <si>
    <t>6.5</t>
  </si>
  <si>
    <t>Bhutan</t>
  </si>
  <si>
    <t>BTN</t>
  </si>
  <si>
    <t>17</t>
  </si>
  <si>
    <t>16.5833333333333</t>
  </si>
  <si>
    <t>16</t>
  </si>
  <si>
    <t>15.8541666666667</t>
  </si>
  <si>
    <t>15.4583333333333</t>
  </si>
  <si>
    <t>15.1875</t>
  </si>
  <si>
    <t>14.5</t>
  </si>
  <si>
    <t>14</t>
  </si>
  <si>
    <t>13.8541666666667</t>
  </si>
  <si>
    <t>13.75</t>
  </si>
  <si>
    <t>13.9166666666667</t>
  </si>
  <si>
    <t>14.0375</t>
  </si>
  <si>
    <t>14.025</t>
  </si>
  <si>
    <t>14.8958333333333</t>
  </si>
  <si>
    <t>14.15</t>
  </si>
  <si>
    <t>14.25</t>
  </si>
  <si>
    <t>12.27</t>
  </si>
  <si>
    <t>BWA</t>
  </si>
  <si>
    <t>8.475</t>
  </si>
  <si>
    <t>9.625</t>
  </si>
  <si>
    <t>24.2083333333333</t>
  </si>
  <si>
    <t>7.83333333333333</t>
  </si>
  <si>
    <t>7.66666666666667</t>
  </si>
  <si>
    <t>7.875</t>
  </si>
  <si>
    <t>14.9166666666667</t>
  </si>
  <si>
    <t>14.4166666666667</t>
  </si>
  <si>
    <t>13.9466666666667</t>
  </si>
  <si>
    <t>13.6508333333333</t>
  </si>
  <si>
    <t>14.7758333333333</t>
  </si>
  <si>
    <t>15.4791666666667</t>
  </si>
  <si>
    <t>16.2083333333333</t>
  </si>
  <si>
    <t>16.4</t>
  </si>
  <si>
    <t>15.7375</t>
  </si>
  <si>
    <t>16.215</t>
  </si>
  <si>
    <t>16.5416666666667</t>
  </si>
  <si>
    <t>13.755625</t>
  </si>
  <si>
    <t>10.1892333333333</t>
  </si>
  <si>
    <t>7.95</t>
  </si>
  <si>
    <t>6.39583333333333</t>
  </si>
  <si>
    <t>5.75</t>
  </si>
  <si>
    <t>5.25</t>
  </si>
  <si>
    <t>6.1323</t>
  </si>
  <si>
    <t>6.73859953703704</t>
  </si>
  <si>
    <t>6.26</t>
  </si>
  <si>
    <t>CAF</t>
  </si>
  <si>
    <t>CAN</t>
  </si>
  <si>
    <t>5.60416666666667</t>
  </si>
  <si>
    <t>5.70833333333333</t>
  </si>
  <si>
    <t>5.77083333333333</t>
  </si>
  <si>
    <t>5.91666666666667</t>
  </si>
  <si>
    <t>6.91666666666667</t>
  </si>
  <si>
    <t>7.95833333333333</t>
  </si>
  <si>
    <t>8.16666666666667</t>
  </si>
  <si>
    <t>6.47916666666667</t>
  </si>
  <si>
    <t>7.64583333333333</t>
  </si>
  <si>
    <t>10.75</t>
  </si>
  <si>
    <t>10.0416666666667</t>
  </si>
  <si>
    <t>9.6875</t>
  </si>
  <si>
    <t>12.8958333333333</t>
  </si>
  <si>
    <t>19.2916666666667</t>
  </si>
  <si>
    <t>15.8125</t>
  </si>
  <si>
    <t>11.1666666666667</t>
  </si>
  <si>
    <t>12.0625</t>
  </si>
  <si>
    <t>10.5208333333333</t>
  </si>
  <si>
    <t>9.52083333333333</t>
  </si>
  <si>
    <t>13.3333333333333</t>
  </si>
  <si>
    <t>14.0625</t>
  </si>
  <si>
    <t>9.9375</t>
  </si>
  <si>
    <t>7.47916666666667</t>
  </si>
  <si>
    <t>5.9375</t>
  </si>
  <si>
    <t>8.64583333333333</t>
  </si>
  <si>
    <t>6.0625</t>
  </si>
  <si>
    <t>4.95833333333333</t>
  </si>
  <si>
    <t>6.60416666666667</t>
  </si>
  <si>
    <t>6.4375</t>
  </si>
  <si>
    <t>7.27083333333333</t>
  </si>
  <si>
    <t>5.8125</t>
  </si>
  <si>
    <t>4.20833333333333</t>
  </si>
  <si>
    <t>4.6875</t>
  </si>
  <si>
    <t>4</t>
  </si>
  <si>
    <t>4.41666666666667</t>
  </si>
  <si>
    <t>6.10416666666667</t>
  </si>
  <si>
    <t>4.72916666666667</t>
  </si>
  <si>
    <t>2.39583333333333</t>
  </si>
  <si>
    <t>2.60416666666667</t>
  </si>
  <si>
    <t>3</t>
  </si>
  <si>
    <t>2.775</t>
  </si>
  <si>
    <t>2.7</t>
  </si>
  <si>
    <t>Central Europe and the Baltics</t>
  </si>
  <si>
    <t>CEB</t>
  </si>
  <si>
    <t>CHE</t>
  </si>
  <si>
    <t>3.3425</t>
  </si>
  <si>
    <t>2.75083333333333</t>
  </si>
  <si>
    <t>2.73333333333333</t>
  </si>
  <si>
    <t>2.71833333333333</t>
  </si>
  <si>
    <t>2.68833333333333</t>
  </si>
  <si>
    <t>2.68916666666667</t>
  </si>
  <si>
    <t>2.69</t>
  </si>
  <si>
    <t>2.68083333333333</t>
  </si>
  <si>
    <t>2.64666666666667</t>
  </si>
  <si>
    <t>2.62743867833333</t>
  </si>
  <si>
    <t>2.62742559333333</t>
  </si>
  <si>
    <t>2.63292318</t>
  </si>
  <si>
    <t>2.63484670416667</t>
  </si>
  <si>
    <t>2.63985731416667</t>
  </si>
  <si>
    <t>2.64672373583333</t>
  </si>
  <si>
    <t>2.86414745583333</t>
  </si>
  <si>
    <t>2.97616142777778</t>
  </si>
  <si>
    <t>Channel Islands</t>
  </si>
  <si>
    <t>CHI</t>
  </si>
  <si>
    <t>CHL</t>
  </si>
  <si>
    <t>39.9655239888964</t>
  </si>
  <si>
    <t>26.3591384058586</t>
  </si>
  <si>
    <t>32.6655350973518</t>
  </si>
  <si>
    <t>21.2134249729057</t>
  </si>
  <si>
    <t>36.009133634171</t>
  </si>
  <si>
    <t>48.8691791893508</t>
  </si>
  <si>
    <t>28.5754178909029</t>
  </si>
  <si>
    <t>23.9705261388324</t>
  </si>
  <si>
    <t>24.3458278419054</t>
  </si>
  <si>
    <t>20.3396521773457</t>
  </si>
  <si>
    <t>18.1595558966592</t>
  </si>
  <si>
    <t>17.3678567329936</t>
  </si>
  <si>
    <t>15.670265400513</t>
  </si>
  <si>
    <t>20.1695011436128</t>
  </si>
  <si>
    <t>12.6231518368615</t>
  </si>
  <si>
    <t>14.8433912347788</t>
  </si>
  <si>
    <t>11.8910098561076</t>
  </si>
  <si>
    <t>7.75807289652374</t>
  </si>
  <si>
    <t>6.17877873086097</t>
  </si>
  <si>
    <t>5.12700362788107</t>
  </si>
  <si>
    <t>6.67787900981346</t>
  </si>
  <si>
    <t>7.99948207856606</t>
  </si>
  <si>
    <t>8.67125848644778</t>
  </si>
  <si>
    <t>13.261771366415</t>
  </si>
  <si>
    <t>7.25063476884463</t>
  </si>
  <si>
    <t>4.75482680518703</t>
  </si>
  <si>
    <t>9.03015252269429</t>
  </si>
  <si>
    <t>10.0572624433615</t>
  </si>
  <si>
    <t>9.26187678192101</t>
  </si>
  <si>
    <t>8.09805824839012</t>
  </si>
  <si>
    <t>5.51492732291402</t>
  </si>
  <si>
    <t>5.58839657725206</t>
  </si>
  <si>
    <t>4.55285507889072</t>
  </si>
  <si>
    <t>4.17801925025561</t>
  </si>
  <si>
    <t>CHN</t>
  </si>
  <si>
    <t>5.039999999</t>
  </si>
  <si>
    <t>7.199999999</t>
  </si>
  <si>
    <t>7.919999999</t>
  </si>
  <si>
    <t>7.92</t>
  </si>
  <si>
    <t>11.34</t>
  </si>
  <si>
    <t>9.36</t>
  </si>
  <si>
    <t>8.64</t>
  </si>
  <si>
    <t>10.98</t>
  </si>
  <si>
    <t>12.06</t>
  </si>
  <si>
    <t>10.08</t>
  </si>
  <si>
    <t>6.39</t>
  </si>
  <si>
    <t>5.31</t>
  </si>
  <si>
    <t>5.58</t>
  </si>
  <si>
    <t>6.12</t>
  </si>
  <si>
    <t>7.47</t>
  </si>
  <si>
    <t>5.81</t>
  </si>
  <si>
    <t>6.56</t>
  </si>
  <si>
    <t>5.6</t>
  </si>
  <si>
    <t>4.35</t>
  </si>
  <si>
    <t>CIV</t>
  </si>
  <si>
    <t>7.04916666666667</t>
  </si>
  <si>
    <t>5.14</t>
  </si>
  <si>
    <t>CMR</t>
  </si>
  <si>
    <t>COD</t>
  </si>
  <si>
    <t>46.4358333333333</t>
  </si>
  <si>
    <t>47.0010183333333</t>
  </si>
  <si>
    <t>43.1541666666667</t>
  </si>
  <si>
    <t>65.4175</t>
  </si>
  <si>
    <t>56.5183333333333</t>
  </si>
  <si>
    <t>43.75340275</t>
  </si>
  <si>
    <t>28.4466666666667</t>
  </si>
  <si>
    <t>19.3660119047619</t>
  </si>
  <si>
    <t>18.6925</t>
  </si>
  <si>
    <t>19.3708333333333</t>
  </si>
  <si>
    <t>19.0458333333333</t>
  </si>
  <si>
    <t>20.6208333333333</t>
  </si>
  <si>
    <t>24.7483333333333</t>
  </si>
  <si>
    <t>26.7358333333333</t>
  </si>
  <si>
    <t>25.9584937147496</t>
  </si>
  <si>
    <t>23.2857241932595</t>
  </si>
  <si>
    <t>COG</t>
  </si>
  <si>
    <t>COL</t>
  </si>
  <si>
    <t>40.2201365187713</t>
  </si>
  <si>
    <t>40.4844402730375</t>
  </si>
  <si>
    <t>42.0456382252559</t>
  </si>
  <si>
    <t>42.3920238907849</t>
  </si>
  <si>
    <t>44.569656996587</t>
  </si>
  <si>
    <t>46.4206040955631</t>
  </si>
  <si>
    <t>36.7193430034129</t>
  </si>
  <si>
    <t>35.2763430034129</t>
  </si>
  <si>
    <t>39.8573344709897</t>
  </si>
  <si>
    <t>42.0760085324232</t>
  </si>
  <si>
    <t>41.3618959044368</t>
  </si>
  <si>
    <t>33.7102201365188</t>
  </si>
  <si>
    <t>41.6048583617747</t>
  </si>
  <si>
    <t>29.4258003412969</t>
  </si>
  <si>
    <t>18.7866666666667</t>
  </si>
  <si>
    <t>20.72</t>
  </si>
  <si>
    <t>16.3267983308288</t>
  </si>
  <si>
    <t>15.187101145088</t>
  </si>
  <si>
    <t>15.0830567168883</t>
  </si>
  <si>
    <t>14.5608333333333</t>
  </si>
  <si>
    <t>12.893913084832</t>
  </si>
  <si>
    <t>15.3818501011015</t>
  </si>
  <si>
    <t>17.1756231436697</t>
  </si>
  <si>
    <t>13.0080746033842</t>
  </si>
  <si>
    <t>9.38148993683401</t>
  </si>
  <si>
    <t>11.2199184470583</t>
  </si>
  <si>
    <t>12.5850402049247</t>
  </si>
  <si>
    <t>10.9855861710036</t>
  </si>
  <si>
    <t>10.8673350376127</t>
  </si>
  <si>
    <t>11.4499872575296</t>
  </si>
  <si>
    <t>14.6454318106769</t>
  </si>
  <si>
    <t>13.6858303184817</t>
  </si>
  <si>
    <t>12.1148777449182</t>
  </si>
  <si>
    <t>11.7690653821827</t>
  </si>
  <si>
    <t>9.85052425129014</t>
  </si>
  <si>
    <t>9.3378484091001</t>
  </si>
  <si>
    <t>15.8075088706303</t>
  </si>
  <si>
    <t>21.0306368304862</t>
  </si>
  <si>
    <t>16.3744226380092</t>
  </si>
  <si>
    <t>COM</t>
  </si>
  <si>
    <t>13.6666666666667</t>
  </si>
  <si>
    <t>8.09375</t>
  </si>
  <si>
    <t>8.03375</t>
  </si>
  <si>
    <t>Cabo Verde</t>
  </si>
  <si>
    <t>CPV</t>
  </si>
  <si>
    <t>10.8041599222222</t>
  </si>
  <si>
    <t>10.5510481523038</t>
  </si>
  <si>
    <t>9.98901352284579</t>
  </si>
  <si>
    <t>10.9766450308146</t>
  </si>
  <si>
    <t>11.0398987608935</t>
  </si>
  <si>
    <t>9.81080381518199</t>
  </si>
  <si>
    <t>9.90035884746328</t>
  </si>
  <si>
    <t>10.520099018866</t>
  </si>
  <si>
    <t>10.8937565287826</t>
  </si>
  <si>
    <t>10.4058225644923</t>
  </si>
  <si>
    <t>9.60664701973665</t>
  </si>
  <si>
    <t>9.48812259528097</t>
  </si>
  <si>
    <t>8.97292567041423</t>
  </si>
  <si>
    <t>9.14083475915223</t>
  </si>
  <si>
    <t>8.19451484269313</t>
  </si>
  <si>
    <t>7.61928566776367</t>
  </si>
  <si>
    <t>7.83172030290501</t>
  </si>
  <si>
    <t>7.5285150596832</t>
  </si>
  <si>
    <t>7.79135488631362</t>
  </si>
  <si>
    <t>CRI</t>
  </si>
  <si>
    <t>25</t>
  </si>
  <si>
    <t>23.25</t>
  </si>
  <si>
    <t>18</t>
  </si>
  <si>
    <t>20.9166666666667</t>
  </si>
  <si>
    <t>21.7991666666667</t>
  </si>
  <si>
    <t>23.8233333333333</t>
  </si>
  <si>
    <t>28.6883333333333</t>
  </si>
  <si>
    <t>29.1691666666667</t>
  </si>
  <si>
    <t>32.5566666666667</t>
  </si>
  <si>
    <t>38.8758333333333</t>
  </si>
  <si>
    <t>28.4608333333333</t>
  </si>
  <si>
    <t>30.0208333333333</t>
  </si>
  <si>
    <t>33.0258333333333</t>
  </si>
  <si>
    <t>36.695</t>
  </si>
  <si>
    <t>26.2741666666667</t>
  </si>
  <si>
    <t>22.4766666666667</t>
  </si>
  <si>
    <t>22.4733333333333</t>
  </si>
  <si>
    <t>25.737</t>
  </si>
  <si>
    <t>24.8891666666667</t>
  </si>
  <si>
    <t>23.8327694441667</t>
  </si>
  <si>
    <t>26.4166666666667</t>
  </si>
  <si>
    <t>25.5833333333333</t>
  </si>
  <si>
    <t>23.4255555555556</t>
  </si>
  <si>
    <t>24.6558333333333</t>
  </si>
  <si>
    <t>22.1883333333333</t>
  </si>
  <si>
    <t>12.7983333333333</t>
  </si>
  <si>
    <t>15.8275</t>
  </si>
  <si>
    <t>19.7233333333333</t>
  </si>
  <si>
    <t>17.0908333333333</t>
  </si>
  <si>
    <t>16.1458333333333</t>
  </si>
  <si>
    <t>18.2125</t>
  </si>
  <si>
    <t>15.1883333333333</t>
  </si>
  <si>
    <t>14.9030555555556</t>
  </si>
  <si>
    <t>14.2333333333334</t>
  </si>
  <si>
    <t>11.6386111111111</t>
  </si>
  <si>
    <t>11.3651388888889</t>
  </si>
  <si>
    <t>11.1232908801993</t>
  </si>
  <si>
    <t>8.74614960993387</t>
  </si>
  <si>
    <t>6.63808237583333</t>
  </si>
  <si>
    <t>5.51221232</t>
  </si>
  <si>
    <t>7.36085073166667</t>
  </si>
  <si>
    <t>9.09653675666667</t>
  </si>
  <si>
    <t>7.33487695166667</t>
  </si>
  <si>
    <t>Caribbean small states</t>
  </si>
  <si>
    <t>CSS</t>
  </si>
  <si>
    <t>CUB</t>
  </si>
  <si>
    <t>Curacao</t>
  </si>
  <si>
    <t>CUW</t>
  </si>
  <si>
    <t>CYM</t>
  </si>
  <si>
    <t>CYP</t>
  </si>
  <si>
    <t>Czechia</t>
  </si>
  <si>
    <t>CZE</t>
  </si>
  <si>
    <t>14.0708333333333</t>
  </si>
  <si>
    <t>13.1183333333333</t>
  </si>
  <si>
    <t>12.7991666666667</t>
  </si>
  <si>
    <t>12.5441666666667</t>
  </si>
  <si>
    <t>13.2041666666667</t>
  </si>
  <si>
    <t>12.8071666666667</t>
  </si>
  <si>
    <t>8.68416666666667</t>
  </si>
  <si>
    <t>7.16225</t>
  </si>
  <si>
    <t>7.19641666666667</t>
  </si>
  <si>
    <t>6.72416666666667</t>
  </si>
  <si>
    <t>5.94916666666667</t>
  </si>
  <si>
    <t>6.0275</t>
  </si>
  <si>
    <t>5.77666666666667</t>
  </si>
  <si>
    <t>5.59366602166667</t>
  </si>
  <si>
    <t>5.78837958370079</t>
  </si>
  <si>
    <t>6.25170833333333</t>
  </si>
  <si>
    <t>5.98995833333333</t>
  </si>
  <si>
    <t>5.88783333333333</t>
  </si>
  <si>
    <t>5.71783333333333</t>
  </si>
  <si>
    <t>5.40672323724727</t>
  </si>
  <si>
    <t>4.96989301373891</t>
  </si>
  <si>
    <t>4.64490546444</t>
  </si>
  <si>
    <t>4.28253332923937</t>
  </si>
  <si>
    <t>3.9072462757748</t>
  </si>
  <si>
    <t>3.58974364323778</t>
  </si>
  <si>
    <t>3.54161587741081</t>
  </si>
  <si>
    <t>3.68603218349692</t>
  </si>
  <si>
    <t>3.34430704292427</t>
  </si>
  <si>
    <t>3.20212533339961</t>
  </si>
  <si>
    <t>4.22500917823384</t>
  </si>
  <si>
    <t>4.68277500627328</t>
  </si>
  <si>
    <t>4.71376531072935</t>
  </si>
  <si>
    <t>DEU</t>
  </si>
  <si>
    <t>DJI</t>
  </si>
  <si>
    <t>DMA</t>
  </si>
  <si>
    <t>10.184890795448</t>
  </si>
  <si>
    <t>10.4529142374335</t>
  </si>
  <si>
    <t>11.2123139897257</t>
  </si>
  <si>
    <t>10.7656082530832</t>
  </si>
  <si>
    <t>10.9889611214044</t>
  </si>
  <si>
    <t>11.2569845633899</t>
  </si>
  <si>
    <t>11.2163014829248</t>
  </si>
  <si>
    <t>11.5231698453901</t>
  </si>
  <si>
    <t>11.9238245391238</t>
  </si>
  <si>
    <t>11.6104913178287</t>
  </si>
  <si>
    <t>11.5007436413857</t>
  </si>
  <si>
    <t>11.4303325301194</t>
  </si>
  <si>
    <t>11.1730597100209</t>
  </si>
  <si>
    <t>11.2725600466202</t>
  </si>
  <si>
    <t>11.3956730721677</t>
  </si>
  <si>
    <t>11.6808005322677</t>
  </si>
  <si>
    <t>11.1397494990693</t>
  </si>
  <si>
    <t>10.9728957217648</t>
  </si>
  <si>
    <t>11.5007049422952</t>
  </si>
  <si>
    <t>8.94144093203256</t>
  </si>
  <si>
    <t>9.91817590459821</t>
  </si>
  <si>
    <t>9.50240122157026</t>
  </si>
  <si>
    <t>9.16801247233374</t>
  </si>
  <si>
    <t>9.06404638816547</t>
  </si>
  <si>
    <t>10.0192940627616</t>
  </si>
  <si>
    <t>9.45501398850831</t>
  </si>
  <si>
    <t>8.84037965492994</t>
  </si>
  <si>
    <t>9.04298186920945</t>
  </si>
  <si>
    <t>9.07396001934442</t>
  </si>
  <si>
    <t>8.93663314196025</t>
  </si>
  <si>
    <t>8.66866666666666</t>
  </si>
  <si>
    <t>8.2775</t>
  </si>
  <si>
    <t>8.075</t>
  </si>
  <si>
    <t>7.81221991666667</t>
  </si>
  <si>
    <t>7.53996066666667</t>
  </si>
  <si>
    <t>6.89907858333333</t>
  </si>
  <si>
    <t>6.29791625</t>
  </si>
  <si>
    <t>6.53699175</t>
  </si>
  <si>
    <t>5.935577</t>
  </si>
  <si>
    <t>5.83305675</t>
  </si>
  <si>
    <t>DNK</t>
  </si>
  <si>
    <t>DOM</t>
  </si>
  <si>
    <t>35.26</t>
  </si>
  <si>
    <t>28.34</t>
  </si>
  <si>
    <t>29.89</t>
  </si>
  <si>
    <t>28.68</t>
  </si>
  <si>
    <t>30.6825</t>
  </si>
  <si>
    <t>23.7341666666667</t>
  </si>
  <si>
    <t>21.0066666666667</t>
  </si>
  <si>
    <t>25.6425</t>
  </si>
  <si>
    <t>25.045</t>
  </si>
  <si>
    <t>26.7991666666667</t>
  </si>
  <si>
    <t>24.2633333333333</t>
  </si>
  <si>
    <t>26.055</t>
  </si>
  <si>
    <t>31.3916666666667</t>
  </si>
  <si>
    <t>32.6308333333333</t>
  </si>
  <si>
    <t>24.1091666666667</t>
  </si>
  <si>
    <t>19.475</t>
  </si>
  <si>
    <t>19.945</t>
  </si>
  <si>
    <t>18.1358333333333</t>
  </si>
  <si>
    <t>12.1366666666667</t>
  </si>
  <si>
    <t>15.55</t>
  </si>
  <si>
    <t>15.4825</t>
  </si>
  <si>
    <t>13.5914005366667</t>
  </si>
  <si>
    <t>13.9025</t>
  </si>
  <si>
    <t>14.8766666666667</t>
  </si>
  <si>
    <t>15.0841666666667</t>
  </si>
  <si>
    <t>13.91</t>
  </si>
  <si>
    <t>12.5337</t>
  </si>
  <si>
    <t>12.4867666666667</t>
  </si>
  <si>
    <t>10.9796416666667</t>
  </si>
  <si>
    <t>9.60830833333333</t>
  </si>
  <si>
    <t>11.85005</t>
  </si>
  <si>
    <t>14.4345416666667</t>
  </si>
  <si>
    <t>15.2531</t>
  </si>
  <si>
    <t>DZA</t>
  </si>
  <si>
    <t>18.4166666666667</t>
  </si>
  <si>
    <t>19</t>
  </si>
  <si>
    <t>15.7083333333333</t>
  </si>
  <si>
    <t>8.58333333333333</t>
  </si>
  <si>
    <t>8.125</t>
  </si>
  <si>
    <t>8</t>
  </si>
  <si>
    <t>East Asia &amp; Pacific (excluding high income)</t>
  </si>
  <si>
    <t>EAP</t>
  </si>
  <si>
    <t>Early-demographic dividend</t>
  </si>
  <si>
    <t>EAR</t>
  </si>
  <si>
    <t>EAS</t>
  </si>
  <si>
    <t>Europe &amp; Central Asia (excluding high income)</t>
  </si>
  <si>
    <t>ECA</t>
  </si>
  <si>
    <t>ECS</t>
  </si>
  <si>
    <t>ECU</t>
  </si>
  <si>
    <t>EGY</t>
  </si>
  <si>
    <t>8.83333333333333</t>
  </si>
  <si>
    <t>10.1666666666667</t>
  </si>
  <si>
    <t>16.3333333333333</t>
  </si>
  <si>
    <t>18.3333333333333</t>
  </si>
  <si>
    <t>19.8466666666667</t>
  </si>
  <si>
    <t>20.3283333333333</t>
  </si>
  <si>
    <t>18.2975</t>
  </si>
  <si>
    <t>16.5125</t>
  </si>
  <si>
    <t>16.4708333333333</t>
  </si>
  <si>
    <t>15.5833333333333</t>
  </si>
  <si>
    <t>13.7916666666667</t>
  </si>
  <si>
    <t>13.0166666666667</t>
  </si>
  <si>
    <t>12.965</t>
  </si>
  <si>
    <t>13.2158333333333</t>
  </si>
  <si>
    <t>13.5333333333333</t>
  </si>
  <si>
    <t>12.5083333333333</t>
  </si>
  <si>
    <t>12.325</t>
  </si>
  <si>
    <t>11.975</t>
  </si>
  <si>
    <t>11.0083333333333</t>
  </si>
  <si>
    <t>11.0333333333333</t>
  </si>
  <si>
    <t>12.2916666666667</t>
  </si>
  <si>
    <t>11.7083333333333</t>
  </si>
  <si>
    <t>11.625</t>
  </si>
  <si>
    <t>13.6</t>
  </si>
  <si>
    <t>18.175</t>
  </si>
  <si>
    <t>18.3166666666667</t>
  </si>
  <si>
    <t>16.1166666666667</t>
  </si>
  <si>
    <t>11.3666666666667</t>
  </si>
  <si>
    <t>9.425</t>
  </si>
  <si>
    <t>17.7583333333333</t>
  </si>
  <si>
    <t>24.2916666666667</t>
  </si>
  <si>
    <t>Euro area</t>
  </si>
  <si>
    <t>EMU</t>
  </si>
  <si>
    <t>Eritrea</t>
  </si>
  <si>
    <t>ERI</t>
  </si>
  <si>
    <t>ESP</t>
  </si>
  <si>
    <t>EST</t>
  </si>
  <si>
    <t>Ethiopia</t>
  </si>
  <si>
    <t>ETH</t>
  </si>
  <si>
    <t>10.5816666666667</t>
  </si>
  <si>
    <t>10.8916666666667</t>
  </si>
  <si>
    <t>10.8651666666667</t>
  </si>
  <si>
    <t>8.661</t>
  </si>
  <si>
    <t>European Union</t>
  </si>
  <si>
    <t>EUU</t>
  </si>
  <si>
    <t>Fragile and conflict affected situations</t>
  </si>
  <si>
    <t>FCS</t>
  </si>
  <si>
    <t>FIN</t>
  </si>
  <si>
    <t>FJI</t>
  </si>
  <si>
    <t>12.45</t>
  </si>
  <si>
    <t>11.8891666666667</t>
  </si>
  <si>
    <t>11.4416666666667</t>
  </si>
  <si>
    <t>11.2375</t>
  </si>
  <si>
    <t>11.1383333333333</t>
  </si>
  <si>
    <t>11.0266666666667</t>
  </si>
  <si>
    <t>9.63666666666667</t>
  </si>
  <si>
    <t>8.76583333333333</t>
  </si>
  <si>
    <t>8.3975</t>
  </si>
  <si>
    <t>8.34457575862199</t>
  </si>
  <si>
    <t>8.0525</t>
  </si>
  <si>
    <t>7.60249694765339</t>
  </si>
  <si>
    <t>7.16924874091492</t>
  </si>
  <si>
    <t>6.77996099984964</t>
  </si>
  <si>
    <t>7.34996258823936</t>
  </si>
  <si>
    <t>9.0055873301356</t>
  </si>
  <si>
    <t>7.99726954431674</t>
  </si>
  <si>
    <t>7.85341601530875</t>
  </si>
  <si>
    <t>7.48964734611671</t>
  </si>
  <si>
    <t>7.46605819217571</t>
  </si>
  <si>
    <t>7.00306444698518</t>
  </si>
  <si>
    <t>6.10472546158863</t>
  </si>
  <si>
    <t>5.76111099677945</t>
  </si>
  <si>
    <t>5.78930050894162</t>
  </si>
  <si>
    <t>5.8513236372606</t>
  </si>
  <si>
    <t>5.74051096179291</t>
  </si>
  <si>
    <t>5.67732659254776</t>
  </si>
  <si>
    <t>6.02745671637929</t>
  </si>
  <si>
    <t>6.18490255198124</t>
  </si>
  <si>
    <t>5.94242130030892</t>
  </si>
  <si>
    <t>5.43188908929798</t>
  </si>
  <si>
    <t>4.97070088792201</t>
  </si>
  <si>
    <t>4.6603226192379</t>
  </si>
  <si>
    <t>FRA</t>
  </si>
  <si>
    <t>Faroe Islands</t>
  </si>
  <si>
    <t>FRO</t>
  </si>
  <si>
    <t>FSM</t>
  </si>
  <si>
    <t>15.165</t>
  </si>
  <si>
    <t>15.33</t>
  </si>
  <si>
    <t>15.275</t>
  </si>
  <si>
    <t>15.375</t>
  </si>
  <si>
    <t>16.375</t>
  </si>
  <si>
    <t>15.615</t>
  </si>
  <si>
    <t>14.0295833333333</t>
  </si>
  <si>
    <t>14.3783333333333</t>
  </si>
  <si>
    <t>15.38</t>
  </si>
  <si>
    <t>15.13</t>
  </si>
  <si>
    <t>14.35</t>
  </si>
  <si>
    <t>15.7</t>
  </si>
  <si>
    <t>16.1</t>
  </si>
  <si>
    <t>14.7</t>
  </si>
  <si>
    <t>14.47</t>
  </si>
  <si>
    <t>12.62</t>
  </si>
  <si>
    <t>GAB</t>
  </si>
  <si>
    <t>GBR</t>
  </si>
  <si>
    <t>6.125</t>
  </si>
  <si>
    <t>6.625</t>
  </si>
  <si>
    <t>10.4676916666667</t>
  </si>
  <si>
    <t>11.10095</t>
  </si>
  <si>
    <t>8.91186666666667</t>
  </si>
  <si>
    <t>9.09315</t>
  </si>
  <si>
    <t>13.6948083333333</t>
  </si>
  <si>
    <t>16.3126833333333</t>
  </si>
  <si>
    <t>13.255</t>
  </si>
  <si>
    <t>11.9309666666667</t>
  </si>
  <si>
    <t>9.82526666666667</t>
  </si>
  <si>
    <t>9.6801</t>
  </si>
  <si>
    <t>12.2529833333333</t>
  </si>
  <si>
    <t>10.9013583333333</t>
  </si>
  <si>
    <t>9.7355</t>
  </si>
  <si>
    <t>10.0957083333333</t>
  </si>
  <si>
    <t>13.8418083333333</t>
  </si>
  <si>
    <t>14.7681166666667</t>
  </si>
  <si>
    <t>11.6949833333333</t>
  </si>
  <si>
    <t>9.56348333333333</t>
  </si>
  <si>
    <t>6.01363333333333</t>
  </si>
  <si>
    <t>5.46278333333333</t>
  </si>
  <si>
    <t>6.693675</t>
  </si>
  <si>
    <t>5.95853333333333</t>
  </si>
  <si>
    <t>6.5634</t>
  </si>
  <si>
    <t>7.23205</t>
  </si>
  <si>
    <t>5.34440833333333</t>
  </si>
  <si>
    <t>5.96389166666667</t>
  </si>
  <si>
    <t>5.122375</t>
  </si>
  <si>
    <t>3.69579166666667</t>
  </si>
  <si>
    <t>4.37981666666667</t>
  </si>
  <si>
    <t>4.648675</t>
  </si>
  <si>
    <t>4.63825833333333</t>
  </si>
  <si>
    <t>5.50870833333333</t>
  </si>
  <si>
    <t>4.67530833333333</t>
  </si>
  <si>
    <t>0.644866666666667</t>
  </si>
  <si>
    <t>0.5</t>
  </si>
  <si>
    <t>GEO</t>
  </si>
  <si>
    <t>23.755375</t>
  </si>
  <si>
    <t>22.087125</t>
  </si>
  <si>
    <t>17.5508916666667</t>
  </si>
  <si>
    <t>17.0602583333333</t>
  </si>
  <si>
    <t>17.0861166666667</t>
  </si>
  <si>
    <t>18.0441333333333</t>
  </si>
  <si>
    <t>17.8663166666667</t>
  </si>
  <si>
    <t>15.845075</t>
  </si>
  <si>
    <t>14.9951666666667</t>
  </si>
  <si>
    <t>14.80845</t>
  </si>
  <si>
    <t>13.5948916043986</t>
  </si>
  <si>
    <t>11.9097117693843</t>
  </si>
  <si>
    <t>12.4884754630803</t>
  </si>
  <si>
    <t>12.6209166666667</t>
  </si>
  <si>
    <t>11.4853833333333</t>
  </si>
  <si>
    <t>11.1193916666667</t>
  </si>
  <si>
    <t>10.8164</t>
  </si>
  <si>
    <t>11.8008</t>
  </si>
  <si>
    <t>12.5104916666667</t>
  </si>
  <si>
    <t>13.655325</t>
  </si>
  <si>
    <t>13.5107</t>
  </si>
  <si>
    <t>12.0339916666667</t>
  </si>
  <si>
    <t>GHA</t>
  </si>
  <si>
    <t>GIB</t>
  </si>
  <si>
    <t>GIN</t>
  </si>
  <si>
    <t>17.25</t>
  </si>
  <si>
    <t>21.1666666666667</t>
  </si>
  <si>
    <t>24.5</t>
  </si>
  <si>
    <t>27</t>
  </si>
  <si>
    <t>22</t>
  </si>
  <si>
    <t>21.5</t>
  </si>
  <si>
    <t>20.5</t>
  </si>
  <si>
    <t>19.5625</t>
  </si>
  <si>
    <t>19.875</t>
  </si>
  <si>
    <t>19.375</t>
  </si>
  <si>
    <t>12.875</t>
  </si>
  <si>
    <t>GMB</t>
  </si>
  <si>
    <t>14.483333333</t>
  </si>
  <si>
    <t>28</t>
  </si>
  <si>
    <t>27.9166666666667</t>
  </si>
  <si>
    <t>29.5416666666667</t>
  </si>
  <si>
    <t>26.8333333333333</t>
  </si>
  <si>
    <t>26.5</t>
  </si>
  <si>
    <t>26.75</t>
  </si>
  <si>
    <t>26.0833333333333</t>
  </si>
  <si>
    <t>25.0416666666667</t>
  </si>
  <si>
    <t>25.5</t>
  </si>
  <si>
    <t>25.375</t>
  </si>
  <si>
    <t>24</t>
  </si>
  <si>
    <t>29.3333333333333</t>
  </si>
  <si>
    <t>36.5</t>
  </si>
  <si>
    <t>34.9166666666667</t>
  </si>
  <si>
    <t>29.75</t>
  </si>
  <si>
    <t>28.5</t>
  </si>
  <si>
    <t>29</t>
  </si>
  <si>
    <t>19.5</t>
  </si>
  <si>
    <t>20.75</t>
  </si>
  <si>
    <t>GNB</t>
  </si>
  <si>
    <t>10.3670833333333</t>
  </si>
  <si>
    <t>GNQ</t>
  </si>
  <si>
    <t>GRC</t>
  </si>
  <si>
    <t>GRD</t>
  </si>
  <si>
    <t>12.325478090371</t>
  </si>
  <si>
    <t>13.4015118919113</t>
  </si>
  <si>
    <t>13.4993331465968</t>
  </si>
  <si>
    <t>13.3036906372258</t>
  </si>
  <si>
    <t>12.3019964706182</t>
  </si>
  <si>
    <t>12.0231759977324</t>
  </si>
  <si>
    <t>11.8323783953494</t>
  </si>
  <si>
    <t>11.0280532690074</t>
  </si>
  <si>
    <t>11.0753458564035</t>
  </si>
  <si>
    <t>9.99198375522363</t>
  </si>
  <si>
    <t>11.2359789946248</t>
  </si>
  <si>
    <t>11.7324774335856</t>
  </si>
  <si>
    <t>11.6211732253369</t>
  </si>
  <si>
    <t>11.5991975555663</t>
  </si>
  <si>
    <t>10.1867211949273</t>
  </si>
  <si>
    <t>11.3092285846433</t>
  </si>
  <si>
    <t>12.0482151558632</t>
  </si>
  <si>
    <t>10.184842378691</t>
  </si>
  <si>
    <t>10.0650792583996</t>
  </si>
  <si>
    <t>9.85230165386714</t>
  </si>
  <si>
    <t>9.75594317205468</t>
  </si>
  <si>
    <t>9.52898492988282</t>
  </si>
  <si>
    <t>10.9930534805853</t>
  </si>
  <si>
    <t>10.5750130912526</t>
  </si>
  <si>
    <t>10.6859790060702</t>
  </si>
  <si>
    <t>9.72590000699412</t>
  </si>
  <si>
    <t>9.27020682532407</t>
  </si>
  <si>
    <t>9.18598040160867</t>
  </si>
  <si>
    <t>8.96258333333333</t>
  </si>
  <si>
    <t>8.635</t>
  </si>
  <si>
    <t>8.3125</t>
  </si>
  <si>
    <t>7.835705</t>
  </si>
  <si>
    <t>7.57102791666667</t>
  </si>
  <si>
    <t>6.83319808333333</t>
  </si>
  <si>
    <t>6.5453035</t>
  </si>
  <si>
    <t>6.438381</t>
  </si>
  <si>
    <t>6.9300195</t>
  </si>
  <si>
    <t>6.8868315</t>
  </si>
  <si>
    <t>GRL</t>
  </si>
  <si>
    <t>GTM</t>
  </si>
  <si>
    <t>18.6375</t>
  </si>
  <si>
    <t>16.5641666666667</t>
  </si>
  <si>
    <t>19.5116666666667</t>
  </si>
  <si>
    <t>20.8816666666667</t>
  </si>
  <si>
    <t>18.9575</t>
  </si>
  <si>
    <t>16.8641666666667</t>
  </si>
  <si>
    <t>14.9783333333333</t>
  </si>
  <si>
    <t>13.8108333333333</t>
  </si>
  <si>
    <t>13.0333333333333</t>
  </si>
  <si>
    <t>12.7625</t>
  </si>
  <si>
    <t>12.8366666666667</t>
  </si>
  <si>
    <t>13.3916666666667</t>
  </si>
  <si>
    <t>13.8491666666667</t>
  </si>
  <si>
    <t>13.3416666666667</t>
  </si>
  <si>
    <t>13.43</t>
  </si>
  <si>
    <t>13.4866666666667</t>
  </si>
  <si>
    <t>13.5975</t>
  </si>
  <si>
    <t>13.7733333333333</t>
  </si>
  <si>
    <t>13.2275</t>
  </si>
  <si>
    <t>13.1016666666667</t>
  </si>
  <si>
    <t>13.0541666666667</t>
  </si>
  <si>
    <t>12.9233333333333</t>
  </si>
  <si>
    <t>12.7408333333333</t>
  </si>
  <si>
    <t>12.5258333333333</t>
  </si>
  <si>
    <t>12.1875</t>
  </si>
  <si>
    <t>11.9233333333333</t>
  </si>
  <si>
    <t>11.9616666666667</t>
  </si>
  <si>
    <t>12.395</t>
  </si>
  <si>
    <t>Guam</t>
  </si>
  <si>
    <t>GUM</t>
  </si>
  <si>
    <t>GUY</t>
  </si>
  <si>
    <t>13.5</t>
  </si>
  <si>
    <t>14.375</t>
  </si>
  <si>
    <t>15.0691666666667</t>
  </si>
  <si>
    <t>18.9375</t>
  </si>
  <si>
    <t>32.75</t>
  </si>
  <si>
    <t>33.55</t>
  </si>
  <si>
    <t>28.6875</t>
  </si>
  <si>
    <t>19.3625</t>
  </si>
  <si>
    <t>18.3608333333333</t>
  </si>
  <si>
    <t>19.22</t>
  </si>
  <si>
    <t>17.7933333333333</t>
  </si>
  <si>
    <t>17.0441666666667</t>
  </si>
  <si>
    <t>16.7675</t>
  </si>
  <si>
    <t>17.1083333333333</t>
  </si>
  <si>
    <t>17.3016666666667</t>
  </si>
  <si>
    <t>17.0075</t>
  </si>
  <si>
    <t>16.325</t>
  </si>
  <si>
    <t>14.9919047619048</t>
  </si>
  <si>
    <t>14.5416666666667</t>
  </si>
  <si>
    <t>14.5408333333333</t>
  </si>
  <si>
    <t>14.5409722222222</t>
  </si>
  <si>
    <t>14.6108333333333</t>
  </si>
  <si>
    <t>14.5825</t>
  </si>
  <si>
    <t>14.5414083333333</t>
  </si>
  <si>
    <t>14.5417</t>
  </si>
  <si>
    <t>14.4514027777778</t>
  </si>
  <si>
    <t>13.8611111111111</t>
  </si>
  <si>
    <t>12.8333333333333</t>
  </si>
  <si>
    <t>12.8333305555555</t>
  </si>
  <si>
    <t>13</t>
  </si>
  <si>
    <t>10.4791666666667</t>
  </si>
  <si>
    <t>9.46527777777779</t>
  </si>
  <si>
    <t>8.875</t>
  </si>
  <si>
    <t>8.41666666666667</t>
  </si>
  <si>
    <t>8.375</t>
  </si>
  <si>
    <t>High income</t>
  </si>
  <si>
    <t>HIC</t>
  </si>
  <si>
    <t>Hong Kong SAR, China</t>
  </si>
  <si>
    <t>HKG</t>
  </si>
  <si>
    <t>7.33333333333333</t>
  </si>
  <si>
    <t>7.375</t>
  </si>
  <si>
    <t>8.89583333333333</t>
  </si>
  <si>
    <t>8.52083333333333</t>
  </si>
  <si>
    <t>9.89583333333333</t>
  </si>
  <si>
    <t>9.27083333333333</t>
  </si>
  <si>
    <t>6.84375</t>
  </si>
  <si>
    <t>5.10416666666667</t>
  </si>
  <si>
    <t>5.02083333333333</t>
  </si>
  <si>
    <t>6.20833333333333</t>
  </si>
  <si>
    <t>7.91666666666667</t>
  </si>
  <si>
    <t>7.5625</t>
  </si>
  <si>
    <t>5.04166666666667</t>
  </si>
  <si>
    <t>5.73958333333333</t>
  </si>
  <si>
    <t>HND</t>
  </si>
  <si>
    <t>16.2</t>
  </si>
  <si>
    <t>15.5416666666667</t>
  </si>
  <si>
    <t>15.425</t>
  </si>
  <si>
    <t>17.05</t>
  </si>
  <si>
    <t>21.875</t>
  </si>
  <si>
    <t>21.6833333333333</t>
  </si>
  <si>
    <t>22.0583333333333</t>
  </si>
  <si>
    <t>24.675</t>
  </si>
  <si>
    <t>26.95</t>
  </si>
  <si>
    <t>29.7416666666667</t>
  </si>
  <si>
    <t>32.0666666666667</t>
  </si>
  <si>
    <t>30.6925</t>
  </si>
  <si>
    <t>30.1525</t>
  </si>
  <si>
    <t>26.8241666666667</t>
  </si>
  <si>
    <t>23.7641666666667</t>
  </si>
  <si>
    <t>22.6914278141648</t>
  </si>
  <si>
    <t>20.804133607232</t>
  </si>
  <si>
    <t>19.8764001803098</t>
  </si>
  <si>
    <t>18.8310833333333</t>
  </si>
  <si>
    <t>17.4366666666667</t>
  </si>
  <si>
    <t>16.605</t>
  </si>
  <si>
    <t>17.9366666666667</t>
  </si>
  <si>
    <t>19.445</t>
  </si>
  <si>
    <t>18.8646641666667</t>
  </si>
  <si>
    <t>18.5575316666667</t>
  </si>
  <si>
    <t>18.4506991666667</t>
  </si>
  <si>
    <t>20.0808666666667</t>
  </si>
  <si>
    <t>20.6122183333333</t>
  </si>
  <si>
    <t>20.6575666666667</t>
  </si>
  <si>
    <t>19.3319391666667</t>
  </si>
  <si>
    <t>19.2586933333333</t>
  </si>
  <si>
    <t>17.8041666666667</t>
  </si>
  <si>
    <t>17.3391666666667</t>
  </si>
  <si>
    <t>17.0091666666667</t>
  </si>
  <si>
    <t>15.9658333333333</t>
  </si>
  <si>
    <t>14.6070354831009</t>
  </si>
  <si>
    <t>14.3986403668225</t>
  </si>
  <si>
    <t>15.9990681802525</t>
  </si>
  <si>
    <t>Heavily indebted poor countries (HIPC)</t>
  </si>
  <si>
    <t>HPC</t>
  </si>
  <si>
    <t>HRV</t>
  </si>
  <si>
    <t>1443.60835833333</t>
  </si>
  <si>
    <t>22.9108583333333</t>
  </si>
  <si>
    <t>20.2433333333333</t>
  </si>
  <si>
    <t>22.515</t>
  </si>
  <si>
    <t>15.4675</t>
  </si>
  <si>
    <t>15.7525</t>
  </si>
  <si>
    <t>14.9441666666667</t>
  </si>
  <si>
    <t>12.0733333333333</t>
  </si>
  <si>
    <t>9.54916666666667</t>
  </si>
  <si>
    <t>12.84</t>
  </si>
  <si>
    <t>11.5766666666667</t>
  </si>
  <si>
    <t>11.7452333333333</t>
  </si>
  <si>
    <t>11.1911166666667</t>
  </si>
  <si>
    <t>9.93333333333333</t>
  </si>
  <si>
    <t>9.33083333333333</t>
  </si>
  <si>
    <t>10.0691666666667</t>
  </si>
  <si>
    <t>11.5541666666667</t>
  </si>
  <si>
    <t>10.3766666666667</t>
  </si>
  <si>
    <t>9.68416666666667</t>
  </si>
  <si>
    <t>9.48083333333333</t>
  </si>
  <si>
    <t>9.24666666666667</t>
  </si>
  <si>
    <t>8.58</t>
  </si>
  <si>
    <t>HTI</t>
  </si>
  <si>
    <t>12.99375</t>
  </si>
  <si>
    <t>20.08125</t>
  </si>
  <si>
    <t>14.2625</t>
  </si>
  <si>
    <t>15.09375</t>
  </si>
  <si>
    <t>16.49375</t>
  </si>
  <si>
    <t>17.85</t>
  </si>
  <si>
    <t>17.9375</t>
  </si>
  <si>
    <t>23.209375</t>
  </si>
  <si>
    <t>25.2</t>
  </si>
  <si>
    <t>23.2</t>
  </si>
  <si>
    <t>26.3666666666667</t>
  </si>
  <si>
    <t>23.0833333333333</t>
  </si>
  <si>
    <t>17.8108333333333</t>
  </si>
  <si>
    <t>17.3291666666667</t>
  </si>
  <si>
    <t>17.4816666666667</t>
  </si>
  <si>
    <t>11.61</t>
  </si>
  <si>
    <t>8.93416666666667</t>
  </si>
  <si>
    <t>8.7225</t>
  </si>
  <si>
    <t>10.7733333333333</t>
  </si>
  <si>
    <t>12.7491666666667</t>
  </si>
  <si>
    <t>13.1025</t>
  </si>
  <si>
    <t>14.1216666666667</t>
  </si>
  <si>
    <t>14.6341666666667</t>
  </si>
  <si>
    <t>13.3475</t>
  </si>
  <si>
    <t>13.12</t>
  </si>
  <si>
    <t>14.2141666666667</t>
  </si>
  <si>
    <t>HUN</t>
  </si>
  <si>
    <t>17.7333333333333</t>
  </si>
  <si>
    <t>20.3333333333333</t>
  </si>
  <si>
    <t>28.775</t>
  </si>
  <si>
    <t>35.1526166383178</t>
  </si>
  <si>
    <t>33.05</t>
  </si>
  <si>
    <t>25.425</t>
  </si>
  <si>
    <t>27.4</t>
  </si>
  <si>
    <t>32.6083333333333</t>
  </si>
  <si>
    <t>27.3083333333333</t>
  </si>
  <si>
    <t>21.7666666666667</t>
  </si>
  <si>
    <t>19.275</t>
  </si>
  <si>
    <t>16.3416666666667</t>
  </si>
  <si>
    <t>12.1166666666667</t>
  </si>
  <si>
    <t>10.1688765035317</t>
  </si>
  <si>
    <t>9.60342391546246</t>
  </si>
  <si>
    <t>12.8245260157791</t>
  </si>
  <si>
    <t>8.54094532697993</t>
  </si>
  <si>
    <t>8.07941498799324</t>
  </si>
  <si>
    <t>9.08594749573091</t>
  </si>
  <si>
    <t>10.1816677384355</t>
  </si>
  <si>
    <t>11.036862215741</t>
  </si>
  <si>
    <t>7.58692511347841</t>
  </si>
  <si>
    <t>8.32038166635833</t>
  </si>
  <si>
    <t>9.00154451059167</t>
  </si>
  <si>
    <t>6.30391235390833</t>
  </si>
  <si>
    <t>4.44753432715833</t>
  </si>
  <si>
    <t>2.90249069046667</t>
  </si>
  <si>
    <t>2.08907111213333</t>
  </si>
  <si>
    <t>1.48114342166667</t>
  </si>
  <si>
    <t>1.47096759300833</t>
  </si>
  <si>
    <t>1.79243378790833</t>
  </si>
  <si>
    <t>1.95768913324167</t>
  </si>
  <si>
    <t>2.9645376181</t>
  </si>
  <si>
    <t>10.6554314535917</t>
  </si>
  <si>
    <t>15.3020823180167</t>
  </si>
  <si>
    <t>9.12671515640833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</si>
  <si>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</si>
  <si>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</si>
  <si>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</si>
  <si>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</si>
  <si>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</si>
  <si>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</si>
  <si>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</si>
  <si>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</si>
  <si>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IDN</t>
  </si>
  <si>
    <t>21.5041666666667</t>
  </si>
  <si>
    <t>21.6666666666667</t>
  </si>
  <si>
    <t>22.0975</t>
  </si>
  <si>
    <t>21.6991666666667</t>
  </si>
  <si>
    <t>20.825</t>
  </si>
  <si>
    <t>25.5333333333333</t>
  </si>
  <si>
    <t>24.0333333333333</t>
  </si>
  <si>
    <t>20.5866666666667</t>
  </si>
  <si>
    <t>17.76</t>
  </si>
  <si>
    <t>18.8516666666667</t>
  </si>
  <si>
    <t>19.2175</t>
  </si>
  <si>
    <t>21.8175</t>
  </si>
  <si>
    <t>32.1541666666667</t>
  </si>
  <si>
    <t>27.6625</t>
  </si>
  <si>
    <t>18.455</t>
  </si>
  <si>
    <t>18.5475</t>
  </si>
  <si>
    <t>18.945</t>
  </si>
  <si>
    <t>16.935</t>
  </si>
  <si>
    <t>14.1241666666667</t>
  </si>
  <si>
    <t>14.0508333333333</t>
  </si>
  <si>
    <t>15.9791666666667</t>
  </si>
  <si>
    <t>13.8616666666667</t>
  </si>
  <si>
    <t>13.5983333333333</t>
  </si>
  <si>
    <t>14.4983333333333</t>
  </si>
  <si>
    <t>13.2516666666667</t>
  </si>
  <si>
    <t>12.4033333333333</t>
  </si>
  <si>
    <t>11.795</t>
  </si>
  <si>
    <t>11.6575</t>
  </si>
  <si>
    <t>12.605</t>
  </si>
  <si>
    <t>12.6625</t>
  </si>
  <si>
    <t>11.8883333333333</t>
  </si>
  <si>
    <t>11.0733333333333</t>
  </si>
  <si>
    <t>10.5366666666667</t>
  </si>
  <si>
    <t>10.3658333333333</t>
  </si>
  <si>
    <t>9.54416666666667</t>
  </si>
  <si>
    <t>8.9225</t>
  </si>
  <si>
    <t>8.52</t>
  </si>
  <si>
    <t>8.92666666666667</t>
  </si>
  <si>
    <t>8.79568784927158</t>
  </si>
  <si>
    <t>IDA only</t>
  </si>
  <si>
    <t>IDX</t>
  </si>
  <si>
    <t>Isle of Man</t>
  </si>
  <si>
    <t>IMN</t>
  </si>
  <si>
    <t>IND</t>
  </si>
  <si>
    <t>17.875</t>
  </si>
  <si>
    <t>18.9166666666667</t>
  </si>
  <si>
    <t>16.25</t>
  </si>
  <si>
    <t>14.75</t>
  </si>
  <si>
    <t>15.9583333333333</t>
  </si>
  <si>
    <t>13.8333333333333</t>
  </si>
  <si>
    <t>12.5416666666667</t>
  </si>
  <si>
    <t>12.0833333333333</t>
  </si>
  <si>
    <t>11.9166666666667</t>
  </si>
  <si>
    <t>10.9166666666667</t>
  </si>
  <si>
    <t>11.1875</t>
  </si>
  <si>
    <t>13.0208333333333</t>
  </si>
  <si>
    <t>13.3125</t>
  </si>
  <si>
    <t>8.33335</t>
  </si>
  <si>
    <t>10.6041666666667</t>
  </si>
  <si>
    <t>10.0083333333333</t>
  </si>
  <si>
    <t>9.6725</t>
  </si>
  <si>
    <t>9.50833333333333</t>
  </si>
  <si>
    <t>9.45416666666667</t>
  </si>
  <si>
    <t>9.46625</t>
  </si>
  <si>
    <t>9.15</t>
  </si>
  <si>
    <t>8.69833333333333</t>
  </si>
  <si>
    <t>8.56714285714286</t>
  </si>
  <si>
    <t>Not classified</t>
  </si>
  <si>
    <t>INX</t>
  </si>
  <si>
    <t>IRL</t>
  </si>
  <si>
    <t>IRN</t>
  </si>
  <si>
    <t>16.65</t>
  </si>
  <si>
    <t>14.21</t>
  </si>
  <si>
    <t>IRQ</t>
  </si>
  <si>
    <t>13.2675</t>
  </si>
  <si>
    <t>18.7833333333333</t>
  </si>
  <si>
    <t>19.215</t>
  </si>
  <si>
    <t>16.1558333333333</t>
  </si>
  <si>
    <t>14.3458333333333</t>
  </si>
  <si>
    <t>14.1308333333333</t>
  </si>
  <si>
    <t>13.8675</t>
  </si>
  <si>
    <t>12.6033333333333</t>
  </si>
  <si>
    <t>12.2925</t>
  </si>
  <si>
    <t>12.364068627451</t>
  </si>
  <si>
    <t>ISL</t>
  </si>
  <si>
    <t>47</t>
  </si>
  <si>
    <t>42.75</t>
  </si>
  <si>
    <t>22.833333333</t>
  </si>
  <si>
    <t>32.6</t>
  </si>
  <si>
    <t>18.775</t>
  </si>
  <si>
    <t>26.6083333333333</t>
  </si>
  <si>
    <t>30.275</t>
  </si>
  <si>
    <t>27.9666666666667</t>
  </si>
  <si>
    <t>16.1833333333333</t>
  </si>
  <si>
    <t>17.5166666666667</t>
  </si>
  <si>
    <t>13.05</t>
  </si>
  <si>
    <t>14.1083333333333</t>
  </si>
  <si>
    <t>10.5666666666667</t>
  </si>
  <si>
    <t>11.5833333333333</t>
  </si>
  <si>
    <t>12.4333333333333</t>
  </si>
  <si>
    <t>12.8916666666667</t>
  </si>
  <si>
    <t>13.3</t>
  </si>
  <si>
    <t>16.8</t>
  </si>
  <si>
    <t>17.95</t>
  </si>
  <si>
    <t>15.3666666666667</t>
  </si>
  <si>
    <t>11.95</t>
  </si>
  <si>
    <t>12.0166666666667</t>
  </si>
  <si>
    <t>14.7775286625066</t>
  </si>
  <si>
    <t>17.9089798240679</t>
  </si>
  <si>
    <t>19.2908142790322</t>
  </si>
  <si>
    <t>20.1461747797644</t>
  </si>
  <si>
    <t>18.9876587233745</t>
  </si>
  <si>
    <t>10.2570286966844</t>
  </si>
  <si>
    <t>7.69807247344557</t>
  </si>
  <si>
    <t>8.3243387717752</t>
  </si>
  <si>
    <t>8.15166666666667</t>
  </si>
  <si>
    <t>7.7425</t>
  </si>
  <si>
    <t>7.61</t>
  </si>
  <si>
    <t>8.23666666666667</t>
  </si>
  <si>
    <t>7.25583333333333</t>
  </si>
  <si>
    <t>6.955</t>
  </si>
  <si>
    <t>6.95</t>
  </si>
  <si>
    <t>5.75871241217229</t>
  </si>
  <si>
    <t>5.40415749831761</t>
  </si>
  <si>
    <t>7.59730075370325</t>
  </si>
  <si>
    <t>11.5309721139305</t>
  </si>
  <si>
    <t>12.4573766403134</t>
  </si>
  <si>
    <t>ISR</t>
  </si>
  <si>
    <t>4.4176971883925</t>
  </si>
  <si>
    <t>3.90743164221445</t>
  </si>
  <si>
    <t>3.45940579970678</t>
  </si>
  <si>
    <t>3.42015574375788</t>
  </si>
  <si>
    <t>3.49731030066808</t>
  </si>
  <si>
    <t>3.47760649522146</t>
  </si>
  <si>
    <t>3.53355862696966</t>
  </si>
  <si>
    <t>3.30802353223165</t>
  </si>
  <si>
    <t>3.1007500688235</t>
  </si>
  <si>
    <t>2.95817645390829</t>
  </si>
  <si>
    <t>ITA</t>
  </si>
  <si>
    <t>15.0025833333333</t>
  </si>
  <si>
    <t>14.85225</t>
  </si>
  <si>
    <t>14.6664166666667</t>
  </si>
  <si>
    <t>16.5239166666667</t>
  </si>
  <si>
    <t>14.6278333333333</t>
  </si>
  <si>
    <t>11.9838333333333</t>
  </si>
  <si>
    <t>13.236</t>
  </si>
  <si>
    <t>12.8183333333333</t>
  </si>
  <si>
    <t>10.5094833333333</t>
  </si>
  <si>
    <t>8.64310833333333</t>
  </si>
  <si>
    <t>6.345525</t>
  </si>
  <si>
    <t>7.02274166666667</t>
  </si>
  <si>
    <t>7.28775</t>
  </si>
  <si>
    <t>6.53650833333333</t>
  </si>
  <si>
    <t>5.83035</t>
  </si>
  <si>
    <t>5.50616666666667</t>
  </si>
  <si>
    <t>5.313935</t>
  </si>
  <si>
    <t>5.62177916666667</t>
  </si>
  <si>
    <t>6.3347</t>
  </si>
  <si>
    <t>6.83731</t>
  </si>
  <si>
    <t>4.75666666666667</t>
  </si>
  <si>
    <t>4.03166666666667</t>
  </si>
  <si>
    <t>4.59916666666667</t>
  </si>
  <si>
    <t>5.2225</t>
  </si>
  <si>
    <t>5.14416666666667</t>
  </si>
  <si>
    <t>4.86666666666667</t>
  </si>
  <si>
    <t>4.12925</t>
  </si>
  <si>
    <t>3.49616666666667</t>
  </si>
  <si>
    <t>3.00083333333333</t>
  </si>
  <si>
    <t>2.68</t>
  </si>
  <si>
    <t>2.6025</t>
  </si>
  <si>
    <t>2.32833333333333</t>
  </si>
  <si>
    <t>2.02591666666667</t>
  </si>
  <si>
    <t>2.264455</t>
  </si>
  <si>
    <t>4.89248125</t>
  </si>
  <si>
    <t>5.25244583333333</t>
  </si>
  <si>
    <t>JAM</t>
  </si>
  <si>
    <t>13.75583333275</t>
  </si>
  <si>
    <t>13.8549999995</t>
  </si>
  <si>
    <t>13.6841666661667</t>
  </si>
  <si>
    <t>13.8133333328333</t>
  </si>
  <si>
    <t>15.6333333325833</t>
  </si>
  <si>
    <t>16.0683333326667</t>
  </si>
  <si>
    <t>16.4383333325833</t>
  </si>
  <si>
    <t>16.9691666661667</t>
  </si>
  <si>
    <t>18.5341666666667</t>
  </si>
  <si>
    <t>27.34</t>
  </si>
  <si>
    <t>25.4466666666667</t>
  </si>
  <si>
    <t>25.1908333333333</t>
  </si>
  <si>
    <t>25.2175</t>
  </si>
  <si>
    <t>30.5008333333333</t>
  </si>
  <si>
    <t>31.5091666666667</t>
  </si>
  <si>
    <t>44.8125</t>
  </si>
  <si>
    <t>43.7116666666667</t>
  </si>
  <si>
    <t>49.4575</t>
  </si>
  <si>
    <t>43.5766666666667</t>
  </si>
  <si>
    <t>39.8341666666667</t>
  </si>
  <si>
    <t>32.8641666666667</t>
  </si>
  <si>
    <t>31.5875</t>
  </si>
  <si>
    <t>27.005</t>
  </si>
  <si>
    <t>23.3483333333333</t>
  </si>
  <si>
    <t>20.6075</t>
  </si>
  <si>
    <t>18.5016666666667</t>
  </si>
  <si>
    <t>18.8866666666667</t>
  </si>
  <si>
    <t>18.1375</t>
  </si>
  <si>
    <t>17.3608333333333</t>
  </si>
  <si>
    <t>17.6425</t>
  </si>
  <si>
    <t>17.1975</t>
  </si>
  <si>
    <t>16.8258333333333</t>
  </si>
  <si>
    <t>16.4320115952232</t>
  </si>
  <si>
    <t>20.4544535988841</t>
  </si>
  <si>
    <t>19.5092792933096</t>
  </si>
  <si>
    <t>17.6282722449123</t>
  </si>
  <si>
    <t>17.7164575640672</t>
  </si>
  <si>
    <t>17.2170086447286</t>
  </si>
  <si>
    <t>16.9765058224301</t>
  </si>
  <si>
    <t>16.4885271204668</t>
  </si>
  <si>
    <t>14.9051219370492</t>
  </si>
  <si>
    <t>14.0940737331496</t>
  </si>
  <si>
    <t>12.9984552678412</t>
  </si>
  <si>
    <t>12.0613787623239</t>
  </si>
  <si>
    <t>11.4933333333333</t>
  </si>
  <si>
    <t>11.405</t>
  </si>
  <si>
    <t>11.6516666666667</t>
  </si>
  <si>
    <t>11.9966040754221</t>
  </si>
  <si>
    <t>JOR</t>
  </si>
  <si>
    <t>12.3258333333333</t>
  </si>
  <si>
    <t>11.7991666666667</t>
  </si>
  <si>
    <t>10.9358333333333</t>
  </si>
  <si>
    <t>10.1791666666667</t>
  </si>
  <si>
    <t>9.29666666666667</t>
  </si>
  <si>
    <t>8.25666666666667</t>
  </si>
  <si>
    <t>7.60666666666667</t>
  </si>
  <si>
    <t>8.17833333333333</t>
  </si>
  <si>
    <t>8.67666666666667</t>
  </si>
  <si>
    <t>9.0275</t>
  </si>
  <si>
    <t>9.02416666666667</t>
  </si>
  <si>
    <t>8.71333333333333</t>
  </si>
  <si>
    <t>8.78083333333333</t>
  </si>
  <si>
    <t>9.01</t>
  </si>
  <si>
    <t>8.99</t>
  </si>
  <si>
    <t>8.47666666666667</t>
  </si>
  <si>
    <t>8.115</t>
  </si>
  <si>
    <t>8.39333333333333</t>
  </si>
  <si>
    <t>8.66166666666667</t>
  </si>
  <si>
    <t>8.665</t>
  </si>
  <si>
    <t>7.48083333333333</t>
  </si>
  <si>
    <t>7.01583333333333</t>
  </si>
  <si>
    <t>7.36833333333333</t>
  </si>
  <si>
    <t>8.95444444444445</t>
  </si>
  <si>
    <t>JPN</t>
  </si>
  <si>
    <t>4.86355555555556</t>
  </si>
  <si>
    <t>4.13341666666667</t>
  </si>
  <si>
    <t>3.50583333333333</t>
  </si>
  <si>
    <t>2.65758333333333</t>
  </si>
  <si>
    <t>2.44883333333333</t>
  </si>
  <si>
    <t>2.32091666666667</t>
  </si>
  <si>
    <t>2.16083333333333</t>
  </si>
  <si>
    <t>2.06716666666667</t>
  </si>
  <si>
    <t>1.96941666666667</t>
  </si>
  <si>
    <t>1.86491666666667</t>
  </si>
  <si>
    <t>1.82208333333333</t>
  </si>
  <si>
    <t>1.76658333333333</t>
  </si>
  <si>
    <t>1.67691666666667</t>
  </si>
  <si>
    <t>1.66483333333333</t>
  </si>
  <si>
    <t>1.88325</t>
  </si>
  <si>
    <t>1.9095</t>
  </si>
  <si>
    <t>1.72333333333333</t>
  </si>
  <si>
    <t>1.59833333333333</t>
  </si>
  <si>
    <t>1.50091666666667</t>
  </si>
  <si>
    <t>1.4075</t>
  </si>
  <si>
    <t>1.30375</t>
  </si>
  <si>
    <t>1.21916666666667</t>
  </si>
  <si>
    <t>1.14283333333333</t>
  </si>
  <si>
    <t>1.04475</t>
  </si>
  <si>
    <t>0.994</t>
  </si>
  <si>
    <t>KAZ</t>
  </si>
  <si>
    <t>KEN</t>
  </si>
  <si>
    <t>15.8333333333333</t>
  </si>
  <si>
    <t>18.75</t>
  </si>
  <si>
    <t>18.9975</t>
  </si>
  <si>
    <t>21.0675</t>
  </si>
  <si>
    <t>29.9891666666667</t>
  </si>
  <si>
    <t>36.24</t>
  </si>
  <si>
    <t>28.7958333333333</t>
  </si>
  <si>
    <t>33.7866666666667</t>
  </si>
  <si>
    <t>30.245</t>
  </si>
  <si>
    <t>29.49</t>
  </si>
  <si>
    <t>22.38</t>
  </si>
  <si>
    <t>22.3391666666667</t>
  </si>
  <si>
    <t>19.6658333333333</t>
  </si>
  <si>
    <t>18.4533333333333</t>
  </si>
  <si>
    <t>16.5733333333333</t>
  </si>
  <si>
    <t>12.5316666666667</t>
  </si>
  <si>
    <t>12.8825</t>
  </si>
  <si>
    <t>13.6355339080567</t>
  </si>
  <si>
    <t>13.340343675809</t>
  </si>
  <si>
    <t>14.0169393773033</t>
  </si>
  <si>
    <t>14.8045412422178</t>
  </si>
  <si>
    <t>14.3715</t>
  </si>
  <si>
    <t>15.0467599904394</t>
  </si>
  <si>
    <t>19.7234066533954</t>
  </si>
  <si>
    <t>17.3134576914047</t>
  </si>
  <si>
    <t>16.5139307062948</t>
  </si>
  <si>
    <t>16.086613785739</t>
  </si>
  <si>
    <t>16.5596306460545</t>
  </si>
  <si>
    <t>13.6675725164372</t>
  </si>
  <si>
    <t>13.0607588353757</t>
  </si>
  <si>
    <t>12.4411328875146</t>
  </si>
  <si>
    <t>11.9957846171539</t>
  </si>
  <si>
    <t>12.0799983467507</t>
  </si>
  <si>
    <t>12.3358409030593</t>
  </si>
  <si>
    <t>13.588501716128</t>
  </si>
  <si>
    <t>KGZ</t>
  </si>
  <si>
    <t>62.5759247648902</t>
  </si>
  <si>
    <t>63.231368861024</t>
  </si>
  <si>
    <t>56.9336572622779</t>
  </si>
  <si>
    <t>59.0114315569488</t>
  </si>
  <si>
    <t>56.4730303030303</t>
  </si>
  <si>
    <t>40.0918808777429</t>
  </si>
  <si>
    <t>35.8884535005225</t>
  </si>
  <si>
    <t>24.0508359456635</t>
  </si>
  <si>
    <t>23.3423898004309</t>
  </si>
  <si>
    <t>21.4988225662995</t>
  </si>
  <si>
    <t>23.0722114342722</t>
  </si>
  <si>
    <t>23.2185739270376</t>
  </si>
  <si>
    <t>25.9058333333333</t>
  </si>
  <si>
    <t>26.6529960866008</t>
  </si>
  <si>
    <t>23.7199692393219</t>
  </si>
  <si>
    <t>23.7789112384906</t>
  </si>
  <si>
    <t>22.9963340905902</t>
  </si>
  <si>
    <t>21.3243111079534</t>
  </si>
  <si>
    <t>20.1335217758898</t>
  </si>
  <si>
    <t>23.6301125786122</t>
  </si>
  <si>
    <t>24.5318680766991</t>
  </si>
  <si>
    <t>19.8191860496034</t>
  </si>
  <si>
    <t>19.5131820149386</t>
  </si>
  <si>
    <t>18.9967536717482</t>
  </si>
  <si>
    <t>17.0357659286485</t>
  </si>
  <si>
    <t>16.6226604984585</t>
  </si>
  <si>
    <t>18.6649646194159</t>
  </si>
  <si>
    <t>19.1058652071561</t>
  </si>
  <si>
    <t>KHM</t>
  </si>
  <si>
    <t>KIR</t>
  </si>
  <si>
    <t>KNA</t>
  </si>
  <si>
    <t>8.06129580038006</t>
  </si>
  <si>
    <t>8.53548967099065</t>
  </si>
  <si>
    <t>9.48387741221183</t>
  </si>
  <si>
    <t>10.985491335812</t>
  </si>
  <si>
    <t>11.3806528946542</t>
  </si>
  <si>
    <t>11.2983717947221</t>
  </si>
  <si>
    <t>10.7639278486122</t>
  </si>
  <si>
    <t>10.2793002918515</t>
  </si>
  <si>
    <t>10.9438238701199</t>
  </si>
  <si>
    <t>10.8911751062698</t>
  </si>
  <si>
    <t>10.9249120870646</t>
  </si>
  <si>
    <t>11.1648525543434</t>
  </si>
  <si>
    <t>11.4219900262067</t>
  </si>
  <si>
    <t>11.2084935977054</t>
  </si>
  <si>
    <t>11.1037230434773</t>
  </si>
  <si>
    <t>11.0763667509906</t>
  </si>
  <si>
    <t>10.8931185762886</t>
  </si>
  <si>
    <t>12.2164064390535</t>
  </si>
  <si>
    <t>10.2524673963376</t>
  </si>
  <si>
    <t>10.0349577016759</t>
  </si>
  <si>
    <t>9.30075281664404</t>
  </si>
  <si>
    <t>9.27814952398717</t>
  </si>
  <si>
    <t>8.70234605404264</t>
  </si>
  <si>
    <t>8.75231161283475</t>
  </si>
  <si>
    <t>8.61681004027483</t>
  </si>
  <si>
    <t>9.44508791429837</t>
  </si>
  <si>
    <t>8.73398885413872</t>
  </si>
  <si>
    <t>8.77635361152344</t>
  </si>
  <si>
    <t>9.281492190571</t>
  </si>
  <si>
    <t>9.29691666666667</t>
  </si>
  <si>
    <t>9.23</t>
  </si>
  <si>
    <t>9.0925</t>
  </si>
  <si>
    <t>8.85792016666667</t>
  </si>
  <si>
    <t>8.52342308333333</t>
  </si>
  <si>
    <t>7.650572</t>
  </si>
  <si>
    <t>7.14461925</t>
  </si>
  <si>
    <t>7.05012091666667</t>
  </si>
  <si>
    <t>6.6677805</t>
  </si>
  <si>
    <t>KOR</t>
  </si>
  <si>
    <t>11.065</t>
  </si>
  <si>
    <t>11.8766666666667</t>
  </si>
  <si>
    <t>15.2791666666667</t>
  </si>
  <si>
    <t>8.545</t>
  </si>
  <si>
    <t>7.70833333333333</t>
  </si>
  <si>
    <t>6.76916666666667</t>
  </si>
  <si>
    <t>6.23666666666667</t>
  </si>
  <si>
    <t>5.90416666666667</t>
  </si>
  <si>
    <t>5.59333333333333</t>
  </si>
  <si>
    <t>5.9875</t>
  </si>
  <si>
    <t>6.55166666666667</t>
  </si>
  <si>
    <t>7.16833333333333</t>
  </si>
  <si>
    <t>5.64916666666667</t>
  </si>
  <si>
    <t>5.51166666666667</t>
  </si>
  <si>
    <t>5.7575</t>
  </si>
  <si>
    <t>5.39583333333333</t>
  </si>
  <si>
    <t>4.64333333333333</t>
  </si>
  <si>
    <t>4.26333333333333</t>
  </si>
  <si>
    <t>3.53333333333333</t>
  </si>
  <si>
    <t>3.3675</t>
  </si>
  <si>
    <t>3.47666666666667</t>
  </si>
  <si>
    <t>3.6625</t>
  </si>
  <si>
    <t>3.44583333333333</t>
  </si>
  <si>
    <t>2.80166666666667</t>
  </si>
  <si>
    <t>2.88416666666667</t>
  </si>
  <si>
    <t>4.2925</t>
  </si>
  <si>
    <t>5.18916666666667</t>
  </si>
  <si>
    <t>4.72666666666667</t>
  </si>
  <si>
    <t>KWT</t>
  </si>
  <si>
    <t>5.85555555455556</t>
  </si>
  <si>
    <t>6.799999999</t>
  </si>
  <si>
    <t>9.2775</t>
  </si>
  <si>
    <t>9.38833333333333</t>
  </si>
  <si>
    <t>8.35166666666667</t>
  </si>
  <si>
    <t>8.5775</t>
  </si>
  <si>
    <t>8.7475</t>
  </si>
  <si>
    <t>8.62833333333333</t>
  </si>
  <si>
    <t>7.86166666666667</t>
  </si>
  <si>
    <t>8.37583333333333</t>
  </si>
  <si>
    <t>8.68555555555555</t>
  </si>
  <si>
    <t>8.6125</t>
  </si>
  <si>
    <t>7.995</t>
  </si>
  <si>
    <t>7.95333333333333</t>
  </si>
  <si>
    <t>7.60833333333333</t>
  </si>
  <si>
    <t>8.36916666666667</t>
  </si>
  <si>
    <t>8.77083333333333</t>
  </si>
  <si>
    <t>8.79666666666667</t>
  </si>
  <si>
    <t>8.93333333333333</t>
  </si>
  <si>
    <t>8.56166666666667</t>
  </si>
  <si>
    <t>8.86666666666667</t>
  </si>
  <si>
    <t>7.884275</t>
  </si>
  <si>
    <t>6.48220833333333</t>
  </si>
  <si>
    <t>5.41685833333333</t>
  </si>
  <si>
    <t>5.63663333333333</t>
  </si>
  <si>
    <t>7.49825833333333</t>
  </si>
  <si>
    <t>8.57895</t>
  </si>
  <si>
    <t>8.53628333333333</t>
  </si>
  <si>
    <t>7.61299166666667</t>
  </si>
  <si>
    <t>6.157775</t>
  </si>
  <si>
    <t>5.42165833333333</t>
  </si>
  <si>
    <t>5.19309166666667</t>
  </si>
  <si>
    <t>4.98379166666667</t>
  </si>
  <si>
    <t>4.56130833333333</t>
  </si>
  <si>
    <t>4.26845</t>
  </si>
  <si>
    <t>4.2949</t>
  </si>
  <si>
    <t>4.47658333333333</t>
  </si>
  <si>
    <t>4.69493333333333</t>
  </si>
  <si>
    <t>4.827</t>
  </si>
  <si>
    <t>4.8111</t>
  </si>
  <si>
    <t>4.13990833333333</t>
  </si>
  <si>
    <t>3.70596666666667</t>
  </si>
  <si>
    <t>3.912775</t>
  </si>
  <si>
    <t>4.92779166666667</t>
  </si>
  <si>
    <t>5.17130833333333</t>
  </si>
  <si>
    <t>Latin America &amp; Caribbean (excluding high income)</t>
  </si>
  <si>
    <t>LAC</t>
  </si>
  <si>
    <t>LAO</t>
  </si>
  <si>
    <t>26</t>
  </si>
  <si>
    <t>25.33</t>
  </si>
  <si>
    <t>25.67</t>
  </si>
  <si>
    <t>29.2783333333333</t>
  </si>
  <si>
    <t>32</t>
  </si>
  <si>
    <t>26.1666666666667</t>
  </si>
  <si>
    <t>30.5</t>
  </si>
  <si>
    <t>29.25</t>
  </si>
  <si>
    <t>30</t>
  </si>
  <si>
    <t>24.775</t>
  </si>
  <si>
    <t>22.6125</t>
  </si>
  <si>
    <t>LBN</t>
  </si>
  <si>
    <t>16.8333333333333</t>
  </si>
  <si>
    <t>14.5266666666667</t>
  </si>
  <si>
    <t>15.5841666666667</t>
  </si>
  <si>
    <t>17.2866666666667</t>
  </si>
  <si>
    <t>22.2125</t>
  </si>
  <si>
    <t>36.5383333333333</t>
  </si>
  <si>
    <t>44.4566666666667</t>
  </si>
  <si>
    <t>39.8616666666667</t>
  </si>
  <si>
    <t>39.9425</t>
  </si>
  <si>
    <t>38.0108333333333</t>
  </si>
  <si>
    <t>40.2058333333333</t>
  </si>
  <si>
    <t>28.5283333333333</t>
  </si>
  <si>
    <t>23.8841666666667</t>
  </si>
  <si>
    <t>24.6908333333333</t>
  </si>
  <si>
    <t>25.2083333333333</t>
  </si>
  <si>
    <t>20.29</t>
  </si>
  <si>
    <t>19.4783333333333</t>
  </si>
  <si>
    <t>18.1508333333333</t>
  </si>
  <si>
    <t>17.1891666666667</t>
  </si>
  <si>
    <t>16.5825</t>
  </si>
  <si>
    <t>13.4316666666667</t>
  </si>
  <si>
    <t>10.8083333333333</t>
  </si>
  <si>
    <t>10.26</t>
  </si>
  <si>
    <t>10.2558333333333</t>
  </si>
  <si>
    <t>9.96416666666667</t>
  </si>
  <si>
    <t>9.56833333333334</t>
  </si>
  <si>
    <t>8.33666666666667</t>
  </si>
  <si>
    <t>7.5275</t>
  </si>
  <si>
    <t>7.24916666666667</t>
  </si>
  <si>
    <t>7.34833333333334</t>
  </si>
  <si>
    <t>7.27416666666667</t>
  </si>
  <si>
    <t>7.09083333333333</t>
  </si>
  <si>
    <t>8.35083333333333</t>
  </si>
  <si>
    <t>8.29333333333333</t>
  </si>
  <si>
    <t>9.095</t>
  </si>
  <si>
    <t>10.5133333333333</t>
  </si>
  <si>
    <t>LBR</t>
  </si>
  <si>
    <t>15.3333333333333</t>
  </si>
  <si>
    <t>18.2249999996667</t>
  </si>
  <si>
    <t>20.6916666663333</t>
  </si>
  <si>
    <t>20.624999999</t>
  </si>
  <si>
    <t>19.34166666625</t>
  </si>
  <si>
    <t>14.45</t>
  </si>
  <si>
    <t>13.6333333333333</t>
  </si>
  <si>
    <t>13.3583333333333</t>
  </si>
  <si>
    <t>13.8166666666667</t>
  </si>
  <si>
    <t>14.0333333333333</t>
  </si>
  <si>
    <t>15.05</t>
  </si>
  <si>
    <t>14.525</t>
  </si>
  <si>
    <t>15.5666666666667</t>
  </si>
  <si>
    <t>15.3</t>
  </si>
  <si>
    <t>16.825</t>
  </si>
  <si>
    <t>21.7383333333333</t>
  </si>
  <si>
    <t>16.7191666666667</t>
  </si>
  <si>
    <t>20.5266666666667</t>
  </si>
  <si>
    <t>22.14</t>
  </si>
  <si>
    <t>20.205</t>
  </si>
  <si>
    <t>17.0566666666667</t>
  </si>
  <si>
    <t>18.0952325038288</t>
  </si>
  <si>
    <t>17.0333333333333</t>
  </si>
  <si>
    <t>15.5025</t>
  </si>
  <si>
    <t>15.0461512347723</t>
  </si>
  <si>
    <t>14.3980288602552</t>
  </si>
  <si>
    <t>14.1866666666667</t>
  </si>
  <si>
    <t>14.2425</t>
  </si>
  <si>
    <t>13.7508333333333</t>
  </si>
  <si>
    <t>13.5183333333333</t>
  </si>
  <si>
    <t>13.4893929815199</t>
  </si>
  <si>
    <t>13.5016666666667</t>
  </si>
  <si>
    <t>13.6066666666667</t>
  </si>
  <si>
    <t>13.59</t>
  </si>
  <si>
    <t>13.2501851851852</t>
  </si>
  <si>
    <t>LBY</t>
  </si>
  <si>
    <t>6.08333333333333</t>
  </si>
  <si>
    <t>6.33333333333333</t>
  </si>
  <si>
    <t>LCA</t>
  </si>
  <si>
    <t>13.704070595439</t>
  </si>
  <si>
    <t>14.055457020963</t>
  </si>
  <si>
    <t>14.7582298720112</t>
  </si>
  <si>
    <t>12.2106782869616</t>
  </si>
  <si>
    <t>10.9808257976274</t>
  </si>
  <si>
    <t>10.5415927657223</t>
  </si>
  <si>
    <t>11.2882889199609</t>
  </si>
  <si>
    <t>11.9059743876173</t>
  </si>
  <si>
    <t>12.810449932971</t>
  </si>
  <si>
    <t>11.8140626868538</t>
  </si>
  <si>
    <t>11.0596618309</t>
  </si>
  <si>
    <t>12.6827484777444</t>
  </si>
  <si>
    <t>12.8214561836334</t>
  </si>
  <si>
    <t>12.6817721325456</t>
  </si>
  <si>
    <t>11.4038205442493</t>
  </si>
  <si>
    <t>12.7914768846466</t>
  </si>
  <si>
    <t>13.0629574857111</t>
  </si>
  <si>
    <t>12.9728682897903</t>
  </si>
  <si>
    <t>12.5874972528272</t>
  </si>
  <si>
    <t>14.9972422139427</t>
  </si>
  <si>
    <t>11.0707816198869</t>
  </si>
  <si>
    <t>10.6053045549906</t>
  </si>
  <si>
    <t>10.7839950834178</t>
  </si>
  <si>
    <t>10.1219067962335</t>
  </si>
  <si>
    <t>10.0849310391437</t>
  </si>
  <si>
    <t>10.5820111235866</t>
  </si>
  <si>
    <t>10.6165388642549</t>
  </si>
  <si>
    <t>10.0020504342406</t>
  </si>
  <si>
    <t>9.50031901972522</t>
  </si>
  <si>
    <t>9.07521429780519</t>
  </si>
  <si>
    <t>8.99774238858608</t>
  </si>
  <si>
    <t>8.85541666666667</t>
  </si>
  <si>
    <t>8.4725</t>
  </si>
  <si>
    <t>8.34</t>
  </si>
  <si>
    <t>8.11011591666667</t>
  </si>
  <si>
    <t>7.72247983333333</t>
  </si>
  <si>
    <t>7.13469175</t>
  </si>
  <si>
    <t>6.75742416666667</t>
  </si>
  <si>
    <t>6.5128745</t>
  </si>
  <si>
    <t>6.40448225</t>
  </si>
  <si>
    <t>6.288332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</si>
  <si>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</si>
  <si>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</si>
  <si>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</si>
  <si>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</si>
  <si>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</si>
  <si>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</si>
  <si>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</si>
  <si>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LKA</t>
  </si>
  <si>
    <t>13.1675</t>
  </si>
  <si>
    <t>10.3458333333333</t>
  </si>
  <si>
    <t>9.46666666666667</t>
  </si>
  <si>
    <t>10.7641666666667</t>
  </si>
  <si>
    <t>12.85</t>
  </si>
  <si>
    <t>17.0766666666667</t>
  </si>
  <si>
    <t>18.8916666666667</t>
  </si>
  <si>
    <t>15.6716666666667</t>
  </si>
  <si>
    <t>10.2175</t>
  </si>
  <si>
    <t>9.41175</t>
  </si>
  <si>
    <t>13.2823333333333</t>
  </si>
  <si>
    <t>12.4533333333333</t>
  </si>
  <si>
    <t>7.8375</t>
  </si>
  <si>
    <t>6.9575</t>
  </si>
  <si>
    <t>10.4933333333333</t>
  </si>
  <si>
    <t>11.2441666666667</t>
  </si>
  <si>
    <t>Lower middle income</t>
  </si>
  <si>
    <t>LMC</t>
  </si>
  <si>
    <t>Low &amp; middle income</t>
  </si>
  <si>
    <t>LMY</t>
  </si>
  <si>
    <t>Lesotho</t>
  </si>
  <si>
    <t>LSO</t>
  </si>
  <si>
    <t>15.4166666666667</t>
  </si>
  <si>
    <t>17.5833333333333</t>
  </si>
  <si>
    <t>19.6666666666667</t>
  </si>
  <si>
    <t>11.125</t>
  </si>
  <si>
    <t>20.4166666666667</t>
  </si>
  <si>
    <t>20</t>
  </si>
  <si>
    <t>18.25</t>
  </si>
  <si>
    <t>17.7083333333333</t>
  </si>
  <si>
    <t>18.0333333333333</t>
  </si>
  <si>
    <t>20.0625</t>
  </si>
  <si>
    <t>19.0625</t>
  </si>
  <si>
    <t>17.1116666666667</t>
  </si>
  <si>
    <t>16.5541666666667</t>
  </si>
  <si>
    <t>17.11</t>
  </si>
  <si>
    <t>16.015</t>
  </si>
  <si>
    <t>12.375</t>
  </si>
  <si>
    <t>11.7166666666667</t>
  </si>
  <si>
    <t>12.1608333333333</t>
  </si>
  <si>
    <t>14.1316666666667</t>
  </si>
  <si>
    <t>16.1869444444444</t>
  </si>
  <si>
    <t>11.2225</t>
  </si>
  <si>
    <t>10.4291666666667</t>
  </si>
  <si>
    <t>10.1191666666667</t>
  </si>
  <si>
    <t>9.92</t>
  </si>
  <si>
    <t>10.3394444444444</t>
  </si>
  <si>
    <t>10.57</t>
  </si>
  <si>
    <t>11.5758333333333</t>
  </si>
  <si>
    <t>11.5808333333333</t>
  </si>
  <si>
    <t>11.3541666666667</t>
  </si>
  <si>
    <t>11.3335833333333</t>
  </si>
  <si>
    <t>8.97555555555556</t>
  </si>
  <si>
    <t>8.20875</t>
  </si>
  <si>
    <t>8.984375</t>
  </si>
  <si>
    <t>11.0833333333333</t>
  </si>
  <si>
    <t>11.2083333333333</t>
  </si>
  <si>
    <t>Late-demographic dividend</t>
  </si>
  <si>
    <t>LTE</t>
  </si>
  <si>
    <t>LTU</t>
  </si>
  <si>
    <t>LUX</t>
  </si>
  <si>
    <t>LVA</t>
  </si>
  <si>
    <t>Macao SAR, China</t>
  </si>
  <si>
    <t>MAC</t>
  </si>
  <si>
    <t>8.0625</t>
  </si>
  <si>
    <t>10.5416666666667</t>
  </si>
  <si>
    <t>10.4166666666667</t>
  </si>
  <si>
    <t>7.95335833333333</t>
  </si>
  <si>
    <t>9.90186666666667</t>
  </si>
  <si>
    <t>9.55708333333333</t>
  </si>
  <si>
    <t>9.7267</t>
  </si>
  <si>
    <t>10.973125</t>
  </si>
  <si>
    <t>9.45675</t>
  </si>
  <si>
    <t>9.890125</t>
  </si>
  <si>
    <t>7.98856666666667</t>
  </si>
  <si>
    <t>6.10786290322581</t>
  </si>
  <si>
    <t>6.01209677419355</t>
  </si>
  <si>
    <t>7.04771505376344</t>
  </si>
  <si>
    <t>8.75943635818504</t>
  </si>
  <si>
    <t>7.80848392995919</t>
  </si>
  <si>
    <t>5.42666666666667</t>
  </si>
  <si>
    <t>5.29146661101172</t>
  </si>
  <si>
    <t>5.35664740505193</t>
  </si>
  <si>
    <t>5.26109735335453</t>
  </si>
  <si>
    <t>5.26037313818147</t>
  </si>
  <si>
    <t>5.34309825057094</t>
  </si>
  <si>
    <t>6.00960180074487</t>
  </si>
  <si>
    <t>6.01747975323522</t>
  </si>
  <si>
    <t>St. Martin (French part)</t>
  </si>
  <si>
    <t>MAF</t>
  </si>
  <si>
    <t>MAR</t>
  </si>
  <si>
    <t>Monaco</t>
  </si>
  <si>
    <t>MCO</t>
  </si>
  <si>
    <t>MDA</t>
  </si>
  <si>
    <t>40.775</t>
  </si>
  <si>
    <t>36.6666666666667</t>
  </si>
  <si>
    <t>33.325</t>
  </si>
  <si>
    <t>30.825</t>
  </si>
  <si>
    <t>35.535</t>
  </si>
  <si>
    <t>33.7766666666667</t>
  </si>
  <si>
    <t>28.6941666666667</t>
  </si>
  <si>
    <t>23.5216666666667</t>
  </si>
  <si>
    <t>19.2891666666667</t>
  </si>
  <si>
    <t>20.9383333333333</t>
  </si>
  <si>
    <t>19.2608333333333</t>
  </si>
  <si>
    <t>18.1283333333333</t>
  </si>
  <si>
    <t>18.825</t>
  </si>
  <si>
    <t>21.0641666666667</t>
  </si>
  <si>
    <t>20.5441666666667</t>
  </si>
  <si>
    <t>16.36</t>
  </si>
  <si>
    <t>14.4380437873132</t>
  </si>
  <si>
    <t>13.4181543444526</t>
  </si>
  <si>
    <t>12.2941666666667</t>
  </si>
  <si>
    <t>11.0125</t>
  </si>
  <si>
    <t>14.1492441706685</t>
  </si>
  <si>
    <t>14.2760252993571</t>
  </si>
  <si>
    <t>10.3627060330686</t>
  </si>
  <si>
    <t>8.8475</t>
  </si>
  <si>
    <t>8.25</t>
  </si>
  <si>
    <t>8.18</t>
  </si>
  <si>
    <t>7.39666666666667</t>
  </si>
  <si>
    <t>11.7966666666667</t>
  </si>
  <si>
    <t>12.3323346360739</t>
  </si>
  <si>
    <t>8.90641056126628</t>
  </si>
  <si>
    <t>MDG</t>
  </si>
  <si>
    <t>22.25</t>
  </si>
  <si>
    <t>25.8</t>
  </si>
  <si>
    <t>25.475</t>
  </si>
  <si>
    <t>25.65</t>
  </si>
  <si>
    <t>28.2777777777778</t>
  </si>
  <si>
    <t>34.7541666666667</t>
  </si>
  <si>
    <t>35.5</t>
  </si>
  <si>
    <t>30.3333333333333</t>
  </si>
  <si>
    <t>27.25</t>
  </si>
  <si>
    <t>26.875</t>
  </si>
  <si>
    <t>25.25</t>
  </si>
  <si>
    <t>24.25</t>
  </si>
  <si>
    <t>24.5625</t>
  </si>
  <si>
    <t>25.875</t>
  </si>
  <si>
    <t>28.15</t>
  </si>
  <si>
    <t>40.275</t>
  </si>
  <si>
    <t>44</t>
  </si>
  <si>
    <t>44.6191666666667</t>
  </si>
  <si>
    <t>46</t>
  </si>
  <si>
    <t>52.5</t>
  </si>
  <si>
    <t>56.125</t>
  </si>
  <si>
    <t>58.98</t>
  </si>
  <si>
    <t>60</t>
  </si>
  <si>
    <t>56.7166666666667</t>
  </si>
  <si>
    <t>55.3895833333333</t>
  </si>
  <si>
    <t>49</t>
  </si>
  <si>
    <t>48.8666666666667</t>
  </si>
  <si>
    <t>48.2833333333333</t>
  </si>
  <si>
    <t>48.8333333333333</t>
  </si>
  <si>
    <t>53.5833333333333</t>
  </si>
  <si>
    <t>MDV</t>
  </si>
  <si>
    <t>10.9881428571429</t>
  </si>
  <si>
    <t>9.15678571428571</t>
  </si>
  <si>
    <t>9.52305714285714</t>
  </si>
  <si>
    <t>9.91985119047619</t>
  </si>
  <si>
    <t>10.2556</t>
  </si>
  <si>
    <t>10.37605</t>
  </si>
  <si>
    <t>10.1972219467061</t>
  </si>
  <si>
    <t>10.4838045042368</t>
  </si>
  <si>
    <t>11.141907371532</t>
  </si>
  <si>
    <t>11.4174465598427</t>
  </si>
  <si>
    <t>11.1012463363068</t>
  </si>
  <si>
    <t>10.7647511442635</t>
  </si>
  <si>
    <t>10.1536636807209</t>
  </si>
  <si>
    <t>10.6767228850732</t>
  </si>
  <si>
    <t>11.5226357918998</t>
  </si>
  <si>
    <t>11.6002303232237</t>
  </si>
  <si>
    <t>11.5654610099458</t>
  </si>
  <si>
    <t>10.9287065068347</t>
  </si>
  <si>
    <t>11.6818372301607</t>
  </si>
  <si>
    <t>11.5506355764887</t>
  </si>
  <si>
    <t>MEA</t>
  </si>
  <si>
    <t>MEX</t>
  </si>
  <si>
    <t>18.225</t>
  </si>
  <si>
    <t>19.3</t>
  </si>
  <si>
    <t>59.4316666666667</t>
  </si>
  <si>
    <t>36.3858333333333</t>
  </si>
  <si>
    <t>26.3583333333333</t>
  </si>
  <si>
    <t>23.7425</t>
  </si>
  <si>
    <t>16.9283333333333</t>
  </si>
  <si>
    <t>12.795</t>
  </si>
  <si>
    <t>8.21083333333334</t>
  </si>
  <si>
    <t>7.0225</t>
  </si>
  <si>
    <t>7.43833333333333</t>
  </si>
  <si>
    <t>9.695</t>
  </si>
  <si>
    <t>7.51183478062322</t>
  </si>
  <si>
    <t>7.56083333333333</t>
  </si>
  <si>
    <t>8.70576785663225</t>
  </si>
  <si>
    <t>7.065</t>
  </si>
  <si>
    <t>5.28083333333333</t>
  </si>
  <si>
    <t>4.91083333333333</t>
  </si>
  <si>
    <t>4.68083333333333</t>
  </si>
  <si>
    <t>4.27083333333333</t>
  </si>
  <si>
    <t>3.55166666666667</t>
  </si>
  <si>
    <t>3.43916666666667</t>
  </si>
  <si>
    <t>4.75416666666667</t>
  </si>
  <si>
    <t>7.3325</t>
  </si>
  <si>
    <t>8.04</t>
  </si>
  <si>
    <t>8.42916666666667</t>
  </si>
  <si>
    <t>6.34166666666667</t>
  </si>
  <si>
    <t>4.89166666666667</t>
  </si>
  <si>
    <t>8.17916666666667</t>
  </si>
  <si>
    <t>11.5916666666667</t>
  </si>
  <si>
    <t>11.2233333333333</t>
  </si>
  <si>
    <t>MHL</t>
  </si>
  <si>
    <t>Middle income</t>
  </si>
  <si>
    <t>MIC</t>
  </si>
  <si>
    <t>MKD</t>
  </si>
  <si>
    <t>12.5167631727899</t>
  </si>
  <si>
    <t>11.5566191061502</t>
  </si>
  <si>
    <t>10.5022074700388</t>
  </si>
  <si>
    <t>10.2320820975202</t>
  </si>
  <si>
    <t>11.1698082045543</t>
  </si>
  <si>
    <t>10.6958384111031</t>
  </si>
  <si>
    <t>9.60034455188952</t>
  </si>
  <si>
    <t>9.06831165790461</t>
  </si>
  <si>
    <t>8.48632692614998</t>
  </si>
  <si>
    <t>7.76515306540234</t>
  </si>
  <si>
    <t>7.45627705916539</t>
  </si>
  <si>
    <t>7.0175977722394</t>
  </si>
  <si>
    <t>6.60665710643843</t>
  </si>
  <si>
    <t>6.10691833969552</t>
  </si>
  <si>
    <t>5.60936382915275</t>
  </si>
  <si>
    <t>5.193220791087</t>
  </si>
  <si>
    <t>4.85796763215591</t>
  </si>
  <si>
    <t>4.63306721882146</t>
  </si>
  <si>
    <t>5.44084059566623</t>
  </si>
  <si>
    <t>5.85131870695966</t>
  </si>
  <si>
    <t>MLI</t>
  </si>
  <si>
    <t>8.67916666666667</t>
  </si>
  <si>
    <t>MLT</t>
  </si>
  <si>
    <t>7.3775</t>
  </si>
  <si>
    <t>7.76666666666667</t>
  </si>
  <si>
    <t>7.99166666666667</t>
  </si>
  <si>
    <t>8.085</t>
  </si>
  <si>
    <t>7.69916666666667</t>
  </si>
  <si>
    <t>7.27583333333333</t>
  </si>
  <si>
    <t>6.89833333333333</t>
  </si>
  <si>
    <t>6.03833333333333</t>
  </si>
  <si>
    <t>5.32416666666667</t>
  </si>
  <si>
    <t>5.50833333333333</t>
  </si>
  <si>
    <t>5.65416666666667</t>
  </si>
  <si>
    <t>6.23833333333333</t>
  </si>
  <si>
    <t>5.88833333333333</t>
  </si>
  <si>
    <t>4.47083333333333</t>
  </si>
  <si>
    <t>4.6</t>
  </si>
  <si>
    <t>4.74583333333333</t>
  </si>
  <si>
    <t>4.7025</t>
  </si>
  <si>
    <t>4.705</t>
  </si>
  <si>
    <t>MMR</t>
  </si>
  <si>
    <t>20.3076923076923</t>
  </si>
  <si>
    <t>19.8461538461538</t>
  </si>
  <si>
    <t>18.7692307692308</t>
  </si>
  <si>
    <t>18.4615384615385</t>
  </si>
  <si>
    <t>19.7948717948718</t>
  </si>
  <si>
    <t>20.9230769230769</t>
  </si>
  <si>
    <t>20.1025641025641</t>
  </si>
  <si>
    <t>14.8333333333333</t>
  </si>
  <si>
    <t>Middle East &amp; North Africa (excluding high income)</t>
  </si>
  <si>
    <t>MNA</t>
  </si>
  <si>
    <t>MNE</t>
  </si>
  <si>
    <t>12.4133333333333</t>
  </si>
  <si>
    <t>11.1541666666667</t>
  </si>
  <si>
    <t>9.2025</t>
  </si>
  <si>
    <t>9.23833333333333</t>
  </si>
  <si>
    <t>9.35916666666667</t>
  </si>
  <si>
    <t>9.53</t>
  </si>
  <si>
    <t>9.68666666666667</t>
  </si>
  <si>
    <t>9.5625</t>
  </si>
  <si>
    <t>9.39</t>
  </si>
  <si>
    <t>9.4125</t>
  </si>
  <si>
    <t>7.97166666666667</t>
  </si>
  <si>
    <t>7.19666666666667</t>
  </si>
  <si>
    <t>6.52916666666667</t>
  </si>
  <si>
    <t>6.175</t>
  </si>
  <si>
    <t>5.90666666666667</t>
  </si>
  <si>
    <t>5.76083333333333</t>
  </si>
  <si>
    <t>5.63833333333333</t>
  </si>
  <si>
    <t>6.345</t>
  </si>
  <si>
    <t>6.59666666666667</t>
  </si>
  <si>
    <t>MNG</t>
  </si>
  <si>
    <t>48.0625</t>
  </si>
  <si>
    <t>44.0083333333333</t>
  </si>
  <si>
    <t>36.9526929489206</t>
  </si>
  <si>
    <t>37.35</t>
  </si>
  <si>
    <t>35.5166666666667</t>
  </si>
  <si>
    <t>31.9066666666667</t>
  </si>
  <si>
    <t>31.4733333333333</t>
  </si>
  <si>
    <t>30.5708333333333</t>
  </si>
  <si>
    <t>26.9345496107012</t>
  </si>
  <si>
    <t>21.8283333333333</t>
  </si>
  <si>
    <t>21.6669633454756</t>
  </si>
  <si>
    <t>20.0687801614724</t>
  </si>
  <si>
    <t>16.6094364473738</t>
  </si>
  <si>
    <t>18.1138144349254</t>
  </si>
  <si>
    <t>18.4820227869524</t>
  </si>
  <si>
    <t>19.0254306203402</t>
  </si>
  <si>
    <t>19.5627170198657</t>
  </si>
  <si>
    <t>19.7415351110051</t>
  </si>
  <si>
    <t>20.0069222277202</t>
  </si>
  <si>
    <t>17.7142698930509</t>
  </si>
  <si>
    <t>16.996623348027</t>
  </si>
  <si>
    <t>16.9306267030976</t>
  </si>
  <si>
    <t>16.0067624800933</t>
  </si>
  <si>
    <t>Northern Mariana Islands</t>
  </si>
  <si>
    <t>MNP</t>
  </si>
  <si>
    <t>MOZ</t>
  </si>
  <si>
    <t>29.9666666666667</t>
  </si>
  <si>
    <t>24.3525</t>
  </si>
  <si>
    <t>19.63</t>
  </si>
  <si>
    <t>19.0391666666667</t>
  </si>
  <si>
    <t>22.7291666666667</t>
  </si>
  <si>
    <t>26.7083333333333</t>
  </si>
  <si>
    <t>24.69</t>
  </si>
  <si>
    <t>22.075</t>
  </si>
  <si>
    <t>19.4671666666667</t>
  </si>
  <si>
    <t>18.5613333333333</t>
  </si>
  <si>
    <t>19.5173333333333</t>
  </si>
  <si>
    <t>18.31</t>
  </si>
  <si>
    <t>15.6756666666667</t>
  </si>
  <si>
    <t>16.2626666666667</t>
  </si>
  <si>
    <t>19.099605952381</t>
  </si>
  <si>
    <t>16.8135416666667</t>
  </si>
  <si>
    <t>15.3206018518518</t>
  </si>
  <si>
    <t>14.7979166666667</t>
  </si>
  <si>
    <t>14.8665</t>
  </si>
  <si>
    <t>21.1760032765458</t>
  </si>
  <si>
    <t>27.8561208892752</t>
  </si>
  <si>
    <t>22.9833333333333</t>
  </si>
  <si>
    <t>18.9583333333333</t>
  </si>
  <si>
    <t>17.075</t>
  </si>
  <si>
    <t>18.1666666666667</t>
  </si>
  <si>
    <t>20.1333333333333</t>
  </si>
  <si>
    <t>23.7</t>
  </si>
  <si>
    <t>22.3</t>
  </si>
  <si>
    <t>MRT</t>
  </si>
  <si>
    <t>22.5</t>
  </si>
  <si>
    <t>23.5</t>
  </si>
  <si>
    <t>MUS</t>
  </si>
  <si>
    <t>11.75</t>
  </si>
  <si>
    <t>13.25</t>
  </si>
  <si>
    <t>14.125</t>
  </si>
  <si>
    <t>14.9583333333333</t>
  </si>
  <si>
    <t>16.125</t>
  </si>
  <si>
    <t>17.75</t>
  </si>
  <si>
    <t>17.125</t>
  </si>
  <si>
    <t>20.8125</t>
  </si>
  <si>
    <t>19.9166666666667</t>
  </si>
  <si>
    <t>21.625</t>
  </si>
  <si>
    <t>20.7708333333333</t>
  </si>
  <si>
    <t>21.1041666666667</t>
  </si>
  <si>
    <t>21.0416666666667</t>
  </si>
  <si>
    <t>21.0833333333333</t>
  </si>
  <si>
    <t>21.8741666666667</t>
  </si>
  <si>
    <t>11.5416666666667</t>
  </si>
  <si>
    <t>8.66666666666667</t>
  </si>
  <si>
    <t>8.45</t>
  </si>
  <si>
    <t>7.225</t>
  </si>
  <si>
    <t>6.87083333333333</t>
  </si>
  <si>
    <t>7.50416666666667</t>
  </si>
  <si>
    <t>MWI</t>
  </si>
  <si>
    <t>16.6666666666667</t>
  </si>
  <si>
    <t>18.5</t>
  </si>
  <si>
    <t>18.375</t>
  </si>
  <si>
    <t>23</t>
  </si>
  <si>
    <t>29.5</t>
  </si>
  <si>
    <t>31</t>
  </si>
  <si>
    <t>47.3333333333333</t>
  </si>
  <si>
    <t>45.3333333333333</t>
  </si>
  <si>
    <t>28.25</t>
  </si>
  <si>
    <t>37.6666666666667</t>
  </si>
  <si>
    <t>53.125</t>
  </si>
  <si>
    <t>56.1666666666667</t>
  </si>
  <si>
    <t>50.5416666666667</t>
  </si>
  <si>
    <t>48.9166666666667</t>
  </si>
  <si>
    <t>36.8333333333333</t>
  </si>
  <si>
    <t>33.0833333333333</t>
  </si>
  <si>
    <t>32.25</t>
  </si>
  <si>
    <t>27.7152777777778</t>
  </si>
  <si>
    <t>25.2777777777778</t>
  </si>
  <si>
    <t>24.625</t>
  </si>
  <si>
    <t>23.75</t>
  </si>
  <si>
    <t>32.3298611111111</t>
  </si>
  <si>
    <t>46.0111742424242</t>
  </si>
  <si>
    <t>44.2895833333333</t>
  </si>
  <si>
    <t>44.3872159083333</t>
  </si>
  <si>
    <t>44.1120833333333</t>
  </si>
  <si>
    <t>38.5929166666667</t>
  </si>
  <si>
    <t>32.29</t>
  </si>
  <si>
    <t>25.6743055555555</t>
  </si>
  <si>
    <t>24.2162962962963</t>
  </si>
  <si>
    <t>23.88125</t>
  </si>
  <si>
    <t>25.3516666666667</t>
  </si>
  <si>
    <t>33.5477083333333</t>
  </si>
  <si>
    <t>37.0641666666667</t>
  </si>
  <si>
    <t>MYS</t>
  </si>
  <si>
    <t>9.14</t>
  </si>
  <si>
    <t>9.2</t>
  </si>
  <si>
    <t>9.19</t>
  </si>
  <si>
    <t>10.03</t>
  </si>
  <si>
    <t>9.47</t>
  </si>
  <si>
    <t>9.34</t>
  </si>
  <si>
    <t>9.43</t>
  </si>
  <si>
    <t>10.13</t>
  </si>
  <si>
    <t>11.89</t>
  </si>
  <si>
    <t>11.775</t>
  </si>
  <si>
    <t>12.21</t>
  </si>
  <si>
    <t>12.5525</t>
  </si>
  <si>
    <t>12.2383333333333</t>
  </si>
  <si>
    <t>10.3625</t>
  </si>
  <si>
    <t>9.3</t>
  </si>
  <si>
    <t>8.78583333333333</t>
  </si>
  <si>
    <t>9.3475</t>
  </si>
  <si>
    <t>10.1616666666667</t>
  </si>
  <si>
    <t>10.0308333333333</t>
  </si>
  <si>
    <t>8.76416666666667</t>
  </si>
  <si>
    <t>8.73</t>
  </si>
  <si>
    <t>9.94333333333333</t>
  </si>
  <si>
    <t>10.6283333333333</t>
  </si>
  <si>
    <t>12.1341666666667</t>
  </si>
  <si>
    <t>8.56333333333333</t>
  </si>
  <si>
    <t>7.67333333333333</t>
  </si>
  <si>
    <t>7.12666666666667</t>
  </si>
  <si>
    <t>6.52833333333333</t>
  </si>
  <si>
    <t>6.30083333333333</t>
  </si>
  <si>
    <t>6.04583333333333</t>
  </si>
  <si>
    <t>5.9525</t>
  </si>
  <si>
    <t>6.48583333333333</t>
  </si>
  <si>
    <t>6.40916666666667</t>
  </si>
  <si>
    <t>6.08</t>
  </si>
  <si>
    <t>5.08416666666667</t>
  </si>
  <si>
    <t>4.915</t>
  </si>
  <si>
    <t>4.78583333333333</t>
  </si>
  <si>
    <t>4.6498</t>
  </si>
  <si>
    <t>4.587025</t>
  </si>
  <si>
    <t>4.565375</t>
  </si>
  <si>
    <t>4.53106666666667</t>
  </si>
  <si>
    <t>4.60807808641975</t>
  </si>
  <si>
    <t>4.92844038461538</t>
  </si>
  <si>
    <t>4.87689294871795</t>
  </si>
  <si>
    <t>3.94420769234615</t>
  </si>
  <si>
    <t>3.44410640384615</t>
  </si>
  <si>
    <t>3.90802666666667</t>
  </si>
  <si>
    <t>5.31737500641026</t>
  </si>
  <si>
    <t>5.282681</t>
  </si>
  <si>
    <t>NAC</t>
  </si>
  <si>
    <t>NAM</t>
  </si>
  <si>
    <t>23.3633333333333</t>
  </si>
  <si>
    <t>20.2125</t>
  </si>
  <si>
    <t>18.0208333333333</t>
  </si>
  <si>
    <t>17.0533333333333</t>
  </si>
  <si>
    <t>18.5083333333333</t>
  </si>
  <si>
    <t>19.16</t>
  </si>
  <si>
    <t>20.1791666666667</t>
  </si>
  <si>
    <t>20.7191666666667</t>
  </si>
  <si>
    <t>18.4841666666667</t>
  </si>
  <si>
    <t>15.2783333333333</t>
  </si>
  <si>
    <t>14.5316666666667</t>
  </si>
  <si>
    <t>13.8375</t>
  </si>
  <si>
    <t>14.7008333333333</t>
  </si>
  <si>
    <t>11.3891666666667</t>
  </si>
  <si>
    <t>10.61</t>
  </si>
  <si>
    <t>11.1808333333333</t>
  </si>
  <si>
    <t>12.8841666666667</t>
  </si>
  <si>
    <t>13.7366666666667</t>
  </si>
  <si>
    <t>11.1183333333333</t>
  </si>
  <si>
    <t>9.72</t>
  </si>
  <si>
    <t>8.651875</t>
  </si>
  <si>
    <t>8.28916666666667</t>
  </si>
  <si>
    <t>8.69916666666666</t>
  </si>
  <si>
    <t>9.32416666666667</t>
  </si>
  <si>
    <t>9.84443259260221</t>
  </si>
  <si>
    <t>10.0267531057121</t>
  </si>
  <si>
    <t>10.1421759973261</t>
  </si>
  <si>
    <t>9.87583333333333</t>
  </si>
  <si>
    <t>7.86862833803428</t>
  </si>
  <si>
    <t>6.86006032150676</t>
  </si>
  <si>
    <t>8.6125332139457</t>
  </si>
  <si>
    <t>10.9267372727146</t>
  </si>
  <si>
    <t>10.9566133964356</t>
  </si>
  <si>
    <t>NCL</t>
  </si>
  <si>
    <t>NER</t>
  </si>
  <si>
    <t>10.7941666666667</t>
  </si>
  <si>
    <t>NGA</t>
  </si>
  <si>
    <t>8.14999999941667</t>
  </si>
  <si>
    <t>8.43166666633333</t>
  </si>
  <si>
    <t>8.9166666665</t>
  </si>
  <si>
    <t>9.53749999983333</t>
  </si>
  <si>
    <t>9.97666666633333</t>
  </si>
  <si>
    <t>10.2416666664167</t>
  </si>
  <si>
    <t>9.43333333291667</t>
  </si>
  <si>
    <t>9.95916666666667</t>
  </si>
  <si>
    <t>13.9616666666667</t>
  </si>
  <si>
    <t>16.6166666666667</t>
  </si>
  <si>
    <t>20.4416666666667</t>
  </si>
  <si>
    <t>25.3</t>
  </si>
  <si>
    <t>20.0416666666667</t>
  </si>
  <si>
    <t>24.7583333333333</t>
  </si>
  <si>
    <t>31.65</t>
  </si>
  <si>
    <t>20.4833333333333</t>
  </si>
  <si>
    <t>20.2333333333333</t>
  </si>
  <si>
    <t>19.8366666666667</t>
  </si>
  <si>
    <t>17.795</t>
  </si>
  <si>
    <t>18.1841666666667</t>
  </si>
  <si>
    <t>21.2741666666667</t>
  </si>
  <si>
    <t>23.4383333333333</t>
  </si>
  <si>
    <t>24.7708333333333</t>
  </si>
  <si>
    <t>20.7141666666667</t>
  </si>
  <si>
    <t>19.1808333333333</t>
  </si>
  <si>
    <t>17.9483333333333</t>
  </si>
  <si>
    <t>16.8933333333333</t>
  </si>
  <si>
    <t>16.9391666666667</t>
  </si>
  <si>
    <t>15.1358333333333</t>
  </si>
  <si>
    <t>18.9908333333333</t>
  </si>
  <si>
    <t>17.585</t>
  </si>
  <si>
    <t>16.02</t>
  </si>
  <si>
    <t>16.7916666666667</t>
  </si>
  <si>
    <t>16.7225</t>
  </si>
  <si>
    <t>16.5483333333333</t>
  </si>
  <si>
    <t>16.8491666666667</t>
  </si>
  <si>
    <t>16.8680157641191</t>
  </si>
  <si>
    <t>17.5533333333333</t>
  </si>
  <si>
    <t>16.9038969646886</t>
  </si>
  <si>
    <t>15.3765869808333</t>
  </si>
  <si>
    <t>13.6420216718796</t>
  </si>
  <si>
    <t>11.4831327947137</t>
  </si>
  <si>
    <t>12.3345442352326</t>
  </si>
  <si>
    <t>14.010553734975</t>
  </si>
  <si>
    <t>NIC</t>
  </si>
  <si>
    <t>99764.5329502716</t>
  </si>
  <si>
    <t>456.660182146775</t>
  </si>
  <si>
    <t>18.0042006545206</t>
  </si>
  <si>
    <t>14.662511896674</t>
  </si>
  <si>
    <t>15.8095977111021</t>
  </si>
  <si>
    <t>16.5515890108036</t>
  </si>
  <si>
    <t>16.4813453491591</t>
  </si>
  <si>
    <t>16.2774341372007</t>
  </si>
  <si>
    <t>16.9532736390427</t>
  </si>
  <si>
    <t>17.2001494207448</t>
  </si>
  <si>
    <t>17.6998546459565</t>
  </si>
  <si>
    <t>17.5741666666667</t>
  </si>
  <si>
    <t>18.1432530013328</t>
  </si>
  <si>
    <t>18.5530521527496</t>
  </si>
  <si>
    <t>18.2951853974161</t>
  </si>
  <si>
    <t>15.5492190170989</t>
  </si>
  <si>
    <t>13.4914364545654</t>
  </si>
  <si>
    <t>12.1013604539054</t>
  </si>
  <si>
    <t>11.5757937339595</t>
  </si>
  <si>
    <t>13.0414649627968</t>
  </si>
  <si>
    <t>13.1693503603881</t>
  </si>
  <si>
    <t>14.0446746261656</t>
  </si>
  <si>
    <t>13.3199668556874</t>
  </si>
  <si>
    <t>10.5378350892065</t>
  </si>
  <si>
    <t>11.9943081563015</t>
  </si>
  <si>
    <t>14.9846018898851</t>
  </si>
  <si>
    <t>13.5379413593366</t>
  </si>
  <si>
    <t>12.0523546187589</t>
  </si>
  <si>
    <t>11.4382974497807</t>
  </si>
  <si>
    <t>10.7806044298079</t>
  </si>
  <si>
    <t>10.8957854531661</t>
  </si>
  <si>
    <t>12.4572600828874</t>
  </si>
  <si>
    <t>11.1753990283182</t>
  </si>
  <si>
    <t>9.61987339717133</t>
  </si>
  <si>
    <t>9.22854363785739</t>
  </si>
  <si>
    <t>9.48156215456585</t>
  </si>
  <si>
    <t>11.2379969586441</t>
  </si>
  <si>
    <t>NLD</t>
  </si>
  <si>
    <t>3.45833333333333</t>
  </si>
  <si>
    <t>4.79166666666667</t>
  </si>
  <si>
    <t>3.95833333333333</t>
  </si>
  <si>
    <t>2.75</t>
  </si>
  <si>
    <t>2.77083333333333</t>
  </si>
  <si>
    <t>3.54166666666667</t>
  </si>
  <si>
    <t>4.60416666666667</t>
  </si>
  <si>
    <t>1.98333333333333</t>
  </si>
  <si>
    <t>1.75</t>
  </si>
  <si>
    <t>2</t>
  </si>
  <si>
    <t>1.625</t>
  </si>
  <si>
    <t>1.5</t>
  </si>
  <si>
    <t>NOR</t>
  </si>
  <si>
    <t>4.21166666666667</t>
  </si>
  <si>
    <t>3.5</t>
  </si>
  <si>
    <t>3.07</t>
  </si>
  <si>
    <t>3.00583333333333</t>
  </si>
  <si>
    <t>2.92583333333333</t>
  </si>
  <si>
    <t>3.23583333333333</t>
  </si>
  <si>
    <t>2.6975</t>
  </si>
  <si>
    <t>2.27416666666667</t>
  </si>
  <si>
    <t>3.24333333333333</t>
  </si>
  <si>
    <t>5.30833333333333</t>
  </si>
  <si>
    <t>6.1475</t>
  </si>
  <si>
    <t>NPL</t>
  </si>
  <si>
    <t>NRU</t>
  </si>
  <si>
    <t>NZL</t>
  </si>
  <si>
    <t>8.99250060028173</t>
  </si>
  <si>
    <t>7.05200566313283</t>
  </si>
  <si>
    <t>7.81455131994762</t>
  </si>
  <si>
    <t>7.5950946589777</t>
  </si>
  <si>
    <t>7.17585350727611</t>
  </si>
  <si>
    <t>6.9967756012681</t>
  </si>
  <si>
    <t>7.10214801730848</t>
  </si>
  <si>
    <t>7.76256016240711</t>
  </si>
  <si>
    <t>8.19215614560302</t>
  </si>
  <si>
    <t>8.61220661400669</t>
  </si>
  <si>
    <t>8.93853268110941</t>
  </si>
  <si>
    <t>6.65675979597309</t>
  </si>
  <si>
    <t>6.25545424755873</t>
  </si>
  <si>
    <t>6.10883251498722</t>
  </si>
  <si>
    <t>5.82383752043118</t>
  </si>
  <si>
    <t>5.53306960008471</t>
  </si>
  <si>
    <t>5.80416666666667</t>
  </si>
  <si>
    <t>5.7625</t>
  </si>
  <si>
    <t>4.76</t>
  </si>
  <si>
    <t>0</t>
  </si>
  <si>
    <t>OECD members</t>
  </si>
  <si>
    <t>OED</t>
  </si>
  <si>
    <t>OMN</t>
  </si>
  <si>
    <t>10.348</t>
  </si>
  <si>
    <t>10.236</t>
  </si>
  <si>
    <t>9.9165</t>
  </si>
  <si>
    <t>9.30025</t>
  </si>
  <si>
    <t>9.35</t>
  </si>
  <si>
    <t>9.85225</t>
  </si>
  <si>
    <t>9.85375</t>
  </si>
  <si>
    <t>9.56875</t>
  </si>
  <si>
    <t>9.362</t>
  </si>
  <si>
    <t>8.383</t>
  </si>
  <si>
    <t>9.28175</t>
  </si>
  <si>
    <t>9.30075</t>
  </si>
  <si>
    <t>9.18025</t>
  </si>
  <si>
    <t>9.7375</t>
  </si>
  <si>
    <t>10.5302083333333</t>
  </si>
  <si>
    <t>10.1415833333333</t>
  </si>
  <si>
    <t>9.59258333333333</t>
  </si>
  <si>
    <t>8.82466666666667</t>
  </si>
  <si>
    <t>8.39308333333333</t>
  </si>
  <si>
    <t>7.93975</t>
  </si>
  <si>
    <t>7.28358333333333</t>
  </si>
  <si>
    <t>7.29266666666667</t>
  </si>
  <si>
    <t>7.36883333333333</t>
  </si>
  <si>
    <t>6.82833333333333</t>
  </si>
  <si>
    <t>7.32325</t>
  </si>
  <si>
    <t>7.14125</t>
  </si>
  <si>
    <t>6.52133333333333</t>
  </si>
  <si>
    <t>5.901</t>
  </si>
  <si>
    <t>5.5155</t>
  </si>
  <si>
    <t>5.22508333333333</t>
  </si>
  <si>
    <t>4.8785</t>
  </si>
  <si>
    <t>4.91108333333333</t>
  </si>
  <si>
    <t>5.15266271716578</t>
  </si>
  <si>
    <t>5.24638450213673</t>
  </si>
  <si>
    <t>5.41334351278467</t>
  </si>
  <si>
    <t>5.46649920548604</t>
  </si>
  <si>
    <t>5.49783609712142</t>
  </si>
  <si>
    <t>Other small states</t>
  </si>
  <si>
    <t>OSS</t>
  </si>
  <si>
    <t>PAK</t>
  </si>
  <si>
    <t>7.2575</t>
  </si>
  <si>
    <t>9.07166666666667</t>
  </si>
  <si>
    <t>10.9875</t>
  </si>
  <si>
    <t>11.7683333333333</t>
  </si>
  <si>
    <t>12.9358333333333</t>
  </si>
  <si>
    <t>14.5375</t>
  </si>
  <si>
    <t>14.0425</t>
  </si>
  <si>
    <t>14.4191666666667</t>
  </si>
  <si>
    <t>13.5191666666667</t>
  </si>
  <si>
    <t>11.9858333333333</t>
  </si>
  <si>
    <t>11.73</t>
  </si>
  <si>
    <t>10.1558333333333</t>
  </si>
  <si>
    <t>8.755</t>
  </si>
  <si>
    <t>8.21</t>
  </si>
  <si>
    <t>8.53083333333334</t>
  </si>
  <si>
    <t>12.233054804153</t>
  </si>
  <si>
    <t>10.7577494267999</t>
  </si>
  <si>
    <t>8.66597421472524</t>
  </si>
  <si>
    <t>PAN</t>
  </si>
  <si>
    <t>10.9903389830508</t>
  </si>
  <si>
    <t>10.9912005649717</t>
  </si>
  <si>
    <t>11.1850564971751</t>
  </si>
  <si>
    <t>10.3906779661017</t>
  </si>
  <si>
    <t>10.9716666666667</t>
  </si>
  <si>
    <t>10.5825</t>
  </si>
  <si>
    <t>9.92583333333333</t>
  </si>
  <si>
    <t>8.82333333333333</t>
  </si>
  <si>
    <t>8.6825</t>
  </si>
  <si>
    <t>8.79333333333333</t>
  </si>
  <si>
    <t>7.90583333333333</t>
  </si>
  <si>
    <t>7.62666666666667</t>
  </si>
  <si>
    <t>7.31083333333333</t>
  </si>
  <si>
    <t>7.51833333333333</t>
  </si>
  <si>
    <t>7.72416666666667</t>
  </si>
  <si>
    <t>7.40333333333333</t>
  </si>
  <si>
    <t>6.935</t>
  </si>
  <si>
    <t>6.495</t>
  </si>
  <si>
    <t>6.59879787257444</t>
  </si>
  <si>
    <t>6.76606056632958</t>
  </si>
  <si>
    <t>6.88279966340463</t>
  </si>
  <si>
    <t>7.09</t>
  </si>
  <si>
    <t>7.00833333333333</t>
  </si>
  <si>
    <t>6.93666666666667</t>
  </si>
  <si>
    <t>6.9075</t>
  </si>
  <si>
    <t>PER</t>
  </si>
  <si>
    <t>61.3738782740268</t>
  </si>
  <si>
    <t>36.1531491248368</t>
  </si>
  <si>
    <t>31.8876030393784</t>
  </si>
  <si>
    <t>155.497750277184</t>
  </si>
  <si>
    <t>1352.50840169336</t>
  </si>
  <si>
    <t>4260.01415900994</t>
  </si>
  <si>
    <t>670.534208256702</t>
  </si>
  <si>
    <t>148.142730887809</t>
  </si>
  <si>
    <t>94.2383333333333</t>
  </si>
  <si>
    <t>55.3475</t>
  </si>
  <si>
    <t>36.155</t>
  </si>
  <si>
    <t>31.5333333333333</t>
  </si>
  <si>
    <t>30.9116666666667</t>
  </si>
  <si>
    <t>32.6266666666667</t>
  </si>
  <si>
    <t>35.0566666666667</t>
  </si>
  <si>
    <t>29.9958333333333</t>
  </si>
  <si>
    <t>24.9783333333333</t>
  </si>
  <si>
    <t>20.7653572885806</t>
  </si>
  <si>
    <t>21.0156649712755</t>
  </si>
  <si>
    <t>24.6745640588226</t>
  </si>
  <si>
    <t>25.5338357716344</t>
  </si>
  <si>
    <t>23.9333333333333</t>
  </si>
  <si>
    <t>22.8556480555556</t>
  </si>
  <si>
    <t>23.6734449024808</t>
  </si>
  <si>
    <t>21.0419233333333</t>
  </si>
  <si>
    <t>18.9768683333333</t>
  </si>
  <si>
    <t>18.677925</t>
  </si>
  <si>
    <t>19.2369083333333</t>
  </si>
  <si>
    <t>18.13925</t>
  </si>
  <si>
    <t>15.7433166666667</t>
  </si>
  <si>
    <t>16.1058277777778</t>
  </si>
  <si>
    <t>16.4662</t>
  </si>
  <si>
    <t>16.7874916666667</t>
  </si>
  <si>
    <t>14.539125</t>
  </si>
  <si>
    <t>14.38545</t>
  </si>
  <si>
    <t>12.9383333333333</t>
  </si>
  <si>
    <t>10.9795083333333</t>
  </si>
  <si>
    <t>12.5972583333333</t>
  </si>
  <si>
    <t>PHL</t>
  </si>
  <si>
    <t>15.3350833333333</t>
  </si>
  <si>
    <t>18.12</t>
  </si>
  <si>
    <t>19.2379166664167</t>
  </si>
  <si>
    <t>28.1951666664167</t>
  </si>
  <si>
    <t>28.6116666666667</t>
  </si>
  <si>
    <t>17.53375</t>
  </si>
  <si>
    <t>13.3379166666667</t>
  </si>
  <si>
    <t>15.9213333333333</t>
  </si>
  <si>
    <t>19.2696666666667</t>
  </si>
  <si>
    <t>24.1180833333333</t>
  </si>
  <si>
    <t>23.0735833333333</t>
  </si>
  <si>
    <t>19.4790833333333</t>
  </si>
  <si>
    <t>14.68275</t>
  </si>
  <si>
    <t>15.0568333333333</t>
  </si>
  <si>
    <t>14.6821666666667</t>
  </si>
  <si>
    <t>14.83975</t>
  </si>
  <si>
    <t>16.27575</t>
  </si>
  <si>
    <t>16.7774166666667</t>
  </si>
  <si>
    <t>11.77625</t>
  </si>
  <si>
    <t>10.90725</t>
  </si>
  <si>
    <t>12.4015833333333</t>
  </si>
  <si>
    <t>9.1385</t>
  </si>
  <si>
    <t>9.47166666666667</t>
  </si>
  <si>
    <t>10.079</t>
  </si>
  <si>
    <t>10.1849166666667</t>
  </si>
  <si>
    <t>9.77866666666667</t>
  </si>
  <si>
    <t>8.69141666666667</t>
  </si>
  <si>
    <t>8.75108333333333</t>
  </si>
  <si>
    <t>8.56616666666667</t>
  </si>
  <si>
    <t>7.67266666666667</t>
  </si>
  <si>
    <t>6.66325</t>
  </si>
  <si>
    <t>5.6795</t>
  </si>
  <si>
    <t>5.76683333333333</t>
  </si>
  <si>
    <t>5.52591666666667</t>
  </si>
  <si>
    <t>5.57825</t>
  </si>
  <si>
    <t>5.642</t>
  </si>
  <si>
    <t>5.62725</t>
  </si>
  <si>
    <t>6.1185</t>
  </si>
  <si>
    <t>7.09583333333333</t>
  </si>
  <si>
    <t>Palau</t>
  </si>
  <si>
    <t>PLW</t>
  </si>
  <si>
    <t>PNG</t>
  </si>
  <si>
    <t>10.6391666666667</t>
  </si>
  <si>
    <t>12.3333333333333</t>
  </si>
  <si>
    <t>11.9416666666667</t>
  </si>
  <si>
    <t>12.6808333333333</t>
  </si>
  <si>
    <t>14.6233333333333</t>
  </si>
  <si>
    <t>15.5191666666667</t>
  </si>
  <si>
    <t>14.1683333333333</t>
  </si>
  <si>
    <t>14.5341666666667</t>
  </si>
  <si>
    <t>11.2875</t>
  </si>
  <si>
    <t>9.16</t>
  </si>
  <si>
    <t>13.1408333333333</t>
  </si>
  <si>
    <t>13.3033333333333</t>
  </si>
  <si>
    <t>10.4491666666667</t>
  </si>
  <si>
    <t>17.7041666666667</t>
  </si>
  <si>
    <t>18.8958333333333</t>
  </si>
  <si>
    <t>17.5425</t>
  </si>
  <si>
    <t>16.2075</t>
  </si>
  <si>
    <t>13.8891666666667</t>
  </si>
  <si>
    <t>13.3558333333333</t>
  </si>
  <si>
    <t>13.2508333333333</t>
  </si>
  <si>
    <t>11.4691666666667</t>
  </si>
  <si>
    <t>9.7775</t>
  </si>
  <si>
    <t>9.19666666666667</t>
  </si>
  <si>
    <t>10.0941666666667</t>
  </si>
  <si>
    <t>10.4458333333333</t>
  </si>
  <si>
    <t>10.815</t>
  </si>
  <si>
    <t>9.37583333333333</t>
  </si>
  <si>
    <t>8.7325</t>
  </si>
  <si>
    <t>8.37466666666667</t>
  </si>
  <si>
    <t>8.38833333333333</t>
  </si>
  <si>
    <t>9.075</t>
  </si>
  <si>
    <t>8.65083333333333</t>
  </si>
  <si>
    <t>7.70083333333333</t>
  </si>
  <si>
    <t>7.6425</t>
  </si>
  <si>
    <t>7.99083333333333</t>
  </si>
  <si>
    <t>8.34222222222222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</si>
  <si>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</si>
  <si>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</si>
  <si>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</si>
  <si>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</si>
  <si>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</si>
  <si>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</si>
  <si>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</si>
  <si>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PRT</t>
  </si>
  <si>
    <t>PRY</t>
  </si>
  <si>
    <t>40.9889297513909</t>
  </si>
  <si>
    <t>39.2284503550999</t>
  </si>
  <si>
    <t>36.8467952418462</t>
  </si>
  <si>
    <t>32.1123769091511</t>
  </si>
  <si>
    <t>35.2336645039975</t>
  </si>
  <si>
    <t>34.9110383564278</t>
  </si>
  <si>
    <t>30.9509227779</t>
  </si>
  <si>
    <t>32.6516922603125</t>
  </si>
  <si>
    <t>44.673181710321</t>
  </si>
  <si>
    <t>57.7716539539778</t>
  </si>
  <si>
    <t>38.7663435403788</t>
  </si>
  <si>
    <t>34.5661785164844</t>
  </si>
  <si>
    <t>34.8353701433139</t>
  </si>
  <si>
    <t>28.9207415504089</t>
  </si>
  <si>
    <t>29.8251032768361</t>
  </si>
  <si>
    <t>32.6561648356508</t>
  </si>
  <si>
    <t>30.0888812718225</t>
  </si>
  <si>
    <t>17.3980540247749</t>
  </si>
  <si>
    <t>17.1584673198116</t>
  </si>
  <si>
    <t>19.2705731491781</t>
  </si>
  <si>
    <t>21.1860677808059</t>
  </si>
  <si>
    <t>19.7358561814464</t>
  </si>
  <si>
    <t>18.0748565194157</t>
  </si>
  <si>
    <t>16.981885972602</t>
  </si>
  <si>
    <t>15.7177063917515</t>
  </si>
  <si>
    <t>15.4842638363204</t>
  </si>
  <si>
    <t>13.5373144065709</t>
  </si>
  <si>
    <t>12.5097388657844</t>
  </si>
  <si>
    <t>West Bank and Gaza</t>
  </si>
  <si>
    <t>PSE</t>
  </si>
  <si>
    <t>7.2825</t>
  </si>
  <si>
    <t>7.335</t>
  </si>
  <si>
    <t>7.7275</t>
  </si>
  <si>
    <t>7.9775</t>
  </si>
  <si>
    <t>7.1875</t>
  </si>
  <si>
    <t>6.18769425921147</t>
  </si>
  <si>
    <t>6.33375</t>
  </si>
  <si>
    <t>6.78660760685902</t>
  </si>
  <si>
    <t>6.96807981690715</t>
  </si>
  <si>
    <t>7.51586793615925</t>
  </si>
  <si>
    <t>6.4085572520006</t>
  </si>
  <si>
    <t>6.78210778307195</t>
  </si>
  <si>
    <t>6.14971653355566</t>
  </si>
  <si>
    <t>5.79209839789852</t>
  </si>
  <si>
    <t>5.87296103777134</t>
  </si>
  <si>
    <t>5.93196071275098</t>
  </si>
  <si>
    <t>5.51730657376974</t>
  </si>
  <si>
    <t>5.55524249655977</t>
  </si>
  <si>
    <t>Pacific island small states</t>
  </si>
  <si>
    <t>PSS</t>
  </si>
  <si>
    <t>Post-demographic dividend</t>
  </si>
  <si>
    <t>PST</t>
  </si>
  <si>
    <t>French Polynesia</t>
  </si>
  <si>
    <t>PYF</t>
  </si>
  <si>
    <t>QAT</t>
  </si>
  <si>
    <t>7.2</t>
  </si>
  <si>
    <t>8.8625</t>
  </si>
  <si>
    <t>10.1944444444444</t>
  </si>
  <si>
    <t>6.185</t>
  </si>
  <si>
    <t>6.65166666666667</t>
  </si>
  <si>
    <t>7.18</t>
  </si>
  <si>
    <t>7.42833333333333</t>
  </si>
  <si>
    <t>6.84416666666667</t>
  </si>
  <si>
    <t>7.04416666666667</t>
  </si>
  <si>
    <t>7.27144798099308</t>
  </si>
  <si>
    <t>5.48705867283659</t>
  </si>
  <si>
    <t>5.38110455030475</t>
  </si>
  <si>
    <t>5.112674134</t>
  </si>
  <si>
    <t>4.96392361111111</t>
  </si>
  <si>
    <t>4.43596212623861</t>
  </si>
  <si>
    <t>4.04068494236452</t>
  </si>
  <si>
    <t>4.69653289329285</t>
  </si>
  <si>
    <t>4.98064264061083</t>
  </si>
  <si>
    <t>5.03907055609657</t>
  </si>
  <si>
    <t>4.08648019909165</t>
  </si>
  <si>
    <t>3.85107422420221</t>
  </si>
  <si>
    <t>4.56216060132599</t>
  </si>
  <si>
    <t>6.44900833333333</t>
  </si>
  <si>
    <t>6.18</t>
  </si>
  <si>
    <t>ROU</t>
  </si>
  <si>
    <t>86.4</t>
  </si>
  <si>
    <t>90.3916666666667</t>
  </si>
  <si>
    <t>50.7166666666667</t>
  </si>
  <si>
    <t>55.1333333333333</t>
  </si>
  <si>
    <t>72.525</t>
  </si>
  <si>
    <t>55.3166666666667</t>
  </si>
  <si>
    <t>65.6416666666667</t>
  </si>
  <si>
    <t>53.85</t>
  </si>
  <si>
    <t>45.4</t>
  </si>
  <si>
    <t>35.425</t>
  </si>
  <si>
    <t>25.435</t>
  </si>
  <si>
    <t>25.6125</t>
  </si>
  <si>
    <t>19.6008333333333</t>
  </si>
  <si>
    <t>13.9816666666667</t>
  </si>
  <si>
    <t>13.3483333333333</t>
  </si>
  <si>
    <t>14.9883333333333</t>
  </si>
  <si>
    <t>17.275</t>
  </si>
  <si>
    <t>14.0725</t>
  </si>
  <si>
    <t>12.1275</t>
  </si>
  <si>
    <t>11.3291666666667</t>
  </si>
  <si>
    <t>10.5225</t>
  </si>
  <si>
    <t>8.46583333333333</t>
  </si>
  <si>
    <t>6.7675</t>
  </si>
  <si>
    <t>5.70916666666667</t>
  </si>
  <si>
    <t>5.56451674276812</t>
  </si>
  <si>
    <t>6.80820228932061</t>
  </si>
  <si>
    <t>7.16166666666667</t>
  </si>
  <si>
    <t>6.4864012282897</t>
  </si>
  <si>
    <t>5.61349905718721</t>
  </si>
  <si>
    <t>7.75709430926468</t>
  </si>
  <si>
    <t>9.32096121452692</t>
  </si>
  <si>
    <t>8.76207529347297</t>
  </si>
  <si>
    <t>RUS</t>
  </si>
  <si>
    <t>32.0416666666667</t>
  </si>
  <si>
    <t>41.7916666666667</t>
  </si>
  <si>
    <t>39.7166666666667</t>
  </si>
  <si>
    <t>24.4333333333333</t>
  </si>
  <si>
    <t>17.9083333333333</t>
  </si>
  <si>
    <t>12.975</t>
  </si>
  <si>
    <t>10.6833333333333</t>
  </si>
  <si>
    <t>10.425</t>
  </si>
  <si>
    <t>12.225</t>
  </si>
  <si>
    <t>15.3083333333333</t>
  </si>
  <si>
    <t>10.8166666666667</t>
  </si>
  <si>
    <t>8.45833333333333</t>
  </si>
  <si>
    <t>9.1</t>
  </si>
  <si>
    <t>11.1416666666667</t>
  </si>
  <si>
    <t>15.7166666666667</t>
  </si>
  <si>
    <t>12.5983333333333</t>
  </si>
  <si>
    <t>8.75333333333333</t>
  </si>
  <si>
    <t>6.77583333333333</t>
  </si>
  <si>
    <t>7.18108333333333</t>
  </si>
  <si>
    <t>11.4591666666667</t>
  </si>
  <si>
    <t>11.6225</t>
  </si>
  <si>
    <t>RWA</t>
  </si>
  <si>
    <t>18.2558333333333</t>
  </si>
  <si>
    <t>16.715</t>
  </si>
  <si>
    <t>16.3225</t>
  </si>
  <si>
    <t>16.4841666666667</t>
  </si>
  <si>
    <t>15.9925</t>
  </si>
  <si>
    <t>15.9875</t>
  </si>
  <si>
    <t>15.7791666666667</t>
  </si>
  <si>
    <t>15.8658333333333</t>
  </si>
  <si>
    <t>15.9991666666667</t>
  </si>
  <si>
    <t>16.2516666666667</t>
  </si>
  <si>
    <t>16.7233333333333</t>
  </si>
  <si>
    <t>17.0008333333333</t>
  </si>
  <si>
    <t>16.6675</t>
  </si>
  <si>
    <t>16.7016666666667</t>
  </si>
  <si>
    <t>17.3191666666667</t>
  </si>
  <si>
    <t>17.2591666666667</t>
  </si>
  <si>
    <t>17.3333333333333</t>
  </si>
  <si>
    <t>17.2916666666667</t>
  </si>
  <si>
    <t>17.1708333333333</t>
  </si>
  <si>
    <t>16.9466666666667</t>
  </si>
  <si>
    <t>16.5275</t>
  </si>
  <si>
    <t>16.345</t>
  </si>
  <si>
    <t>16.1758333333333</t>
  </si>
  <si>
    <t>16.385</t>
  </si>
  <si>
    <t>16.0575</t>
  </si>
  <si>
    <t>16.0166666666667</t>
  </si>
  <si>
    <t>SAS</t>
  </si>
  <si>
    <t>SAU</t>
  </si>
  <si>
    <t>Sudan</t>
  </si>
  <si>
    <t>SDN</t>
  </si>
  <si>
    <t>SEN</t>
  </si>
  <si>
    <t>SGP</t>
  </si>
  <si>
    <t>7.17</t>
  </si>
  <si>
    <t>8.503333333</t>
  </si>
  <si>
    <t>11.721666666</t>
  </si>
  <si>
    <t>13.645</t>
  </si>
  <si>
    <t>10.228333333</t>
  </si>
  <si>
    <t>9.05083333333333</t>
  </si>
  <si>
    <t>9.71916666666667</t>
  </si>
  <si>
    <t>8.06416666666667</t>
  </si>
  <si>
    <t>6.82</t>
  </si>
  <si>
    <t>5.96416666666667</t>
  </si>
  <si>
    <t>6.21166666666667</t>
  </si>
  <si>
    <t>7.3625</t>
  </si>
  <si>
    <t>7.58333333333333</t>
  </si>
  <si>
    <t>5.38833333333333</t>
  </si>
  <si>
    <t>5.87833333333333</t>
  </si>
  <si>
    <t>6.36916666666666</t>
  </si>
  <si>
    <t>6.3225</t>
  </si>
  <si>
    <t>7.44166666666666</t>
  </si>
  <si>
    <t>5.83333333333333</t>
  </si>
  <si>
    <t>5.64833333333333</t>
  </si>
  <si>
    <t>5.34583333333333</t>
  </si>
  <si>
    <t>5.30666666666667</t>
  </si>
  <si>
    <t>5.3</t>
  </si>
  <si>
    <t>5.33</t>
  </si>
  <si>
    <t>5.38</t>
  </si>
  <si>
    <t>5.35</t>
  </si>
  <si>
    <t>5.28</t>
  </si>
  <si>
    <t>SLB</t>
  </si>
  <si>
    <t>15.125</t>
  </si>
  <si>
    <t>19.4583333333333</t>
  </si>
  <si>
    <t>16.5625</t>
  </si>
  <si>
    <t>15.7916666666667</t>
  </si>
  <si>
    <t>15.4375</t>
  </si>
  <si>
    <t>14.6666666666667</t>
  </si>
  <si>
    <t>14.4333333333333</t>
  </si>
  <si>
    <t>13.1733333333333</t>
  </si>
  <si>
    <t>11.2783333333333</t>
  </si>
  <si>
    <t>10.7741666666667</t>
  </si>
  <si>
    <t>10.91</t>
  </si>
  <si>
    <t>10.4783333333333</t>
  </si>
  <si>
    <t>10.0998401187231</t>
  </si>
  <si>
    <t>10.6947306507587</t>
  </si>
  <si>
    <t>10.7486518056707</t>
  </si>
  <si>
    <t>10.5951570347602</t>
  </si>
  <si>
    <t>10.6825707369086</t>
  </si>
  <si>
    <t>5.17570858864648</t>
  </si>
  <si>
    <t>SLE</t>
  </si>
  <si>
    <t>17.1875</t>
  </si>
  <si>
    <t>28.5416666666667</t>
  </si>
  <si>
    <t>29.6666666666667</t>
  </si>
  <si>
    <t>56.25</t>
  </si>
  <si>
    <t>62.8333333333333</t>
  </si>
  <si>
    <t>50.4583333333333</t>
  </si>
  <si>
    <t>27.3333333333333</t>
  </si>
  <si>
    <t>28.8333333333333</t>
  </si>
  <si>
    <t>32.1225</t>
  </si>
  <si>
    <t>23.8675</t>
  </si>
  <si>
    <t>23.8333333333333</t>
  </si>
  <si>
    <t>26.25</t>
  </si>
  <si>
    <t>24.265</t>
  </si>
  <si>
    <t>22.1666666666667</t>
  </si>
  <si>
    <t>22.0833333333333</t>
  </si>
  <si>
    <t>24.5833333333333</t>
  </si>
  <si>
    <t>21.25</t>
  </si>
  <si>
    <t>20.56</t>
  </si>
  <si>
    <t>19.4116666666667</t>
  </si>
  <si>
    <t>18.73</t>
  </si>
  <si>
    <t>16.2166666666667</t>
  </si>
  <si>
    <t>15.6583333333333</t>
  </si>
  <si>
    <t>15.9616666666667</t>
  </si>
  <si>
    <t>17.9666666666667</t>
  </si>
  <si>
    <t>17.9383333333333</t>
  </si>
  <si>
    <t>18.8591666666667</t>
  </si>
  <si>
    <t>19.3133333333333</t>
  </si>
  <si>
    <t>19.6391666666667</t>
  </si>
  <si>
    <t>SLV</t>
  </si>
  <si>
    <t>SMR</t>
  </si>
  <si>
    <t>8.1</t>
  </si>
  <si>
    <t>7.4875</t>
  </si>
  <si>
    <t>7.1375</t>
  </si>
  <si>
    <t>7.175</t>
  </si>
  <si>
    <t>6.70933333333333</t>
  </si>
  <si>
    <t>7.5825</t>
  </si>
  <si>
    <t>7.8925</t>
  </si>
  <si>
    <t>5.7425</t>
  </si>
  <si>
    <t>5.3825</t>
  </si>
  <si>
    <t>5.92</t>
  </si>
  <si>
    <t>6.4775</t>
  </si>
  <si>
    <t>6.62269160453955</t>
  </si>
  <si>
    <t>6.10986523672487</t>
  </si>
  <si>
    <t>2.48961433088329</t>
  </si>
  <si>
    <t>3.02186666666667</t>
  </si>
  <si>
    <t>4.06655</t>
  </si>
  <si>
    <t>4.163075</t>
  </si>
  <si>
    <t>3.98499166666667</t>
  </si>
  <si>
    <t>3.73390833333333</t>
  </si>
  <si>
    <t>3.5323</t>
  </si>
  <si>
    <t>3.80209166666667</t>
  </si>
  <si>
    <t>5.634625</t>
  </si>
  <si>
    <t>SOM</t>
  </si>
  <si>
    <t>33.6666666666667</t>
  </si>
  <si>
    <t>Serbia</t>
  </si>
  <si>
    <t>SRB</t>
  </si>
  <si>
    <t>19.05</t>
  </si>
  <si>
    <t>16.1547639665645</t>
  </si>
  <si>
    <t>3.34695875729709</t>
  </si>
  <si>
    <t>78.7</t>
  </si>
  <si>
    <t>38.85</t>
  </si>
  <si>
    <t>3.27925887579115</t>
  </si>
  <si>
    <t>2.58766658547053</t>
  </si>
  <si>
    <t>3.4539486544924</t>
  </si>
  <si>
    <t>3.50044313584287</t>
  </si>
  <si>
    <t>5.11561220809172</t>
  </si>
  <si>
    <t>4.39333333333333</t>
  </si>
  <si>
    <t>6.03196632437249</t>
  </si>
  <si>
    <t>6.87059315987914</t>
  </si>
  <si>
    <t>4.75888888888889</t>
  </si>
  <si>
    <t>Sub-Saharan Africa (excluding high income)</t>
  </si>
  <si>
    <t>SSA</t>
  </si>
  <si>
    <t>South Sudan</t>
  </si>
  <si>
    <t>SSD</t>
  </si>
  <si>
    <t>12.0253120760801</t>
  </si>
  <si>
    <t>13.5641229127859</t>
  </si>
  <si>
    <t>18.6594879669541</t>
  </si>
  <si>
    <t>13.7803938893243</t>
  </si>
  <si>
    <t>10.3660058174987</t>
  </si>
  <si>
    <t>10.1313764663331</t>
  </si>
  <si>
    <t>16.1826855901098</t>
  </si>
  <si>
    <t>15.6547053123274</t>
  </si>
  <si>
    <t>16.0896174795028</t>
  </si>
  <si>
    <t>16.0884827108197</t>
  </si>
  <si>
    <t>16.2934964614722</t>
  </si>
  <si>
    <t>16.3616880968054</t>
  </si>
  <si>
    <t>14.683516249225</t>
  </si>
  <si>
    <t>SSF</t>
  </si>
  <si>
    <t>Small states</t>
  </si>
  <si>
    <t>SST</t>
  </si>
  <si>
    <t>STP</t>
  </si>
  <si>
    <t>37</t>
  </si>
  <si>
    <t>37.4166666666667</t>
  </si>
  <si>
    <t>29.59</t>
  </si>
  <si>
    <t>29.77</t>
  </si>
  <si>
    <t>31.1977777766667</t>
  </si>
  <si>
    <t>29.3</t>
  </si>
  <si>
    <t>32.4</t>
  </si>
  <si>
    <t>31.1083333333333</t>
  </si>
  <si>
    <t>28.8749722225</t>
  </si>
  <si>
    <t>26.9500000025</t>
  </si>
  <si>
    <t>26.1680555575</t>
  </si>
  <si>
    <t>25.9261111141667</t>
  </si>
  <si>
    <t>23.175</t>
  </si>
  <si>
    <t>23.3058333333333</t>
  </si>
  <si>
    <t>19.585</t>
  </si>
  <si>
    <t>19.6133333325</t>
  </si>
  <si>
    <t>19.8736240791667</t>
  </si>
  <si>
    <t>19.0620185185185</t>
  </si>
  <si>
    <t>18.8275679012346</t>
  </si>
  <si>
    <t>18.4864861111111</t>
  </si>
  <si>
    <t>17.9042287248361</t>
  </si>
  <si>
    <t>17.8140694444444</t>
  </si>
  <si>
    <t>SUR</t>
  </si>
  <si>
    <t>8.9</t>
  </si>
  <si>
    <t>8.925</t>
  </si>
  <si>
    <t>40.325</t>
  </si>
  <si>
    <t>35.925</t>
  </si>
  <si>
    <t>33.15</t>
  </si>
  <si>
    <t>27.075</t>
  </si>
  <si>
    <t>27.375</t>
  </si>
  <si>
    <t>25.725</t>
  </si>
  <si>
    <t>22.1833333333333</t>
  </si>
  <si>
    <t>17.4</t>
  </si>
  <si>
    <t>15.6416666666667</t>
  </si>
  <si>
    <t>12.2</t>
  </si>
  <si>
    <t>11.65</t>
  </si>
  <si>
    <t>11.5905430605278</t>
  </si>
  <si>
    <t>11.7611090271062</t>
  </si>
  <si>
    <t>11.7416666666667</t>
  </si>
  <si>
    <t>11.9833333333333</t>
  </si>
  <si>
    <t>12.2833333333333</t>
  </si>
  <si>
    <t>12.6166666666667</t>
  </si>
  <si>
    <t>13.4833333333333</t>
  </si>
  <si>
    <t>14.425</t>
  </si>
  <si>
    <t>14.2991149744656</t>
  </si>
  <si>
    <t>14.9642193921404</t>
  </si>
  <si>
    <t>14.7961590368644</t>
  </si>
  <si>
    <t>14.8885076393893</t>
  </si>
  <si>
    <t>14.7484928489449</t>
  </si>
  <si>
    <t>14.1728026115993</t>
  </si>
  <si>
    <t>14.7954845130132</t>
  </si>
  <si>
    <t>SVK</t>
  </si>
  <si>
    <t>SVN</t>
  </si>
  <si>
    <t>SWE</t>
  </si>
  <si>
    <t>15.2</t>
  </si>
  <si>
    <t>12.1</t>
  </si>
  <si>
    <t>11.14</t>
  </si>
  <si>
    <t>8.7275</t>
  </si>
  <si>
    <t>7.06</t>
  </si>
  <si>
    <t>6.455</t>
  </si>
  <si>
    <t>5.7725</t>
  </si>
  <si>
    <t>5.73</t>
  </si>
  <si>
    <t>5.7925</t>
  </si>
  <si>
    <t>5.0175</t>
  </si>
  <si>
    <t>4.1825</t>
  </si>
  <si>
    <t>3.532</t>
  </si>
  <si>
    <t>3.67803333333333</t>
  </si>
  <si>
    <t>SWZ</t>
  </si>
  <si>
    <t>11.25</t>
  </si>
  <si>
    <t>17.375</t>
  </si>
  <si>
    <t>20.625</t>
  </si>
  <si>
    <t>14.2825</t>
  </si>
  <si>
    <t>11.8683333333333</t>
  </si>
  <si>
    <t>13.1483333333333</t>
  </si>
  <si>
    <t>14.4966666666667</t>
  </si>
  <si>
    <t>15.9208333333333</t>
  </si>
  <si>
    <t>17.0541666666667</t>
  </si>
  <si>
    <t>18.6666666666667</t>
  </si>
  <si>
    <t>17.4166666666667</t>
  </si>
  <si>
    <t>15.25</t>
  </si>
  <si>
    <t>14.625</t>
  </si>
  <si>
    <t>11.2916666666667</t>
  </si>
  <si>
    <t>10.625</t>
  </si>
  <si>
    <t>13.1666666666667</t>
  </si>
  <si>
    <t>11.375</t>
  </si>
  <si>
    <t>8.625</t>
  </si>
  <si>
    <t>9.04166666666667</t>
  </si>
  <si>
    <t>10.3125</t>
  </si>
  <si>
    <t>10.125</t>
  </si>
  <si>
    <t>10.875</t>
  </si>
  <si>
    <t>Sint Maarten (Dutch part)</t>
  </si>
  <si>
    <t>SXM</t>
  </si>
  <si>
    <t>SYC</t>
  </si>
  <si>
    <t>15.5066666666667</t>
  </si>
  <si>
    <t>15.6475</t>
  </si>
  <si>
    <t>15.5758333333333</t>
  </si>
  <si>
    <t>15.5633333333333</t>
  </si>
  <si>
    <t>15.7133333333333</t>
  </si>
  <si>
    <t>15.7608333333333</t>
  </si>
  <si>
    <t>16.2158333333333</t>
  </si>
  <si>
    <t>14.8808333333333</t>
  </si>
  <si>
    <t>14.3025583333333</t>
  </si>
  <si>
    <t>11.1707025</t>
  </si>
  <si>
    <t>10.737</t>
  </si>
  <si>
    <t>10.6253416666667</t>
  </si>
  <si>
    <t>10.5875333333333</t>
  </si>
  <si>
    <t>10.615875</t>
  </si>
  <si>
    <t>9.99165</t>
  </si>
  <si>
    <t>9.76903333333333</t>
  </si>
  <si>
    <t>10.0499666666667</t>
  </si>
  <si>
    <t>10.8936721967483</t>
  </si>
  <si>
    <t>11.8077707180483</t>
  </si>
  <si>
    <t>15.3472516088461</t>
  </si>
  <si>
    <t>12.7026498136256</t>
  </si>
  <si>
    <t>11.1899344887627</t>
  </si>
  <si>
    <t>12.1911857642228</t>
  </si>
  <si>
    <t>12.2868344650413</t>
  </si>
  <si>
    <t>11.648168423911</t>
  </si>
  <si>
    <t>12.3582003020898</t>
  </si>
  <si>
    <t>12.3575638172901</t>
  </si>
  <si>
    <t>12.2412522799554</t>
  </si>
  <si>
    <t>12.3088115646778</t>
  </si>
  <si>
    <t>12.6043960402411</t>
  </si>
  <si>
    <t>11.607397279879</t>
  </si>
  <si>
    <t>9.15718223504157</t>
  </si>
  <si>
    <t>9.10152007717062</t>
  </si>
  <si>
    <t>9.52952358287585</t>
  </si>
  <si>
    <t>9.8081219193336</t>
  </si>
  <si>
    <t>SYR</t>
  </si>
  <si>
    <t>Turks and Caicos Islands</t>
  </si>
  <si>
    <t>TCA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</si>
  <si>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</si>
  <si>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</si>
  <si>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</si>
  <si>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</si>
  <si>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</si>
  <si>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</si>
  <si>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</si>
  <si>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8.75583333333333</t>
  </si>
  <si>
    <t>THA</t>
  </si>
  <si>
    <t>10.8958333333333</t>
  </si>
  <si>
    <t>10.9791666666667</t>
  </si>
  <si>
    <t>12.9583333333333</t>
  </si>
  <si>
    <t>17.2083333333333</t>
  </si>
  <si>
    <t>16.9583333333333</t>
  </si>
  <si>
    <t>15.2083333333333</t>
  </si>
  <si>
    <t>16.0833333333333</t>
  </si>
  <si>
    <t>12.25</t>
  </si>
  <si>
    <t>15.3958333333333</t>
  </si>
  <si>
    <t>12.1666666666667</t>
  </si>
  <si>
    <t>13.3958333333333</t>
  </si>
  <si>
    <t>13.6458333333333</t>
  </si>
  <si>
    <t>8.97916666666667</t>
  </si>
  <si>
    <t>4.55308715722008</t>
  </si>
  <si>
    <t>4.71935005845093</t>
  </si>
  <si>
    <t>6.27380728455047</t>
  </si>
  <si>
    <t>6.04656836196978</t>
  </si>
  <si>
    <t>5.82188819286143</t>
  </si>
  <si>
    <t>4.77599754065056</t>
  </si>
  <si>
    <t>4.33403991889774</t>
  </si>
  <si>
    <t>5.06756761337228</t>
  </si>
  <si>
    <t>5.18731410654716</t>
  </si>
  <si>
    <t>5.06043360051236</t>
  </si>
  <si>
    <t>4.94915214812624</t>
  </si>
  <si>
    <t>4.73187498877014</t>
  </si>
  <si>
    <t>4.46834552349908</t>
  </si>
  <si>
    <t>4.41658283333333</t>
  </si>
  <si>
    <t>4.14666666666667</t>
  </si>
  <si>
    <t>4.08416666666667</t>
  </si>
  <si>
    <t>3.2925</t>
  </si>
  <si>
    <t>3.06</t>
  </si>
  <si>
    <t>3.13833333333333</t>
  </si>
  <si>
    <t>4.28583333333333</t>
  </si>
  <si>
    <t>4.16916666666667</t>
  </si>
  <si>
    <t>TJK</t>
  </si>
  <si>
    <t>14.2108333333333</t>
  </si>
  <si>
    <t>16.7283333333333</t>
  </si>
  <si>
    <t>20.3146154041655</t>
  </si>
  <si>
    <t>23.2848680154185</t>
  </si>
  <si>
    <t>24.155</t>
  </si>
  <si>
    <t>22.96</t>
  </si>
  <si>
    <t>23.5944101034641</t>
  </si>
  <si>
    <t>22.6158333333333</t>
  </si>
  <si>
    <t>23.3996236146712</t>
  </si>
  <si>
    <t>22.4616666666667</t>
  </si>
  <si>
    <t>21.0933333333333</t>
  </si>
  <si>
    <t>24.3341666666667</t>
  </si>
  <si>
    <t>24.5312363359939</t>
  </si>
  <si>
    <t>25.8362601612347</t>
  </si>
  <si>
    <t>24.9431399980747</t>
  </si>
  <si>
    <t>29.6467008842335</t>
  </si>
  <si>
    <t>27.1887964575151</t>
  </si>
  <si>
    <t>23.5497072150821</t>
  </si>
  <si>
    <t>TKM</t>
  </si>
  <si>
    <t>Latin America &amp; the Caribbean (IDA &amp; IBRD countries)</t>
  </si>
  <si>
    <t>TLA</t>
  </si>
  <si>
    <t>Timor-Leste</t>
  </si>
  <si>
    <t>TLS</t>
  </si>
  <si>
    <t>11.0441666666667</t>
  </si>
  <si>
    <t>12.2108333333333</t>
  </si>
  <si>
    <t>12.4141666666667</t>
  </si>
  <si>
    <t>12.8666666666667</t>
  </si>
  <si>
    <t>13.4966666666667</t>
  </si>
  <si>
    <t>14.0483333333333</t>
  </si>
  <si>
    <t>13.2866666666667</t>
  </si>
  <si>
    <t>13.456301443692</t>
  </si>
  <si>
    <t>15.3621803257428</t>
  </si>
  <si>
    <t>14.1277354995604</t>
  </si>
  <si>
    <t>11.1598355669949</t>
  </si>
  <si>
    <t>11.0044920794713</t>
  </si>
  <si>
    <t>10.7247153336773</t>
  </si>
  <si>
    <t>Middle East &amp; North Africa (IDA &amp; IBRD countries)</t>
  </si>
  <si>
    <t>TMN</t>
  </si>
  <si>
    <t>TON</t>
  </si>
  <si>
    <t>9.92742756260372</t>
  </si>
  <si>
    <t>9.35397224610027</t>
  </si>
  <si>
    <t>8.64435559021165</t>
  </si>
  <si>
    <t>8.23684100594144</t>
  </si>
  <si>
    <t>7.92752471631559</t>
  </si>
  <si>
    <t>7.87198632346278</t>
  </si>
  <si>
    <t>8.03811869008349</t>
  </si>
  <si>
    <t>8.06577613962305</t>
  </si>
  <si>
    <t>7.82858252049211</t>
  </si>
  <si>
    <t>7.75674121847486</t>
  </si>
  <si>
    <t>7.85920663005895</t>
  </si>
  <si>
    <t>7.73563920961447</t>
  </si>
  <si>
    <t>7.772576898559</t>
  </si>
  <si>
    <t>South Asia (IDA &amp; IBRD)</t>
  </si>
  <si>
    <t>TSA</t>
  </si>
  <si>
    <t>Sub-Saharan Africa (IDA &amp; IBRD countries)</t>
  </si>
  <si>
    <t>TSS</t>
  </si>
  <si>
    <t>TTO</t>
  </si>
  <si>
    <t>11.38</t>
  </si>
  <si>
    <t>12.75</t>
  </si>
  <si>
    <t>12.6875</t>
  </si>
  <si>
    <t>12.5833333333333</t>
  </si>
  <si>
    <t>12.87</t>
  </si>
  <si>
    <t>13.17</t>
  </si>
  <si>
    <t>15.5</t>
  </si>
  <si>
    <t>15.1666666666667</t>
  </si>
  <si>
    <t>17.0416666666667</t>
  </si>
  <si>
    <t>15.6666666666667</t>
  </si>
  <si>
    <t>12.4791666666667</t>
  </si>
  <si>
    <t>9.3125</t>
  </si>
  <si>
    <t>9.10416666666667</t>
  </si>
  <si>
    <t>10.9175</t>
  </si>
  <si>
    <t>12.4375</t>
  </si>
  <si>
    <t>11.9375</t>
  </si>
  <si>
    <t>9.2825</t>
  </si>
  <si>
    <t>7.96916666666667</t>
  </si>
  <si>
    <t>8.1825</t>
  </si>
  <si>
    <t>9.09375</t>
  </si>
  <si>
    <t>6.555</t>
  </si>
  <si>
    <t>7.4375</t>
  </si>
  <si>
    <t>7.48958333333333</t>
  </si>
  <si>
    <t>7.52083333333333</t>
  </si>
  <si>
    <t>TUN</t>
  </si>
  <si>
    <t>Turkiye</t>
  </si>
  <si>
    <t>TUR</t>
  </si>
  <si>
    <t>TUV</t>
  </si>
  <si>
    <t>TZA</t>
  </si>
  <si>
    <t>27.3608695652174</t>
  </si>
  <si>
    <t>34.4217391304348</t>
  </si>
  <si>
    <t>37.8050724637681</t>
  </si>
  <si>
    <t>33.965</t>
  </si>
  <si>
    <t>26.27</t>
  </si>
  <si>
    <t>22.8925</t>
  </si>
  <si>
    <t>21.8941666666667</t>
  </si>
  <si>
    <t>21.5775</t>
  </si>
  <si>
    <t>20.0572614143728</t>
  </si>
  <si>
    <t>16.3982407569744</t>
  </si>
  <si>
    <t>14.5169608907399</t>
  </si>
  <si>
    <t>14.14031946585</t>
  </si>
  <si>
    <t>15.2489487237996</t>
  </si>
  <si>
    <t>15.652097785396</t>
  </si>
  <si>
    <t>16.0703661501379</t>
  </si>
  <si>
    <t>14.9821346779129</t>
  </si>
  <si>
    <t>15.0304818249447</t>
  </si>
  <si>
    <t>14.5441666666667</t>
  </si>
  <si>
    <t>14.9633333333333</t>
  </si>
  <si>
    <t>15.5566666666667</t>
  </si>
  <si>
    <t>15.8608333333333</t>
  </si>
  <si>
    <t>16.2908333333333</t>
  </si>
  <si>
    <t>16.105</t>
  </si>
  <si>
    <t>17.7741666666667</t>
  </si>
  <si>
    <t>17.4141666666667</t>
  </si>
  <si>
    <t>16.9708333333333</t>
  </si>
  <si>
    <t>16.6795341089585</t>
  </si>
  <si>
    <t>UGA</t>
  </si>
  <si>
    <t>12.5</t>
  </si>
  <si>
    <t>16.1666666666667</t>
  </si>
  <si>
    <t>21.9166666666667</t>
  </si>
  <si>
    <t>33.3333333333333</t>
  </si>
  <si>
    <t>34.6666666666667</t>
  </si>
  <si>
    <t>35</t>
  </si>
  <si>
    <t>40</t>
  </si>
  <si>
    <t>38.6666666666667</t>
  </si>
  <si>
    <t>34.4166666666667</t>
  </si>
  <si>
    <t>39.1111111111111</t>
  </si>
  <si>
    <t>20.7622222222222</t>
  </si>
  <si>
    <t>20.1625</t>
  </si>
  <si>
    <t>20.2941666666667</t>
  </si>
  <si>
    <t>21.3708333333333</t>
  </si>
  <si>
    <t>20.8616666666667</t>
  </si>
  <si>
    <t>21.5491666666667</t>
  </si>
  <si>
    <t>22.9197575</t>
  </si>
  <si>
    <t>22.655</t>
  </si>
  <si>
    <t>19.0971782285593</t>
  </si>
  <si>
    <t>18.9421408936285</t>
  </si>
  <si>
    <t>20.6031757398424</t>
  </si>
  <si>
    <t>19.645388401657</t>
  </si>
  <si>
    <t>18.6973347967076</t>
  </si>
  <si>
    <t>19.1057894680034</t>
  </si>
  <si>
    <t>20.450066096838</t>
  </si>
  <si>
    <t>20.9551657814281</t>
  </si>
  <si>
    <t>20.1746301259357</t>
  </si>
  <si>
    <t>21.8333142597665</t>
  </si>
  <si>
    <t>26.1501302489385</t>
  </si>
  <si>
    <t>23.2835727165863</t>
  </si>
  <si>
    <t>21.5842268570126</t>
  </si>
  <si>
    <t>22.60135726942</t>
  </si>
  <si>
    <t>23.8861326246628</t>
  </si>
  <si>
    <t>21.2786714889596</t>
  </si>
  <si>
    <t>19.8465587059191</t>
  </si>
  <si>
    <t>UKR</t>
  </si>
  <si>
    <t>75.7</t>
  </si>
  <si>
    <t>184.25</t>
  </si>
  <si>
    <t>250.283333333333</t>
  </si>
  <si>
    <t>122.7</t>
  </si>
  <si>
    <t>79.8833333333333</t>
  </si>
  <si>
    <t>49.1166666666667</t>
  </si>
  <si>
    <t>54.4966666666667</t>
  </si>
  <si>
    <t>54.9525</t>
  </si>
  <si>
    <t>41.528425</t>
  </si>
  <si>
    <t>32.277975</t>
  </si>
  <si>
    <t>25.3494583333333</t>
  </si>
  <si>
    <t>17.8948916666667</t>
  </si>
  <si>
    <t>17.401225</t>
  </si>
  <si>
    <t>16.1741666666667</t>
  </si>
  <si>
    <t>15.1691666666667</t>
  </si>
  <si>
    <t>13.8991666666667</t>
  </si>
  <si>
    <t>17.4925</t>
  </si>
  <si>
    <t>20.8633333333333</t>
  </si>
  <si>
    <t>15.8683916666667</t>
  </si>
  <si>
    <t>15.947225</t>
  </si>
  <si>
    <t>18.3922166666667</t>
  </si>
  <si>
    <t>16.6492</t>
  </si>
  <si>
    <t>17.7180416666667</t>
  </si>
  <si>
    <t>21.8229416666667</t>
  </si>
  <si>
    <t>19.2371666666667</t>
  </si>
  <si>
    <t>16.383525</t>
  </si>
  <si>
    <t>19.004875</t>
  </si>
  <si>
    <t>19.8217083333333</t>
  </si>
  <si>
    <t>14.2924</t>
  </si>
  <si>
    <t>13.2921083333333</t>
  </si>
  <si>
    <t>18.6094166666667</t>
  </si>
  <si>
    <t>22.1117666666667</t>
  </si>
  <si>
    <t>19.58905</t>
  </si>
  <si>
    <t>Upper middle income</t>
  </si>
  <si>
    <t>UMC</t>
  </si>
  <si>
    <t>URY</t>
  </si>
  <si>
    <t>59.7361170550934</t>
  </si>
  <si>
    <t>62.1591612839371</t>
  </si>
  <si>
    <t>71.915952712081</t>
  </si>
  <si>
    <t>63.540296494378</t>
  </si>
  <si>
    <t>64.5660518845885</t>
  </si>
  <si>
    <t>58.5407485688638</t>
  </si>
  <si>
    <t>56.7396190254233</t>
  </si>
  <si>
    <t>90.7591599983889</t>
  </si>
  <si>
    <t>80.671219192303</t>
  </si>
  <si>
    <t>91.6718399912533</t>
  </si>
  <si>
    <t>91.817222644984</t>
  </si>
  <si>
    <t>92.8510548492906</t>
  </si>
  <si>
    <t>98.3917493192465</t>
  </si>
  <si>
    <t>123.65602381199</t>
  </si>
  <si>
    <t>169.080026288713</t>
  </si>
  <si>
    <t>148.177231407888</t>
  </si>
  <si>
    <t>114.14153680673</t>
  </si>
  <si>
    <t>94.3371886429813</t>
  </si>
  <si>
    <t>92.156448837022</t>
  </si>
  <si>
    <t>96.0494732313642</t>
  </si>
  <si>
    <t>88.6995724038716</t>
  </si>
  <si>
    <t>69.3475258295066</t>
  </si>
  <si>
    <t>56.1419347823085</t>
  </si>
  <si>
    <t>51.6371724883242</t>
  </si>
  <si>
    <t>47.5403296902657</t>
  </si>
  <si>
    <t>50.1184487497554</t>
  </si>
  <si>
    <t>118.379940833333</t>
  </si>
  <si>
    <t>58.9409958333333</t>
  </si>
  <si>
    <t>23.6791141666667</t>
  </si>
  <si>
    <t>13.6095233333333</t>
  </si>
  <si>
    <t>9.25001575</t>
  </si>
  <si>
    <t>8.93970391666667</t>
  </si>
  <si>
    <t>12.4476125</t>
  </si>
  <si>
    <t>15.284842385802</t>
  </si>
  <si>
    <t>10.3262221820083</t>
  </si>
  <si>
    <t>9.78182074182773</t>
  </si>
  <si>
    <t>11.1991921565682</t>
  </si>
  <si>
    <t>12.4340649587398</t>
  </si>
  <si>
    <t>15.5341402019916</t>
  </si>
  <si>
    <t>15.8410813948786</t>
  </si>
  <si>
    <t>16.1703130380291</t>
  </si>
  <si>
    <t>13.8334581432191</t>
  </si>
  <si>
    <t>12.201184744586</t>
  </si>
  <si>
    <t>11.5571850608681</t>
  </si>
  <si>
    <t>11.2312594501517</t>
  </si>
  <si>
    <t>7.45064820808614</t>
  </si>
  <si>
    <t>10.8653622268844</t>
  </si>
  <si>
    <t>11.8954328669923</t>
  </si>
  <si>
    <t>9.90709477725299</t>
  </si>
  <si>
    <t>USA</t>
  </si>
  <si>
    <t>4.82083333333333</t>
  </si>
  <si>
    <t>4.5</t>
  </si>
  <si>
    <t>4.535</t>
  </si>
  <si>
    <t>5.625</t>
  </si>
  <si>
    <t>5.63333333333333</t>
  </si>
  <si>
    <t>6.3125</t>
  </si>
  <si>
    <t>7.95166666666667</t>
  </si>
  <si>
    <t>5.72333333333333</t>
  </si>
  <si>
    <t>5.24833333333333</t>
  </si>
  <si>
    <t>8.02166666666667</t>
  </si>
  <si>
    <t>10.7983333333333</t>
  </si>
  <si>
    <t>7.8625</t>
  </si>
  <si>
    <t>6.84</t>
  </si>
  <si>
    <t>6.82416666666667</t>
  </si>
  <si>
    <t>9.05666666666667</t>
  </si>
  <si>
    <t>12.6658333333333</t>
  </si>
  <si>
    <t>15.2658333333333</t>
  </si>
  <si>
    <t>18.87</t>
  </si>
  <si>
    <t>14.8608333333333</t>
  </si>
  <si>
    <t>8.3325</t>
  </si>
  <si>
    <t>8.20333333333333</t>
  </si>
  <si>
    <t>9.315</t>
  </si>
  <si>
    <t>10.8733333333333</t>
  </si>
  <si>
    <t>10.0091666666667</t>
  </si>
  <si>
    <t>8.46333333333333</t>
  </si>
  <si>
    <t>6.25166666666667</t>
  </si>
  <si>
    <t>7.13833333333333</t>
  </si>
  <si>
    <t>8.82916666666667</t>
  </si>
  <si>
    <t>8.27083333333333</t>
  </si>
  <si>
    <t>8.44166666666667</t>
  </si>
  <si>
    <t>8.35416666666667</t>
  </si>
  <si>
    <t>7.99416666666667</t>
  </si>
  <si>
    <t>9.23333333333333</t>
  </si>
  <si>
    <t>6.92166666666667</t>
  </si>
  <si>
    <t>4.675</t>
  </si>
  <si>
    <t>4.1225</t>
  </si>
  <si>
    <t>4.34</t>
  </si>
  <si>
    <t>6.18916666666667</t>
  </si>
  <si>
    <t>7.9575</t>
  </si>
  <si>
    <t>5.0875</t>
  </si>
  <si>
    <t>3.25</t>
  </si>
  <si>
    <t>3.26</t>
  </si>
  <si>
    <t>3.51166666666667</t>
  </si>
  <si>
    <t>4.09666666666667</t>
  </si>
  <si>
    <t>4.90416666666667</t>
  </si>
  <si>
    <t>5.2825</t>
  </si>
  <si>
    <t>3.54416666666667</t>
  </si>
  <si>
    <t>UZB</t>
  </si>
  <si>
    <t>16.2015669481166</t>
  </si>
  <si>
    <t>15.9901521817941</t>
  </si>
  <si>
    <t>13.773762892753</t>
  </si>
  <si>
    <t>13.5239667915277</t>
  </si>
  <si>
    <t>15.3767768819838</t>
  </si>
  <si>
    <t>19.9656221631193</t>
  </si>
  <si>
    <t>23.6060674782463</t>
  </si>
  <si>
    <t>22.3410510306587</t>
  </si>
  <si>
    <t>21.4230858508675</t>
  </si>
  <si>
    <t>21.7461154561416</t>
  </si>
  <si>
    <t>22.150086026479</t>
  </si>
  <si>
    <t>23.1339383845928</t>
  </si>
  <si>
    <t>VCT</t>
  </si>
  <si>
    <t>8.96865719474416</t>
  </si>
  <si>
    <t>9.49182886443757</t>
  </si>
  <si>
    <t>10.762388633693</t>
  </si>
  <si>
    <t>10.8371274436492</t>
  </si>
  <si>
    <t>11.2108214934302</t>
  </si>
  <si>
    <t>10.7997580386711</t>
  </si>
  <si>
    <t>11.5471461382331</t>
  </si>
  <si>
    <t>11.1853680321861</t>
  </si>
  <si>
    <t>11.2968130358593</t>
  </si>
  <si>
    <t>11.9218397449356</t>
  </si>
  <si>
    <t>11.7331882751291</t>
  </si>
  <si>
    <t>11.0656845250305</t>
  </si>
  <si>
    <t>11.2251135234881</t>
  </si>
  <si>
    <t>11.2905743211062</t>
  </si>
  <si>
    <t>11.3070990509593</t>
  </si>
  <si>
    <t>11.5463818610657</t>
  </si>
  <si>
    <t>11.4644838851929</t>
  </si>
  <si>
    <t>11.6261472887473</t>
  </si>
  <si>
    <t>11.5626385220607</t>
  </si>
  <si>
    <t>11.8323845219297</t>
  </si>
  <si>
    <t>9.69262522955306</t>
  </si>
  <si>
    <t>9.58412535234746</t>
  </si>
  <si>
    <t>9.73167779068317</t>
  </si>
  <si>
    <t>9.61258286342562</t>
  </si>
  <si>
    <t>9.52441609219704</t>
  </si>
  <si>
    <t>9.18656075402981</t>
  </si>
  <si>
    <t>9.17183767616861</t>
  </si>
  <si>
    <t>9.13637805336276</t>
  </si>
  <si>
    <t>9.41440897330206</t>
  </si>
  <si>
    <t>9.43978132892116</t>
  </si>
  <si>
    <t>9.14600845222647</t>
  </si>
  <si>
    <t>9.30275</t>
  </si>
  <si>
    <t>9.1175</t>
  </si>
  <si>
    <t>8.7525</t>
  </si>
  <si>
    <t>8.48572125</t>
  </si>
  <si>
    <t>8.35136941666667</t>
  </si>
  <si>
    <t>7.99094591666667</t>
  </si>
  <si>
    <t>7.650287</t>
  </si>
  <si>
    <t>7.3919885</t>
  </si>
  <si>
    <t>7.162626</t>
  </si>
  <si>
    <t>7.0949565</t>
  </si>
  <si>
    <t>Venezuela, RB</t>
  </si>
  <si>
    <t>VEN</t>
  </si>
  <si>
    <t>9.56916666666667</t>
  </si>
  <si>
    <t>9.3275</t>
  </si>
  <si>
    <t>8.48666666666667</t>
  </si>
  <si>
    <t>8.47166666666667</t>
  </si>
  <si>
    <t>8.4975</t>
  </si>
  <si>
    <t>22.4975</t>
  </si>
  <si>
    <t>35.5316666666667</t>
  </si>
  <si>
    <t>37.1633333333333</t>
  </si>
  <si>
    <t>41.3275</t>
  </si>
  <si>
    <t>59.9016666666667</t>
  </si>
  <si>
    <t>54.655</t>
  </si>
  <si>
    <t>39.7441666666667</t>
  </si>
  <si>
    <t>39.4133333333333</t>
  </si>
  <si>
    <t>23.685</t>
  </si>
  <si>
    <t>46.3525</t>
  </si>
  <si>
    <t>32.1258333333333</t>
  </si>
  <si>
    <t>25.1991666666667</t>
  </si>
  <si>
    <t>22.4516666666667</t>
  </si>
  <si>
    <t>36.5775</t>
  </si>
  <si>
    <t>25.1933333333333</t>
  </si>
  <si>
    <t>18.4966666666667</t>
  </si>
  <si>
    <t>16.8091666666667</t>
  </si>
  <si>
    <t>15.4766666666667</t>
  </si>
  <si>
    <t>17.105</t>
  </si>
  <si>
    <t>22.3708333333333</t>
  </si>
  <si>
    <t>19.8933333333333</t>
  </si>
  <si>
    <t>18.3475</t>
  </si>
  <si>
    <t>17.15</t>
  </si>
  <si>
    <t>16.38</t>
  </si>
  <si>
    <t>15.895</t>
  </si>
  <si>
    <t>17.2116666666667</t>
  </si>
  <si>
    <t>19.395</t>
  </si>
  <si>
    <t>20.775</t>
  </si>
  <si>
    <t>21.0591666666667</t>
  </si>
  <si>
    <t>VGB</t>
  </si>
  <si>
    <t>Virgin Islands (U.S.)</t>
  </si>
  <si>
    <t>VIR</t>
  </si>
  <si>
    <t>Viet Nam</t>
  </si>
  <si>
    <t>VNM</t>
  </si>
  <si>
    <t>32.1825</t>
  </si>
  <si>
    <t>20.1</t>
  </si>
  <si>
    <t>12.7</t>
  </si>
  <si>
    <t>10.55</t>
  </si>
  <si>
    <t>9.42</t>
  </si>
  <si>
    <t>9.06166666666667</t>
  </si>
  <si>
    <t>9.48</t>
  </si>
  <si>
    <t>9.7225</t>
  </si>
  <si>
    <t>11.025</t>
  </si>
  <si>
    <t>11.17625</t>
  </si>
  <si>
    <t>11.18</t>
  </si>
  <si>
    <t>15.7835714285714</t>
  </si>
  <si>
    <t>10.069</t>
  </si>
  <si>
    <t>13.13525</t>
  </si>
  <si>
    <t>16.9538333333333</t>
  </si>
  <si>
    <t>13.4716666666667</t>
  </si>
  <si>
    <t>10.3741666666667</t>
  </si>
  <si>
    <t>7.1175</t>
  </si>
  <si>
    <t>6.96</t>
  </si>
  <si>
    <t>7.0675</t>
  </si>
  <si>
    <t>7.371875</t>
  </si>
  <si>
    <t>7.7075</t>
  </si>
  <si>
    <t>7.6475</t>
  </si>
  <si>
    <t>7.811</t>
  </si>
  <si>
    <t>8.01333333333333</t>
  </si>
  <si>
    <t>9.323</t>
  </si>
  <si>
    <t>VUT</t>
  </si>
  <si>
    <t>10.5483333333333</t>
  </si>
  <si>
    <t>10.4058333333333</t>
  </si>
  <si>
    <t>10.2007999185791</t>
  </si>
  <si>
    <t>10.1</t>
  </si>
  <si>
    <t>9.965</t>
  </si>
  <si>
    <t>10.1816666666667</t>
  </si>
  <si>
    <t>10.0458333333333</t>
  </si>
  <si>
    <t>9.76083333333333</t>
  </si>
  <si>
    <t>9.33333333333333</t>
  </si>
  <si>
    <t>8.80583333333333</t>
  </si>
  <si>
    <t>8.93583333333333</t>
  </si>
  <si>
    <t>World</t>
  </si>
  <si>
    <t>WLD</t>
  </si>
  <si>
    <t>Samoa</t>
  </si>
  <si>
    <t>WSM</t>
  </si>
  <si>
    <t>11.4458333333333</t>
  </si>
  <si>
    <t>11.2816666666667</t>
  </si>
  <si>
    <t>11.2308333333333</t>
  </si>
  <si>
    <t>11.4275</t>
  </si>
  <si>
    <t>11.7216666666667</t>
  </si>
  <si>
    <t>12.6508333333333</t>
  </si>
  <si>
    <t>12.6608333333333</t>
  </si>
  <si>
    <t>12.0825</t>
  </si>
  <si>
    <t>10.72</t>
  </si>
  <si>
    <t>9.9625</t>
  </si>
  <si>
    <t>10.2008333333333</t>
  </si>
  <si>
    <t>10.015</t>
  </si>
  <si>
    <t>9.09166666666667</t>
  </si>
  <si>
    <t>8.76166666666667</t>
  </si>
  <si>
    <t>8.95010076787388</t>
  </si>
  <si>
    <t>8.92916666666667</t>
  </si>
  <si>
    <t>8.705</t>
  </si>
  <si>
    <t>8.51541666666667</t>
  </si>
  <si>
    <t>8.29105904309602</t>
  </si>
  <si>
    <t>8.31979190761793</t>
  </si>
  <si>
    <t>8.43059676778872</t>
  </si>
  <si>
    <t>Kosovo</t>
  </si>
  <si>
    <t>XKX</t>
  </si>
  <si>
    <t>14.7883458536289</t>
  </si>
  <si>
    <t>14.4213906366274</t>
  </si>
  <si>
    <t>14.4943726228665</t>
  </si>
  <si>
    <t>14.5738707277441</t>
  </si>
  <si>
    <t>14.8333562686325</t>
  </si>
  <si>
    <t>14.3897652181858</t>
  </si>
  <si>
    <t>14.3658333333333</t>
  </si>
  <si>
    <t>13.775</t>
  </si>
  <si>
    <t>11.82</t>
  </si>
  <si>
    <t>8.32</t>
  </si>
  <si>
    <t>7.4468</t>
  </si>
  <si>
    <t>6.8327</t>
  </si>
  <si>
    <t>6.65405833333333</t>
  </si>
  <si>
    <t>Yemen, Rep.</t>
  </si>
  <si>
    <t>YEM</t>
  </si>
  <si>
    <t>31.45</t>
  </si>
  <si>
    <t>22.5166666666667</t>
  </si>
  <si>
    <t>18.125</t>
  </si>
  <si>
    <t>24.0833333333333</t>
  </si>
  <si>
    <t>19.5416666666667</t>
  </si>
  <si>
    <t>17.5</t>
  </si>
  <si>
    <t>ZAF</t>
  </si>
  <si>
    <t>6.83333333333333</t>
  </si>
  <si>
    <t>5.79166666666667</t>
  </si>
  <si>
    <t>8.79166666666667</t>
  </si>
  <si>
    <t>12.125</t>
  </si>
  <si>
    <t>19.3333333333333</t>
  </si>
  <si>
    <t>22.3333333333333</t>
  </si>
  <si>
    <t>19.8333333333333</t>
  </si>
  <si>
    <t>20.3125</t>
  </si>
  <si>
    <t>18.9058333333333</t>
  </si>
  <si>
    <t>16.1583333333333</t>
  </si>
  <si>
    <t>17.8958333333333</t>
  </si>
  <si>
    <t>19.5208333333333</t>
  </si>
  <si>
    <t>21.7916666666667</t>
  </si>
  <si>
    <t>13.7708333333333</t>
  </si>
  <si>
    <t>10.4583333333333</t>
  </si>
  <si>
    <t>10.0833333333333</t>
  </si>
  <si>
    <t>7.04166666666667</t>
  </si>
  <si>
    <t>ZMB</t>
  </si>
  <si>
    <t>18.6025</t>
  </si>
  <si>
    <t>27.395</t>
  </si>
  <si>
    <t>21.1958333333333</t>
  </si>
  <si>
    <t>18.39</t>
  </si>
  <si>
    <t>35.1041666666667</t>
  </si>
  <si>
    <t>43</t>
  </si>
  <si>
    <t>54.5666666666667</t>
  </si>
  <si>
    <t>113.308333333333</t>
  </si>
  <si>
    <t>70.5583333333333</t>
  </si>
  <si>
    <t>45.5333333333333</t>
  </si>
  <si>
    <t>53.7833333333333</t>
  </si>
  <si>
    <t>46.6916666666667</t>
  </si>
  <si>
    <t>40.5166666666667</t>
  </si>
  <si>
    <t>38.8</t>
  </si>
  <si>
    <t>46.2333333333333</t>
  </si>
  <si>
    <t>45.1980166666667</t>
  </si>
  <si>
    <t>40.5710333333333</t>
  </si>
  <si>
    <t>30.7271</t>
  </si>
  <si>
    <t>28.2091666666667</t>
  </si>
  <si>
    <t>23.1533333333333</t>
  </si>
  <si>
    <t>18.8908333333333</t>
  </si>
  <si>
    <t>19.0641666666667</t>
  </si>
  <si>
    <t>22.0625</t>
  </si>
  <si>
    <t>18.8366666666667</t>
  </si>
  <si>
    <t>12.1508333333333</t>
  </si>
  <si>
    <t>11.5733333333333</t>
  </si>
  <si>
    <t>9.79166666666667</t>
  </si>
  <si>
    <t>9.47916666666667</t>
  </si>
  <si>
    <t>ZWE</t>
  </si>
  <si>
    <t>11.5966666666667</t>
  </si>
  <si>
    <t>9.74</t>
  </si>
  <si>
    <t>9.4675</t>
  </si>
  <si>
    <t>8.54177133537791</t>
  </si>
  <si>
    <t>7.11333333333333</t>
  </si>
  <si>
    <t>6.91416666666667</t>
  </si>
  <si>
    <t>7.13166666666667</t>
  </si>
  <si>
    <t>16.1816666666667</t>
  </si>
  <si>
    <t>33.0083333333333</t>
  </si>
  <si>
    <t>45.4766666666667</t>
  </si>
  <si>
    <t>131.813333333333</t>
  </si>
  <si>
    <t>170.293833333333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</si>
  <si>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</si>
  <si>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</si>
  <si>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</si>
  <si>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</si>
  <si>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</si>
  <si>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</si>
  <si>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</si>
  <si>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</si>
  <si>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</si>
  <si>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</si>
  <si>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</si>
  <si>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</si>
  <si>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</t>
  </si>
  <si>
    <t>_14</t>
  </si>
  <si>
    <t>_15</t>
  </si>
  <si>
    <t>_16</t>
  </si>
  <si>
    <t>_17</t>
  </si>
  <si>
    <t>_18</t>
  </si>
  <si>
    <t>_19</t>
  </si>
  <si>
    <t>_20</t>
  </si>
  <si>
    <t>_21</t>
  </si>
  <si>
    <t>_22</t>
  </si>
  <si>
    <t>_23</t>
  </si>
  <si>
    <t>_24</t>
  </si>
  <si>
    <t>_25</t>
  </si>
  <si>
    <t>_26</t>
  </si>
  <si>
    <t>_27</t>
  </si>
  <si>
    <t>_28</t>
  </si>
  <si>
    <t>_29</t>
  </si>
  <si>
    <t>_30</t>
  </si>
  <si>
    <t>_31</t>
  </si>
  <si>
    <t>_32</t>
  </si>
  <si>
    <t>_33</t>
  </si>
  <si>
    <t>_34</t>
  </si>
  <si>
    <t>_35</t>
  </si>
  <si>
    <t>_36</t>
  </si>
  <si>
    <t>_37</t>
  </si>
  <si>
    <t>_38</t>
  </si>
  <si>
    <t>_39</t>
  </si>
  <si>
    <t>_40</t>
  </si>
  <si>
    <t>_41</t>
  </si>
  <si>
    <t>_42</t>
  </si>
  <si>
    <t>_43</t>
  </si>
  <si>
    <t>_44</t>
  </si>
  <si>
    <t>_45</t>
  </si>
  <si>
    <t>_46</t>
  </si>
  <si>
    <t>_47</t>
  </si>
  <si>
    <t>_48</t>
  </si>
  <si>
    <t>_49</t>
  </si>
  <si>
    <t>_50</t>
  </si>
  <si>
    <t>_51</t>
  </si>
  <si>
    <t>_52</t>
  </si>
  <si>
    <t>_53</t>
  </si>
  <si>
    <t>_54</t>
  </si>
  <si>
    <t>_55</t>
  </si>
  <si>
    <t>_56</t>
  </si>
  <si>
    <t>_57</t>
  </si>
  <si>
    <t>_58</t>
  </si>
  <si>
    <t>_59</t>
  </si>
  <si>
    <t>_60</t>
  </si>
  <si>
    <t>_61</t>
  </si>
  <si>
    <t>_62</t>
  </si>
  <si>
    <t>_63</t>
  </si>
  <si>
    <t>_64</t>
  </si>
  <si>
    <t>_65</t>
  </si>
  <si>
    <t>_66</t>
  </si>
  <si>
    <t>_67</t>
  </si>
  <si>
    <t>Inflation, GDP deflator (annual %)</t>
  </si>
  <si>
    <t>NY.GDP.DEFL.KD.ZG</t>
  </si>
  <si>
    <t>3.59197006652872</t>
  </si>
  <si>
    <t>3.10843918798423</t>
  </si>
  <si>
    <t>3.96254301358969</t>
  </si>
  <si>
    <t>5.76986990784422</t>
  </si>
  <si>
    <t>5.61485982807162</t>
  </si>
  <si>
    <t>3.82233511678332</t>
  </si>
  <si>
    <t>5.30031405765243</t>
  </si>
  <si>
    <t>6.28797536126895</t>
  </si>
  <si>
    <t>3.37583749127457</t>
  </si>
  <si>
    <t>3.25948642303557</t>
  </si>
  <si>
    <t>3.70423775271973</t>
  </si>
  <si>
    <t>6.59295050184228</t>
  </si>
  <si>
    <t>2.19006066092493</t>
  </si>
  <si>
    <t>1.03610080269524</t>
  </si>
  <si>
    <t>-2.83550241253081</t>
  </si>
  <si>
    <t>4.43468813342022</t>
  </si>
  <si>
    <t>3.04904620110997</t>
  </si>
  <si>
    <t>2.80990970893053</t>
  </si>
  <si>
    <t>5.06749722968669</t>
  </si>
  <si>
    <t>3.48434619543613</t>
  </si>
  <si>
    <t>5.16689296887391</t>
  </si>
  <si>
    <t>4.26244900176589</t>
  </si>
  <si>
    <t>1.70328044813839</t>
  </si>
  <si>
    <t>-1.22340655068425</t>
  </si>
  <si>
    <t>4.00567421402882</t>
  </si>
  <si>
    <t>0.184032701346126</t>
  </si>
  <si>
    <t>-1.99594849465619</t>
  </si>
  <si>
    <t>3.95889741019282</t>
  </si>
  <si>
    <t>6.831286936157</t>
  </si>
  <si>
    <t>-1.00279969703662</t>
  </si>
  <si>
    <t>-3.17816679833555</t>
  </si>
  <si>
    <t>3.46202953211427</t>
  </si>
  <si>
    <t>6.01781611792313</t>
  </si>
  <si>
    <t>-0.951473042327038</t>
  </si>
  <si>
    <t>-4.91262490390014</t>
  </si>
  <si>
    <t>3.15727939363973</t>
  </si>
  <si>
    <t>6.70946117676064</t>
  </si>
  <si>
    <t>1.93394654573322</t>
  </si>
  <si>
    <t>0.596607181612448</t>
  </si>
  <si>
    <t>3.15005277433804</t>
  </si>
  <si>
    <t>3.72697762199365</t>
  </si>
  <si>
    <t>2.96282610936504</t>
  </si>
  <si>
    <t>3.44451810994963</t>
  </si>
  <si>
    <t>1.7793841509497</t>
  </si>
  <si>
    <t>3.22709425782465</t>
  </si>
  <si>
    <t>4.66069284074154</t>
  </si>
  <si>
    <t>4.9375235930307</t>
  </si>
  <si>
    <t>3.27935307157383</t>
  </si>
  <si>
    <t>9.8145760348434</t>
  </si>
  <si>
    <t>12.2244748984293</t>
  </si>
  <si>
    <t>15.1283461204314</t>
  </si>
  <si>
    <t>11.884430878284</t>
  </si>
  <si>
    <t>9.53063246851585</t>
  </si>
  <si>
    <t>10.4081011819644</t>
  </si>
  <si>
    <t>10.5402897346018</t>
  </si>
  <si>
    <t>14.5712374011675</t>
  </si>
  <si>
    <t>19.2052947603321</t>
  </si>
  <si>
    <t>10.8584883691295</t>
  </si>
  <si>
    <t>7.69747177812898</t>
  </si>
  <si>
    <t>11.5568417169857</t>
  </si>
  <si>
    <t>12.7347557716885</t>
  </si>
  <si>
    <t>16.1443312605572</t>
  </si>
  <si>
    <t>13.9165769085523</t>
  </si>
  <si>
    <t>12.6940698241788</t>
  </si>
  <si>
    <t>20.1526012665392</t>
  </si>
  <si>
    <t>14.8392839136103</t>
  </si>
  <si>
    <t>11.9939039075081</t>
  </si>
  <si>
    <t>14.9789364246749</t>
  </si>
  <si>
    <t>14.6406552101884</t>
  </si>
  <si>
    <t>13.8705025913749</t>
  </si>
  <si>
    <t>17.0164147872542</t>
  </si>
  <si>
    <t>16.1027117424962</t>
  </si>
  <si>
    <t>15.1761803358905</t>
  </si>
  <si>
    <t>10.5450486551459</t>
  </si>
  <si>
    <t>9.10917293901807</t>
  </si>
  <si>
    <t>8.00681329656179</t>
  </si>
  <si>
    <t>11.1173058824862</t>
  </si>
  <si>
    <t>8.31282499951298</t>
  </si>
  <si>
    <t>8.91492825674993</t>
  </si>
  <si>
    <t>7.8067408729751</t>
  </si>
  <si>
    <t>9.60039256006742</t>
  </si>
  <si>
    <t>7.62368935878268</t>
  </si>
  <si>
    <t>7.65225430526529</t>
  </si>
  <si>
    <t>8.24576476611674</t>
  </si>
  <si>
    <t>10.961412407556</t>
  </si>
  <si>
    <t>8.28143239119243</t>
  </si>
  <si>
    <t>5.88302203486953</t>
  </si>
  <si>
    <t>9.74570998523772</t>
  </si>
  <si>
    <t>6.20387787625781</t>
  </si>
  <si>
    <t>5.54626698664435</t>
  </si>
  <si>
    <t>5.40353538297499</t>
  </si>
  <si>
    <t>5.63628010156222</t>
  </si>
  <si>
    <t>6.73515766010987</t>
  </si>
  <si>
    <t>6.28646467124097</t>
  </si>
  <si>
    <t>4.32175867770079</t>
  </si>
  <si>
    <t>4.44437946494116</t>
  </si>
  <si>
    <t>5.29813226108107</t>
  </si>
  <si>
    <t>6.22269912307469</t>
  </si>
  <si>
    <t>9.35876732357862</t>
  </si>
  <si>
    <t>7.80122989057329</t>
  </si>
  <si>
    <t>-11.7745360319214</t>
  </si>
  <si>
    <t>6.12552202910163</t>
  </si>
  <si>
    <t>11.655238221181</t>
  </si>
  <si>
    <t>11.2714320572149</t>
  </si>
  <si>
    <t>10.9127735503048</t>
  </si>
  <si>
    <t>7.19975129292388</t>
  </si>
  <si>
    <t>22.5277562007029</t>
  </si>
  <si>
    <t>2.09628875042125</t>
  </si>
  <si>
    <t>-2.16340442746143</t>
  </si>
  <si>
    <t>3.81463031545211</t>
  </si>
  <si>
    <t>16.5933467401627</t>
  </si>
  <si>
    <t>7.30175646760432</t>
  </si>
  <si>
    <t>4.82278547876986</t>
  </si>
  <si>
    <t>0.56694454253261</t>
  </si>
  <si>
    <t>2.44756300147404</t>
  </si>
  <si>
    <t>-2.19752646733461</t>
  </si>
  <si>
    <t>2.40365618765746</t>
  </si>
  <si>
    <t>2.07134857783487</t>
  </si>
  <si>
    <t>6.52147984832531</t>
  </si>
  <si>
    <t>6.9629462552564</t>
  </si>
  <si>
    <t>2.83899625081041</t>
  </si>
  <si>
    <t>9.40623933931322</t>
  </si>
  <si>
    <t>2.9616535410169</t>
  </si>
  <si>
    <t>3.2784459977796</t>
  </si>
  <si>
    <t>2.48595550659368</t>
  </si>
  <si>
    <t>2.78147914636031</t>
  </si>
  <si>
    <t>3.38106058115134</t>
  </si>
  <si>
    <t>2.40502608843418</t>
  </si>
  <si>
    <t>4.13875253122386</t>
  </si>
  <si>
    <t>1.22775183399891</t>
  </si>
  <si>
    <t>1.62794933529348</t>
  </si>
  <si>
    <t>4.21395854238489</t>
  </si>
  <si>
    <t>3.35065176133496</t>
  </si>
  <si>
    <t>4.18919648768647</t>
  </si>
  <si>
    <t>5.14581076875683</t>
  </si>
  <si>
    <t>7.61859793514425</t>
  </si>
  <si>
    <t>13.4225905212845</t>
  </si>
  <si>
    <t>8.58680753081824</t>
  </si>
  <si>
    <t>11.3197643284874</t>
  </si>
  <si>
    <t>10.8719879924003</t>
  </si>
  <si>
    <t>6.61649466282473</t>
  </si>
  <si>
    <t>10.7617886745716</t>
  </si>
  <si>
    <t>11.0012811184527</t>
  </si>
  <si>
    <t>10.0100209420354</t>
  </si>
  <si>
    <t>13.8205590460171</t>
  </si>
  <si>
    <t>9.92793639904325</t>
  </si>
  <si>
    <t>11.3150500363978</t>
  </si>
  <si>
    <t>5.29721350623177</t>
  </si>
  <si>
    <t>0.32606411260803</t>
  </si>
  <si>
    <t>2.35651163978966</t>
  </si>
  <si>
    <t>3.69277055172387</t>
  </si>
  <si>
    <t>3.50011875843632</t>
  </si>
  <si>
    <t>4.82244315622001</t>
  </si>
  <si>
    <t>3.31280575359608</t>
  </si>
  <si>
    <t>0.482938222012713</t>
  </si>
  <si>
    <t>2.80670798967146</t>
  </si>
  <si>
    <t>24.7941952455716</t>
  </si>
  <si>
    <t>7.39692068899853</t>
  </si>
  <si>
    <t>6.18642809934072</t>
  </si>
  <si>
    <t>2.96013877018802</t>
  </si>
  <si>
    <t>5.30948306910901</t>
  </si>
  <si>
    <t>4.50109730901824</t>
  </si>
  <si>
    <t>4.815430261735</t>
  </si>
  <si>
    <t>3.86179519283827</t>
  </si>
  <si>
    <t>2.67339738740157</t>
  </si>
  <si>
    <t>1.71882163202884</t>
  </si>
  <si>
    <t>5.68195133906449</t>
  </si>
  <si>
    <t>6.68893394853546</t>
  </si>
  <si>
    <t>4.64332213979795</t>
  </si>
  <si>
    <t>5.47702898238883</t>
  </si>
  <si>
    <t>9.11699967289589</t>
  </si>
  <si>
    <t>1.48940469185958</t>
  </si>
  <si>
    <t>5.42967319163332</t>
  </si>
  <si>
    <t>8.51666048093151</t>
  </si>
  <si>
    <t>4.73009483577319</t>
  </si>
  <si>
    <t>1.55401804889429</t>
  </si>
  <si>
    <t>0.731853329618588</t>
  </si>
  <si>
    <t>1.91155941571227</t>
  </si>
  <si>
    <t>1.736323129284</t>
  </si>
  <si>
    <t>1.75910578032053</t>
  </si>
  <si>
    <t>2.15033893298982</t>
  </si>
  <si>
    <t>1.95694728078307</t>
  </si>
  <si>
    <t>1.71555846208987</t>
  </si>
  <si>
    <t>4.64220371005912</t>
  </si>
  <si>
    <t>6.58712256843671</t>
  </si>
  <si>
    <t>3.38669113752862</t>
  </si>
  <si>
    <t>-2.1003061669614</t>
  </si>
  <si>
    <t>0.0127635583866379</t>
  </si>
  <si>
    <t>0.0011881098994877</t>
  </si>
  <si>
    <t>19.0352057407944</t>
  </si>
  <si>
    <t>-9.01306191994358</t>
  </si>
  <si>
    <t>9.8233113499663</t>
  </si>
  <si>
    <t>2.21377444948736</t>
  </si>
  <si>
    <t>16.2796626853837</t>
  </si>
  <si>
    <t>14.0074398272592</t>
  </si>
  <si>
    <t>106.309982268478</t>
  </si>
  <si>
    <t>476.51575086326</t>
  </si>
  <si>
    <t>917.783468411763</t>
  </si>
  <si>
    <t>2175.97895508759</t>
  </si>
  <si>
    <t>1825.49514900731</t>
  </si>
  <si>
    <t>4800.53164415744</t>
  </si>
  <si>
    <t>95.4530221791129</t>
  </si>
  <si>
    <t>39.3593483252693</t>
  </si>
  <si>
    <t>557.501113091215</t>
  </si>
  <si>
    <t>418.018991534099</t>
  </si>
  <si>
    <t>106.352125501451</t>
  </si>
  <si>
    <t>196.984099399931</t>
  </si>
  <si>
    <t>93.9265669067308</t>
  </si>
  <si>
    <t>33.4435947900255</t>
  </si>
  <si>
    <t>42.3742492617284</t>
  </si>
  <si>
    <t>17.1156651448542</t>
  </si>
  <si>
    <t>4.30843221207182</t>
  </si>
  <si>
    <t>19.3657735558326</t>
  </si>
  <si>
    <t>-16.7621402901592</t>
  </si>
  <si>
    <t>32.2704691224412</t>
  </si>
  <si>
    <t>31.7714601558986</t>
  </si>
  <si>
    <t>7.25574990943825</t>
  </si>
  <si>
    <t>2.83972412637765</t>
  </si>
  <si>
    <t>3.56088477205805</t>
  </si>
  <si>
    <t>-3.51838534598478</t>
  </si>
  <si>
    <t>21.7742355863884</t>
  </si>
  <si>
    <t>22.6145140271114</t>
  </si>
  <si>
    <t>28.1670932554891</t>
  </si>
  <si>
    <t>19.1870038271785</t>
  </si>
  <si>
    <t>10.7631052824799</t>
  </si>
  <si>
    <t>38.8237218374918</t>
  </si>
  <si>
    <t>13.7105940226231</t>
  </si>
  <si>
    <t>17.6195377226942</t>
  </si>
  <si>
    <t>-2.13957198618188</t>
  </si>
  <si>
    <t>-0.0177190996205354</t>
  </si>
  <si>
    <t>-0.0167551716364898</t>
  </si>
  <si>
    <t>-0.0283602576437829</t>
  </si>
  <si>
    <t>0.35122234783789</t>
  </si>
  <si>
    <t>-2.41730042881588</t>
  </si>
  <si>
    <t>-0.000306092920837386</t>
  </si>
  <si>
    <t>-0.00057857927218663</t>
  </si>
  <si>
    <t>0.0036791601611128</t>
  </si>
  <si>
    <t>-0.431368812605911</t>
  </si>
  <si>
    <t>35.5142469575829</t>
  </si>
  <si>
    <t>232.984658866956</t>
  </si>
  <si>
    <t>125.650814219817</t>
  </si>
  <si>
    <t>35.8424752083078</t>
  </si>
  <si>
    <t>9.9706626786687</t>
  </si>
  <si>
    <t>38.1720581994814</t>
  </si>
  <si>
    <t>11.2396444802125</t>
  </si>
  <si>
    <t>6.73085990507577</t>
  </si>
  <si>
    <t>2.10284998886902</t>
  </si>
  <si>
    <t>5.6474714679938</t>
  </si>
  <si>
    <t>3.81085737408868</t>
  </si>
  <si>
    <t>3.6474762708812</t>
  </si>
  <si>
    <t>5.19863530307683</t>
  </si>
  <si>
    <t>3.15236892537025</t>
  </si>
  <si>
    <t>3.30681814689954</t>
  </si>
  <si>
    <t>2.47818888688769</t>
  </si>
  <si>
    <t>4.3867093833438</t>
  </si>
  <si>
    <t>4.11708542559394</t>
  </si>
  <si>
    <t>2.41833605890835</t>
  </si>
  <si>
    <t>4.49314320031891</t>
  </si>
  <si>
    <t>2.31474379699794</t>
  </si>
  <si>
    <t>1.04271460643407</t>
  </si>
  <si>
    <t>0.288745964127756</t>
  </si>
  <si>
    <t>1.54991706986272</t>
  </si>
  <si>
    <t>0.563991350160876</t>
  </si>
  <si>
    <t>-0.632653419095547</t>
  </si>
  <si>
    <t>1.45073158124514</t>
  </si>
  <si>
    <t>2.9665236560994</t>
  </si>
  <si>
    <t>1.00059083830071</t>
  </si>
  <si>
    <t>0.0410649973272115</t>
  </si>
  <si>
    <t>3.44439880912799</t>
  </si>
  <si>
    <t>9.86157415467682</t>
  </si>
  <si>
    <t>6.06604947510885</t>
  </si>
  <si>
    <t>7.84587099758265</t>
  </si>
  <si>
    <t>8.51807767365098</t>
  </si>
  <si>
    <t>11.8494338124947</t>
  </si>
  <si>
    <t>15.9452014096622</t>
  </si>
  <si>
    <t>16.7817953953987</t>
  </si>
  <si>
    <t>16.4898572074663</t>
  </si>
  <si>
    <t>23.3830925555267</t>
  </si>
  <si>
    <t>20.63104141592</t>
  </si>
  <si>
    <t>16.9316890399132</t>
  </si>
  <si>
    <t>13.3548138413184</t>
  </si>
  <si>
    <t>12.3511731944832</t>
  </si>
  <si>
    <t>13.5823498012472</t>
  </si>
  <si>
    <t>11.8842353012303</t>
  </si>
  <si>
    <t>10.8647343940798</t>
  </si>
  <si>
    <t>8.59546375926088</t>
  </si>
  <si>
    <t>10.8788152026056</t>
  </si>
  <si>
    <t>5.94419881956037</t>
  </si>
  <si>
    <t>5.9361249975981</t>
  </si>
  <si>
    <t>6.89620711872611</t>
  </si>
  <si>
    <t>7.32624369631456</t>
  </si>
  <si>
    <t>6.93514835426407</t>
  </si>
  <si>
    <t>6.71076896051142</t>
  </si>
  <si>
    <t>4.53723214675858</t>
  </si>
  <si>
    <t>3.87985832158631</t>
  </si>
  <si>
    <t>4.93312104936552</t>
  </si>
  <si>
    <t>0.797177729321263</t>
  </si>
  <si>
    <t>2.22816030666122</t>
  </si>
  <si>
    <t>1.49955384331271</t>
  </si>
  <si>
    <t>2.73197952535102</t>
  </si>
  <si>
    <t>28.7415528975991</t>
  </si>
  <si>
    <t>3.08053517916559</t>
  </si>
  <si>
    <t>3.23953176987777</t>
  </si>
  <si>
    <t>3.17748421556476</t>
  </si>
  <si>
    <t>3.04242399802695</t>
  </si>
  <si>
    <t>3.39610212995052</t>
  </si>
  <si>
    <t>3.45718408670396</t>
  </si>
  <si>
    <t>3.21122734131436</t>
  </si>
  <si>
    <t>2.27433831984322</t>
  </si>
  <si>
    <t>0.132136132405464</t>
  </si>
  <si>
    <t>0.374313758110119</t>
  </si>
  <si>
    <t>0.196764152031051</t>
  </si>
  <si>
    <t>0.174556905779482</t>
  </si>
  <si>
    <t>0.448492200194735</t>
  </si>
  <si>
    <t>-0.0840193165570753</t>
  </si>
  <si>
    <t>0.660588959137868</t>
  </si>
  <si>
    <t>0.347795381575793</t>
  </si>
  <si>
    <t>1.13650934319639</t>
  </si>
  <si>
    <t>1.01247848005298</t>
  </si>
  <si>
    <t>1.37475350829189</t>
  </si>
  <si>
    <t>1.11378607410401</t>
  </si>
  <si>
    <t>2.5588606935971</t>
  </si>
  <si>
    <t>4.23665226454663</t>
  </si>
  <si>
    <t>6.29560082401824</t>
  </si>
  <si>
    <t>2.01537452545222</t>
  </si>
  <si>
    <t>3.29617204048303</t>
  </si>
  <si>
    <t>3.19390148594043</t>
  </si>
  <si>
    <t>-0.440429932829574</t>
  </si>
  <si>
    <t>2.75119762106486</t>
  </si>
  <si>
    <t>2.38960219490593</t>
  </si>
  <si>
    <t>2.75484922141703</t>
  </si>
  <si>
    <t>1.06482414619676</t>
  </si>
  <si>
    <t>3.91033373750788</t>
  </si>
  <si>
    <t>7.35709355603809</t>
  </si>
  <si>
    <t>3.14290859280182</t>
  </si>
  <si>
    <t>15.2464081259903</t>
  </si>
  <si>
    <t>34.6065505598652</t>
  </si>
  <si>
    <t>5.59914413260866</t>
  </si>
  <si>
    <t>8.62978218612457</t>
  </si>
  <si>
    <t>10.3700771762441</t>
  </si>
  <si>
    <t>4.16049327419121</t>
  </si>
  <si>
    <t>19.271855817196</t>
  </si>
  <si>
    <t>24.1580815878628</t>
  </si>
  <si>
    <t>10.2466291101412</t>
  </si>
  <si>
    <t>6.36523697789958</t>
  </si>
  <si>
    <t>6.88749696075298</t>
  </si>
  <si>
    <t>6.18040856863473</t>
  </si>
  <si>
    <t>4.23208188574494</t>
  </si>
  <si>
    <t>2.96400555028724</t>
  </si>
  <si>
    <t>9.36808989082694</t>
  </si>
  <si>
    <t>4.17732530004293</t>
  </si>
  <si>
    <t>7.97612484555617</t>
  </si>
  <si>
    <t>12.7463177181753</t>
  </si>
  <si>
    <t>7.44099981033727</t>
  </si>
  <si>
    <t>5.716743758978</t>
  </si>
  <si>
    <t>3.86316291751921</t>
  </si>
  <si>
    <t>7.60245225222921</t>
  </si>
  <si>
    <t>7.76719774306125</t>
  </si>
  <si>
    <t>6.65755753090085</t>
  </si>
  <si>
    <t>2.75712224933042</t>
  </si>
  <si>
    <t>-3.13108869741967</t>
  </si>
  <si>
    <t>8.44337746020058</t>
  </si>
  <si>
    <t>11.4595357939894</t>
  </si>
  <si>
    <t>1.86769984238948</t>
  </si>
  <si>
    <t>3.77083954826043</t>
  </si>
  <si>
    <t>5.11182917627502</t>
  </si>
  <si>
    <t>10.9375405233887</t>
  </si>
  <si>
    <t>14.5852590982142</t>
  </si>
  <si>
    <t>9.09650632380644</t>
  </si>
  <si>
    <t>8.04658597487651</t>
  </si>
  <si>
    <t>15.9501259770903</t>
  </si>
  <si>
    <t>-2.78022303939403</t>
  </si>
  <si>
    <t>12.0069506981357</t>
  </si>
  <si>
    <t>13.1672193765795</t>
  </si>
  <si>
    <t>4.67972511760814</t>
  </si>
  <si>
    <t>1.26026248256035</t>
  </si>
  <si>
    <t>1.04867463772903</t>
  </si>
  <si>
    <t>-2.11493646984442</t>
  </si>
  <si>
    <t>0.920589535113145</t>
  </si>
  <si>
    <t>4.8259464942787</t>
  </si>
  <si>
    <t>7.04467101748188</t>
  </si>
  <si>
    <t>2.3662310647694</t>
  </si>
  <si>
    <t>0.406043178192824</t>
  </si>
  <si>
    <t>12.7208752145056</t>
  </si>
  <si>
    <t>14.8098061189166</t>
  </si>
  <si>
    <t>0.854841037372282</t>
  </si>
  <si>
    <t>7.09843561708112E-09</t>
  </si>
  <si>
    <t>3.50932793935499E-09</t>
  </si>
  <si>
    <t>54.2528269904672</t>
  </si>
  <si>
    <t>138.263492562272</t>
  </si>
  <si>
    <t>19.0009160013165</t>
  </si>
  <si>
    <t>11.7743313548719</t>
  </si>
  <si>
    <t>5.25575609116014</t>
  </si>
  <si>
    <t>-3.66111149549619</t>
  </si>
  <si>
    <t>7.05102054464086</t>
  </si>
  <si>
    <t>9.51597603461369</t>
  </si>
  <si>
    <t>7.054483982438</t>
  </si>
  <si>
    <t>1.31286872874293</t>
  </si>
  <si>
    <t>-3.61801721863773</t>
  </si>
  <si>
    <t>-6.09746718626482</t>
  </si>
  <si>
    <t>0.740532889918782</t>
  </si>
  <si>
    <t>-1.69848529731705</t>
  </si>
  <si>
    <t>3.685584802515</t>
  </si>
  <si>
    <t>2.38104573161</t>
  </si>
  <si>
    <t>1.75127660948431</t>
  </si>
  <si>
    <t>3.33590049400134</t>
  </si>
  <si>
    <t>0.810848722776853</t>
  </si>
  <si>
    <t>1.80682612323693</t>
  </si>
  <si>
    <t>1.27803631115864</t>
  </si>
  <si>
    <t>-0.262474925014473</t>
  </si>
  <si>
    <t>3.90747975797208</t>
  </si>
  <si>
    <t>5.77304389866605</t>
  </si>
  <si>
    <t>-0.952300713494253</t>
  </si>
  <si>
    <t>-4.25444531455858</t>
  </si>
  <si>
    <t>-2.34930767820795</t>
  </si>
  <si>
    <t>4.07240679733007</t>
  </si>
  <si>
    <t>8.50142205885294</t>
  </si>
  <si>
    <t>16.5263069327845</t>
  </si>
  <si>
    <t>11.9621492865846</t>
  </si>
  <si>
    <t>12.5339606714946</t>
  </si>
  <si>
    <t>18.5333530849246</t>
  </si>
  <si>
    <t>-15.1829798865339</t>
  </si>
  <si>
    <t>16.5278863640702</t>
  </si>
  <si>
    <t>-0.94932531950414</t>
  </si>
  <si>
    <t>-0.668049355939203</t>
  </si>
  <si>
    <t>-16.2670060316676</t>
  </si>
  <si>
    <t>-5.52947860546242</t>
  </si>
  <si>
    <t>4.98621314114183</t>
  </si>
  <si>
    <t>7.93674803487896</t>
  </si>
  <si>
    <t>-3.19440940863002</t>
  </si>
  <si>
    <t>-12.0313052945464</t>
  </si>
  <si>
    <t>13.8437703394455</t>
  </si>
  <si>
    <t>12.6298936875673</t>
  </si>
  <si>
    <t>-1.30420016236501</t>
  </si>
  <si>
    <t>20.3106975290508</t>
  </si>
  <si>
    <t>28.8718416496811</t>
  </si>
  <si>
    <t>25.5911543466798</t>
  </si>
  <si>
    <t>28.7746173194355</t>
  </si>
  <si>
    <t>21.2329349264853</t>
  </si>
  <si>
    <t>25.603462425178</t>
  </si>
  <si>
    <t>29.0182629355813</t>
  </si>
  <si>
    <t>10.2753105598205</t>
  </si>
  <si>
    <t>7.79583003393792</t>
  </si>
  <si>
    <t>6.46787463920629</t>
  </si>
  <si>
    <t>31.2710638842292</t>
  </si>
  <si>
    <t>64.2447859149364</t>
  </si>
  <si>
    <t>65.535287370144</t>
  </si>
  <si>
    <t>30.630441370412</t>
  </si>
  <si>
    <t>197.697364543187</t>
  </si>
  <si>
    <t>438.322779739816</t>
  </si>
  <si>
    <t>159.42717769645</t>
  </si>
  <si>
    <t>161.372172004157</t>
  </si>
  <si>
    <t>147.377044034473</t>
  </si>
  <si>
    <t>95.7904246128352</t>
  </si>
  <si>
    <t>105.276366380064</t>
  </si>
  <si>
    <t>194.535299663443</t>
  </si>
  <si>
    <t>380.158528521919</t>
  </si>
  <si>
    <t>611.196303891913</t>
  </si>
  <si>
    <t>607.447497830085</t>
  </si>
  <si>
    <t>77.2922366864133</t>
  </si>
  <si>
    <t>127.539918059086</t>
  </si>
  <si>
    <t>381.24634440952</t>
  </si>
  <si>
    <t>3046.09115201119</t>
  </si>
  <si>
    <t>2078.31681806978</t>
  </si>
  <si>
    <t>140.502378661012</t>
  </si>
  <si>
    <t>16.0719935356945</t>
  </si>
  <si>
    <t>-3.56109557576575</t>
  </si>
  <si>
    <t>2.84933971509302</t>
  </si>
  <si>
    <t>3.16512339016516</t>
  </si>
  <si>
    <t>-0.0523754965904146</t>
  </si>
  <si>
    <t>-0.46391313116429</t>
  </si>
  <si>
    <t>-1.70527962400085</t>
  </si>
  <si>
    <t>-1.83655839220664</t>
  </si>
  <si>
    <t>1.03728710073175</t>
  </si>
  <si>
    <t>-1.09576771833679</t>
  </si>
  <si>
    <t>30.555204053903</t>
  </si>
  <si>
    <t>10.4957030215496</t>
  </si>
  <si>
    <t>18.3633542492033</t>
  </si>
  <si>
    <t>10.3175111982406</t>
  </si>
  <si>
    <t>13.7410524859152</t>
  </si>
  <si>
    <t>14.9399250245835</t>
  </si>
  <si>
    <t>23.1711649813124</t>
  </si>
  <si>
    <t>15.3776493708921</t>
  </si>
  <si>
    <t>20.915124272047</t>
  </si>
  <si>
    <t>23.7034721839593</t>
  </si>
  <si>
    <t>22.3148806733049</t>
  </si>
  <si>
    <t>23.9487984162746</t>
  </si>
  <si>
    <t>40.2829716315506</t>
  </si>
  <si>
    <t>26.5799916024707</t>
  </si>
  <si>
    <t>41.1193799882279</t>
  </si>
  <si>
    <t>26.0063792819079</t>
  </si>
  <si>
    <t>42.0336689575031</t>
  </si>
  <si>
    <t>49.1955790596612</t>
  </si>
  <si>
    <t>40.0830878011993</t>
  </si>
  <si>
    <t>53.8020877665554</t>
  </si>
  <si>
    <t>69.8760842459268</t>
  </si>
  <si>
    <t>135.368876310592</t>
  </si>
  <si>
    <t>79.386104296155</t>
  </si>
  <si>
    <t>568.807295439343</t>
  </si>
  <si>
    <t>1391.16654315168</t>
  </si>
  <si>
    <t>4107.29676994743</t>
  </si>
  <si>
    <t>161.163917579159</t>
  </si>
  <si>
    <t>19.5917703052133</t>
  </si>
  <si>
    <t>17.7359944945837</t>
  </si>
  <si>
    <t>10.6984977562983</t>
  </si>
  <si>
    <t>0.0538040809325366</t>
  </si>
  <si>
    <t>-1.37367599828147</t>
  </si>
  <si>
    <t>4.02796948177824</t>
  </si>
  <si>
    <t>2.35739901911141</t>
  </si>
  <si>
    <t>4.5985157283794</t>
  </si>
  <si>
    <t>6.27859410767147</t>
  </si>
  <si>
    <t>3.20875666635281</t>
  </si>
  <si>
    <t>4.61801250818827</t>
  </si>
  <si>
    <t>4.2778755387818</t>
  </si>
  <si>
    <t>5.98956236068734</t>
  </si>
  <si>
    <t>2.49725307891563</t>
  </si>
  <si>
    <t>7.76871548067652</t>
  </si>
  <si>
    <t>4.28154999826118</t>
  </si>
  <si>
    <t>5.34580441814725</t>
  </si>
  <si>
    <t>3.36682464224465</t>
  </si>
  <si>
    <t>2.30918242990974</t>
  </si>
  <si>
    <t>1.21390990471085</t>
  </si>
  <si>
    <t>0.268575076501392</t>
  </si>
  <si>
    <t>2.15064189848613</t>
  </si>
  <si>
    <t>2.78770951425761</t>
  </si>
  <si>
    <t>1.06562263923419</t>
  </si>
  <si>
    <t>1.80659270159933</t>
  </si>
  <si>
    <t>6.90051365787157</t>
  </si>
  <si>
    <t>7.98587852828175</t>
  </si>
  <si>
    <t>2.67300354889213</t>
  </si>
  <si>
    <t>1.36505293715847</t>
  </si>
  <si>
    <t>-3.25907462221531</t>
  </si>
  <si>
    <t>-1.36558343263874</t>
  </si>
  <si>
    <t>2.81367521367521</t>
  </si>
  <si>
    <t>3.16061220726536</t>
  </si>
  <si>
    <t>11.0593351972663</t>
  </si>
  <si>
    <t>25.776397515528</t>
  </si>
  <si>
    <t>-15.3648895532304</t>
  </si>
  <si>
    <t>-0.52356020942409</t>
  </si>
  <si>
    <t>17.3684210526316</t>
  </si>
  <si>
    <t>2.24358974358974</t>
  </si>
  <si>
    <t>-0.962160294226521</t>
  </si>
  <si>
    <t>1.4697327650683</t>
  </si>
  <si>
    <t>1.40582171236608</t>
  </si>
  <si>
    <t>-1.94089005769675</t>
  </si>
  <si>
    <t>1.69536107125778</t>
  </si>
  <si>
    <t>1.74828930007058</t>
  </si>
  <si>
    <t>6.72878072142282</t>
  </si>
  <si>
    <t>4.8425556863277</t>
  </si>
  <si>
    <t>14.1527648578811</t>
  </si>
  <si>
    <t>8.82645062612013</t>
  </si>
  <si>
    <t>15.1750067607584</t>
  </si>
  <si>
    <t>11.7375182480628</t>
  </si>
  <si>
    <t>8.64343267249721</t>
  </si>
  <si>
    <t>11.5067195282661</t>
  </si>
  <si>
    <t>5.41509007725438</t>
  </si>
  <si>
    <t>4.20075189943394</t>
  </si>
  <si>
    <t>7.85084492490826</t>
  </si>
  <si>
    <t>8.32931416017392</t>
  </si>
  <si>
    <t>9.32656261851652</t>
  </si>
  <si>
    <t>12.7288317145654</t>
  </si>
  <si>
    <t>5.11981109118966</t>
  </si>
  <si>
    <t>2.09841051655768</t>
  </si>
  <si>
    <t>3.10653747347762</t>
  </si>
  <si>
    <t>2.93123372538055</t>
  </si>
  <si>
    <t>2.31585364144694</t>
  </si>
  <si>
    <t>3.58924100547307</t>
  </si>
  <si>
    <t>3.0463687910141</t>
  </si>
  <si>
    <t>3.41240765944926</t>
  </si>
  <si>
    <t>2.53062058558473</t>
  </si>
  <si>
    <t>2.68151672210762</t>
  </si>
  <si>
    <t>2.01084703483052</t>
  </si>
  <si>
    <t>1.48825220695463</t>
  </si>
  <si>
    <t>2.08478316538981</t>
  </si>
  <si>
    <t>1.29268465711701</t>
  </si>
  <si>
    <t>-0.483244128267359</t>
  </si>
  <si>
    <t>2.34982330100517</t>
  </si>
  <si>
    <t>4.67677680492626</t>
  </si>
  <si>
    <t>1.12406956736658</t>
  </si>
  <si>
    <t>4.37354365910269</t>
  </si>
  <si>
    <t>4.73737157423442</t>
  </si>
  <si>
    <t>1.11082507238632</t>
  </si>
  <si>
    <t>1.60551428909972</t>
  </si>
  <si>
    <t>0.668645512053459</t>
  </si>
  <si>
    <t>0.192742785601624</t>
  </si>
  <si>
    <t>0.476877446195644</t>
  </si>
  <si>
    <t>1.77839219993881</t>
  </si>
  <si>
    <t>2.78817037438111</t>
  </si>
  <si>
    <t>-0.468201309637678</t>
  </si>
  <si>
    <t>0.312054499370376</t>
  </si>
  <si>
    <t>1.46029012290431</t>
  </si>
  <si>
    <t>0.718452311457611</t>
  </si>
  <si>
    <t>0.800069551909715</t>
  </si>
  <si>
    <t>4.91376057826946</t>
  </si>
  <si>
    <t>6.49885619566375</t>
  </si>
  <si>
    <t>4.80547577274675</t>
  </si>
  <si>
    <t>3.22196795615888</t>
  </si>
  <si>
    <t>-0.0756038248018314</t>
  </si>
  <si>
    <t>1.78993098902399</t>
  </si>
  <si>
    <t>3.2830542276814</t>
  </si>
  <si>
    <t>2.98448250378847</t>
  </si>
  <si>
    <t>2.68348009513745</t>
  </si>
  <si>
    <t>4.86368073064634</t>
  </si>
  <si>
    <t>2.25264476451015</t>
  </si>
  <si>
    <t>4.75630153684699</t>
  </si>
  <si>
    <t>5.13233864241059</t>
  </si>
  <si>
    <t>5.18608376438183</t>
  </si>
  <si>
    <t>6.18861390811001</t>
  </si>
  <si>
    <t>8.9839737566421</t>
  </si>
  <si>
    <t>16.3775623167018</t>
  </si>
  <si>
    <t>16.4897877086073</t>
  </si>
  <si>
    <t>14.0198687822264</t>
  </si>
  <si>
    <t>11.4186605819591</t>
  </si>
  <si>
    <t>8.23618363096672</t>
  </si>
  <si>
    <t>8.63443123752833</t>
  </si>
  <si>
    <t>10.0165696784018</t>
  </si>
  <si>
    <t>9.52478964604649</t>
  </si>
  <si>
    <t>11.7092329249508</t>
  </si>
  <si>
    <t>10.1575581386061</t>
  </si>
  <si>
    <t>7.86300441854821</t>
  </si>
  <si>
    <t>4.68070643690324</t>
  </si>
  <si>
    <t>6.54751099766295</t>
  </si>
  <si>
    <t>7.03173832337612</t>
  </si>
  <si>
    <t>7.1742599600064</t>
  </si>
  <si>
    <t>9.23190922376165</t>
  </si>
  <si>
    <t>6.09458983592408</t>
  </si>
  <si>
    <t>3.02017557973888</t>
  </si>
  <si>
    <t>1.47902574629622</t>
  </si>
  <si>
    <t>0.867377619434805</t>
  </si>
  <si>
    <t>1.01880233824261</t>
  </si>
  <si>
    <t>2.28914316458206</t>
  </si>
  <si>
    <t>2.71144222672184</t>
  </si>
  <si>
    <t>1.27279080728206</t>
  </si>
  <si>
    <t>1.13564190464284</t>
  </si>
  <si>
    <t>0.475365976445929</t>
  </si>
  <si>
    <t>2.5507652827131</t>
  </si>
  <si>
    <t>4.63074057685395</t>
  </si>
  <si>
    <t>2.84035444214652</t>
  </si>
  <si>
    <t>2.98554508941196</t>
  </si>
  <si>
    <t>3.23229936195307</t>
  </si>
  <si>
    <t>3.82548066795754</t>
  </si>
  <si>
    <t>5.11533977799769</t>
  </si>
  <si>
    <t>4.98605173231132</t>
  </si>
  <si>
    <t>4.56978290693471</t>
  </si>
  <si>
    <t>4.94917908012782</t>
  </si>
  <si>
    <t>1.15377249328591</t>
  </si>
  <si>
    <t>6.20197668065047</t>
  </si>
  <si>
    <t>1.8056989221342</t>
  </si>
  <si>
    <t>-0.163600551424906</t>
  </si>
  <si>
    <t>1.40539601622476</t>
  </si>
  <si>
    <t>-0.623858470510584</t>
  </si>
  <si>
    <t>-0.663157619625991</t>
  </si>
  <si>
    <t>3.65318441813451</t>
  </si>
  <si>
    <t>1.86901478899458</t>
  </si>
  <si>
    <t>3.46820261012924</t>
  </si>
  <si>
    <t>1.88550119010648</t>
  </si>
  <si>
    <t>3.0799498600023</t>
  </si>
  <si>
    <t>7.17553361510235</t>
  </si>
  <si>
    <t>6.51199894950456</t>
  </si>
  <si>
    <t>5.08715371682054</t>
  </si>
  <si>
    <t>3.34020321438598</t>
  </si>
  <si>
    <t>3.67826612051927</t>
  </si>
  <si>
    <t>3.18378821910466</t>
  </si>
  <si>
    <t>5.32141544871361</t>
  </si>
  <si>
    <t>3.12236608115563</t>
  </si>
  <si>
    <t>3.24776256800851</t>
  </si>
  <si>
    <t>2.83803195138866</t>
  </si>
  <si>
    <t>2.73357287683751</t>
  </si>
  <si>
    <t>4.74209753751786</t>
  </si>
  <si>
    <t>6.20437307255557</t>
  </si>
  <si>
    <t>7.59993178976686</t>
  </si>
  <si>
    <t>8.04554335193663</t>
  </si>
  <si>
    <t>9.50213933746554</t>
  </si>
  <si>
    <t>6.45777551561679</t>
  </si>
  <si>
    <t>5.62491786511249</t>
  </si>
  <si>
    <t>5.19871332953932</t>
  </si>
  <si>
    <t>5.99301610369258</t>
  </si>
  <si>
    <t>4.11437045422589</t>
  </si>
  <si>
    <t>5.58062878744539</t>
  </si>
  <si>
    <t>6.71666844180592</t>
  </si>
  <si>
    <t>5.35528990224338</t>
  </si>
  <si>
    <t>3.47278360488259</t>
  </si>
  <si>
    <t>4.94977305907392</t>
  </si>
  <si>
    <t>2.96299586752589</t>
  </si>
  <si>
    <t>2.95099747866612</t>
  </si>
  <si>
    <t>2.43694807558032</t>
  </si>
  <si>
    <t>1.52685492085918</t>
  </si>
  <si>
    <t>2.9647607154772</t>
  </si>
  <si>
    <t>2.99968065945104</t>
  </si>
  <si>
    <t>3.64187152255646</t>
  </si>
  <si>
    <t>3.47909296982908</t>
  </si>
  <si>
    <t>2.75708451946717</t>
  </si>
  <si>
    <t>2.52494309684019</t>
  </si>
  <si>
    <t>1.81391843002299</t>
  </si>
  <si>
    <t>0.960435623684603</t>
  </si>
  <si>
    <t>1.26254419605465</t>
  </si>
  <si>
    <t>0.482061857743417</t>
  </si>
  <si>
    <t>0.219322650024296</t>
  </si>
  <si>
    <t>1.36731401336769</t>
  </si>
  <si>
    <t>1.93728367228805</t>
  </si>
  <si>
    <t>1.10421508890414</t>
  </si>
  <si>
    <t>1.26700272386712</t>
  </si>
  <si>
    <t>1.72796220966988</t>
  </si>
  <si>
    <t>2.53196772218678</t>
  </si>
  <si>
    <t>2.04461988969157</t>
  </si>
  <si>
    <t>2.2592709576015</t>
  </si>
  <si>
    <t>1.93379073721434</t>
  </si>
  <si>
    <t>1.73939285831332</t>
  </si>
  <si>
    <t>0.891338457893553</t>
  </si>
  <si>
    <t>1.81993753082695</t>
  </si>
  <si>
    <t>2.09166482584344</t>
  </si>
  <si>
    <t>1.70872300692841</t>
  </si>
  <si>
    <t>2.00674390270015</t>
  </si>
  <si>
    <t>2.29263492397251</t>
  </si>
  <si>
    <t>1.81475079739224</t>
  </si>
  <si>
    <t>0.975317709275998</t>
  </si>
  <si>
    <t>1.81048023343624</t>
  </si>
  <si>
    <t>1.47368476959242</t>
  </si>
  <si>
    <t>2.59313274910787</t>
  </si>
  <si>
    <t>1.92612910926519</t>
  </si>
  <si>
    <t>4.75477834804261</t>
  </si>
  <si>
    <t>6.64765341628686</t>
  </si>
  <si>
    <t>83.5495126683364</t>
  </si>
  <si>
    <t>1065.32923018531</t>
  </si>
  <si>
    <t>747.12452012683</t>
  </si>
  <si>
    <t>1386.06739767987</t>
  </si>
  <si>
    <t>545.656352266205</t>
  </si>
  <si>
    <t>26.4191629382316</t>
  </si>
  <si>
    <t>9.24250444099582</t>
  </si>
  <si>
    <t>-0.96513336719066</t>
  </si>
  <si>
    <t>2.16214167529371</t>
  </si>
  <si>
    <t>12.4927738128452</t>
  </si>
  <si>
    <t>2.51501022581932</t>
  </si>
  <si>
    <t>4.21438623360075</t>
  </si>
  <si>
    <t>6.96146570847378</t>
  </si>
  <si>
    <t>9.25196510735844</t>
  </si>
  <si>
    <t>14.7234965182528</t>
  </si>
  <si>
    <t>11.3012191438311</t>
  </si>
  <si>
    <t>21.0293287543152</t>
  </si>
  <si>
    <t>27.777459536561</t>
  </si>
  <si>
    <t>-18.8449572890202</t>
  </si>
  <si>
    <t>13.5458167908374</t>
  </si>
  <si>
    <t>22.524361140543</t>
  </si>
  <si>
    <t>2.88293295403217</t>
  </si>
  <si>
    <t>0.445064509020867</t>
  </si>
  <si>
    <t>-1.28499552026639</t>
  </si>
  <si>
    <t>-8.84969256895297</t>
  </si>
  <si>
    <t>14.6714002511137</t>
  </si>
  <si>
    <t>16.1724003104411</t>
  </si>
  <si>
    <t>12.1848769569655</t>
  </si>
  <si>
    <t>-0.241307927446329</t>
  </si>
  <si>
    <t>-7.39596582740913</t>
  </si>
  <si>
    <t>21.5888241949245</t>
  </si>
  <si>
    <t>37.2705611565603</t>
  </si>
  <si>
    <t>-9.20663944963042</t>
  </si>
  <si>
    <t>20.0774363431424</t>
  </si>
  <si>
    <t>-3.56741645307069</t>
  </si>
  <si>
    <t>4.68714930026979</t>
  </si>
  <si>
    <t>5.4172175752595</t>
  </si>
  <si>
    <t>-1.02936377839632</t>
  </si>
  <si>
    <t>3.15203396174695</t>
  </si>
  <si>
    <t>-5.31798617192774</t>
  </si>
  <si>
    <t>3.05681315002275</t>
  </si>
  <si>
    <t>5.36187983493693</t>
  </si>
  <si>
    <t>5.18451180666659</t>
  </si>
  <si>
    <t>1.38021894639897</t>
  </si>
  <si>
    <t>4.29080997127038</t>
  </si>
  <si>
    <t>5.51044247050103</t>
  </si>
  <si>
    <t>12.4551776403177</t>
  </si>
  <si>
    <t>21.0869057883016</t>
  </si>
  <si>
    <t>8.0749482461168</t>
  </si>
  <si>
    <t>14.3041256060103</t>
  </si>
  <si>
    <t>12.5077052224577</t>
  </si>
  <si>
    <t>26.1307076116281</t>
  </si>
  <si>
    <t>16.3840243620867</t>
  </si>
  <si>
    <t>-6.0633150865134</t>
  </si>
  <si>
    <t>5.67202154795532</t>
  </si>
  <si>
    <t>6.4285488030003</t>
  </si>
  <si>
    <t>17.2161949890367</t>
  </si>
  <si>
    <t>5.06883898015293</t>
  </si>
  <si>
    <t>-4.25741423815771</t>
  </si>
  <si>
    <t>-3.41779507858824</t>
  </si>
  <si>
    <t>3.49122270126601</t>
  </si>
  <si>
    <t>14.7571848169704</t>
  </si>
  <si>
    <t>5.98556154520156</t>
  </si>
  <si>
    <t>4.09314079275475</t>
  </si>
  <si>
    <t>5.40176069954681</t>
  </si>
  <si>
    <t>7.74264567579905</t>
  </si>
  <si>
    <t>6.63844545647953</t>
  </si>
  <si>
    <t>14.4531114060499</t>
  </si>
  <si>
    <t>32.3977892307747</t>
  </si>
  <si>
    <t>11.4505560048054</t>
  </si>
  <si>
    <t>14.9541402608853</t>
  </si>
  <si>
    <t>38.9448932030909</t>
  </si>
  <si>
    <t>13.7164067920133</t>
  </si>
  <si>
    <t>1.02785857373888</t>
  </si>
  <si>
    <t>11.9457486448591</t>
  </si>
  <si>
    <t>13.1461593314354</t>
  </si>
  <si>
    <t>18.8415894769233</t>
  </si>
  <si>
    <t>2.84566633376673</t>
  </si>
  <si>
    <t>8.27337562886336</t>
  </si>
  <si>
    <t>24.2157937434401</t>
  </si>
  <si>
    <t>10.4587965254196</t>
  </si>
  <si>
    <t>8.56155516425477</t>
  </si>
  <si>
    <t>8.36425019828808</t>
  </si>
  <si>
    <t>14.294071682425</t>
  </si>
  <si>
    <t>7.9531039994456</t>
  </si>
  <si>
    <t>5.30565602774391</t>
  </si>
  <si>
    <t>21.3187470230149</t>
  </si>
  <si>
    <t>0.97317644189674</t>
  </si>
  <si>
    <t>11.4491826066034</t>
  </si>
  <si>
    <t>-2.85085930198137</t>
  </si>
  <si>
    <t>0.851867434051655</t>
  </si>
  <si>
    <t>5.9665023314011</t>
  </si>
  <si>
    <t>8.51671971494707</t>
  </si>
  <si>
    <t>18.3317223148693</t>
  </si>
  <si>
    <t>11.3760314899613</t>
  </si>
  <si>
    <t>1.31546869427677</t>
  </si>
  <si>
    <t>1.66769194647161</t>
  </si>
  <si>
    <t>3.02579670028393</t>
  </si>
  <si>
    <t>4.64242655848656</t>
  </si>
  <si>
    <t>5.10071293696193</t>
  </si>
  <si>
    <t>4.08601493307428</t>
  </si>
  <si>
    <t>3.19343093712614</t>
  </si>
  <si>
    <t>2.62028927660216</t>
  </si>
  <si>
    <t>4.02382631115445</t>
  </si>
  <si>
    <t>4.54619573897246</t>
  </si>
  <si>
    <t>5.35821760989761</t>
  </si>
  <si>
    <t>6.31781973169122</t>
  </si>
  <si>
    <t>6.80698646513234</t>
  </si>
  <si>
    <t>12.1683398872165</t>
  </si>
  <si>
    <t>12.8897229515416</t>
  </si>
  <si>
    <t>7.57526346822965</t>
  </si>
  <si>
    <t>7.47805988572962</t>
  </si>
  <si>
    <t>4.42325022360627</t>
  </si>
  <si>
    <t>4.50524106489813</t>
  </si>
  <si>
    <t>4.12659694695165</t>
  </si>
  <si>
    <t>5.13919687490983</t>
  </si>
  <si>
    <t>7.57041621451407</t>
  </si>
  <si>
    <t>5.6128505058284</t>
  </si>
  <si>
    <t>5.43871721514574</t>
  </si>
  <si>
    <t>4.62774245535957</t>
  </si>
  <si>
    <t>2.79678045159528</t>
  </si>
  <si>
    <t>1.68411135983652</t>
  </si>
  <si>
    <t>2.16898958166314</t>
  </si>
  <si>
    <t>4.79745782559817</t>
  </si>
  <si>
    <t>2.81240338876658</t>
  </si>
  <si>
    <t>2.87662434854509</t>
  </si>
  <si>
    <t>3.42452490217883</t>
  </si>
  <si>
    <t>3.99323167580741</t>
  </si>
  <si>
    <t>2.09430476426498</t>
  </si>
  <si>
    <t>1.22076972852592</t>
  </si>
  <si>
    <t>0.476638129958133</t>
  </si>
  <si>
    <t>0.75761089644017</t>
  </si>
  <si>
    <t>1.80561954635252</t>
  </si>
  <si>
    <t>0.598922412877229</t>
  </si>
  <si>
    <t>2.01459203440002</t>
  </si>
  <si>
    <t>1.98281815411856</t>
  </si>
  <si>
    <t>1.63999827941501</t>
  </si>
  <si>
    <t>1.85011616570733</t>
  </si>
  <si>
    <t>1.91498852327605</t>
  </si>
  <si>
    <t>2.08307330437046</t>
  </si>
  <si>
    <t>2.26471638352143</t>
  </si>
  <si>
    <t>1.9316781494056</t>
  </si>
  <si>
    <t>1.90886955920959</t>
  </si>
  <si>
    <t>0.781821008464917</t>
  </si>
  <si>
    <t>1.70310453341449</t>
  </si>
  <si>
    <t>2.29252176896657</t>
  </si>
  <si>
    <t>2.20573636168733</t>
  </si>
  <si>
    <t>1.41248972600334</t>
  </si>
  <si>
    <t>0.840395739536802</t>
  </si>
  <si>
    <t>1.12183847077587</t>
  </si>
  <si>
    <t>1.89528922644591</t>
  </si>
  <si>
    <t>1.98316339488014</t>
  </si>
  <si>
    <t>1.71728226802716</t>
  </si>
  <si>
    <t>1.85424074414335</t>
  </si>
  <si>
    <t>1.59611666393067</t>
  </si>
  <si>
    <t>2.7426355945688</t>
  </si>
  <si>
    <t>6.84397975156924</t>
  </si>
  <si>
    <t>4.508102848783</t>
  </si>
  <si>
    <t>1.04143567396571</t>
  </si>
  <si>
    <t>3.7805611339427</t>
  </si>
  <si>
    <t>2.54904113694245</t>
  </si>
  <si>
    <t>-0.363671991954803</t>
  </si>
  <si>
    <t>2.05762046368159</t>
  </si>
  <si>
    <t>1.13666559901029</t>
  </si>
  <si>
    <t>0.141072430094951</t>
  </si>
  <si>
    <t>3.27352495312587</t>
  </si>
  <si>
    <t>3.4541955241058</t>
  </si>
  <si>
    <t>5.04704693755775</t>
  </si>
  <si>
    <t>1.57328377262995</t>
  </si>
  <si>
    <t>5.31722607727731</t>
  </si>
  <si>
    <t>4.82273994136393</t>
  </si>
  <si>
    <t>14.9207099075904</t>
  </si>
  <si>
    <t>14.2469357612696</t>
  </si>
  <si>
    <t>14.0354300183818</t>
  </si>
  <si>
    <t>5.17688681033776</t>
  </si>
  <si>
    <t>12.3344589560374</t>
  </si>
  <si>
    <t>13.0046858245988</t>
  </si>
  <si>
    <t>10.1878198573196</t>
  </si>
  <si>
    <t>7.4689482651344</t>
  </si>
  <si>
    <t>16.148284015281</t>
  </si>
  <si>
    <t>4.74620974295648</t>
  </si>
  <si>
    <t>1.95358095750957</t>
  </si>
  <si>
    <t>-4.8769817363666</t>
  </si>
  <si>
    <t>-3.6041725823892</t>
  </si>
  <si>
    <t>3.02845985259779</t>
  </si>
  <si>
    <t>-0.610506907481181</t>
  </si>
  <si>
    <t>2.2249344566343</t>
  </si>
  <si>
    <t>2.17659692554506</t>
  </si>
  <si>
    <t>0.756620150311463</t>
  </si>
  <si>
    <t>3.0251344649124</t>
  </si>
  <si>
    <t>2.37832182418319</t>
  </si>
  <si>
    <t>35.0301127836754</t>
  </si>
  <si>
    <t>15.0994519080227</t>
  </si>
  <si>
    <t>6.90729366487193</t>
  </si>
  <si>
    <t>3.66750917412438</t>
  </si>
  <si>
    <t>5.23160474756106</t>
  </si>
  <si>
    <t>48.3425433908146</t>
  </si>
  <si>
    <t>4.3410556635676</t>
  </si>
  <si>
    <t>1.97028558167254</t>
  </si>
  <si>
    <t>3.55421325456054</t>
  </si>
  <si>
    <t>3.06170412441227</t>
  </si>
  <si>
    <t>0.769711003809874</t>
  </si>
  <si>
    <t>4.29366413526147</t>
  </si>
  <si>
    <t>2.09431707279076</t>
  </si>
  <si>
    <t>0.390153238195737</t>
  </si>
  <si>
    <t>6.43415220578032</t>
  </si>
  <si>
    <t>2.53969206095486</t>
  </si>
  <si>
    <t>0.880885670477909</t>
  </si>
  <si>
    <t>3.73308304042652</t>
  </si>
  <si>
    <t>7.69890807691425</t>
  </si>
  <si>
    <t>1.39729839455183</t>
  </si>
  <si>
    <t>-0.247782653882282</t>
  </si>
  <si>
    <t>0.85150426118021</t>
  </si>
  <si>
    <t>0.683591111274652</t>
  </si>
  <si>
    <t>-0.367897725119164</t>
  </si>
  <si>
    <t>0.670447614217636</t>
  </si>
  <si>
    <t>-0.39755379308734</t>
  </si>
  <si>
    <t>2.87803228859791</t>
  </si>
  <si>
    <t>1.61872506665755</t>
  </si>
  <si>
    <t>4.13878000011482</t>
  </si>
  <si>
    <t>3.38546435195668</t>
  </si>
  <si>
    <t>1.90060824059779</t>
  </si>
  <si>
    <t>2.01037157042501</t>
  </si>
  <si>
    <t>5.14752475383766</t>
  </si>
  <si>
    <t>1.8122165810679</t>
  </si>
  <si>
    <t>-0.656072018182812</t>
  </si>
  <si>
    <t>2.30311694399366</t>
  </si>
  <si>
    <t>-4.41100840434797</t>
  </si>
  <si>
    <t>-0.263878695591529</t>
  </si>
  <si>
    <t>6.91315419325167</t>
  </si>
  <si>
    <t>1.78342721857652</t>
  </si>
  <si>
    <t>3.37747532556914</t>
  </si>
  <si>
    <t>7.29664525500058</t>
  </si>
  <si>
    <t>2.67785896654267</t>
  </si>
  <si>
    <t>11.0147093853435</t>
  </si>
  <si>
    <t>8.1761559668212</t>
  </si>
  <si>
    <t>6.72550567482627</t>
  </si>
  <si>
    <t>18.6619763309535</t>
  </si>
  <si>
    <t>14.5323255016216</t>
  </si>
  <si>
    <t>7.7535255123222</t>
  </si>
  <si>
    <t>8.69436852095804</t>
  </si>
  <si>
    <t>13.584619381945</t>
  </si>
  <si>
    <t>9.0465164203043</t>
  </si>
  <si>
    <t>5.40931696202939</t>
  </si>
  <si>
    <t>6.50108528918713</t>
  </si>
  <si>
    <t>0.757066710315698</t>
  </si>
  <si>
    <t>-6.34567686458379</t>
  </si>
  <si>
    <t>1.23732316838962</t>
  </si>
  <si>
    <t>3.40855660018133</t>
  </si>
  <si>
    <t>4.83162041216929</t>
  </si>
  <si>
    <t>1.81001541960049</t>
  </si>
  <si>
    <t>-3.96778074755804</t>
  </si>
  <si>
    <t>0.227059619996879</t>
  </si>
  <si>
    <t>-1.44183978328999</t>
  </si>
  <si>
    <t>14.6389618841227</t>
  </si>
  <si>
    <t>6.76956903796038</t>
  </si>
  <si>
    <t>0.348705151128442</t>
  </si>
  <si>
    <t>1.55619984983713</t>
  </si>
  <si>
    <t>7.94031603070835</t>
  </si>
  <si>
    <t>17.3908245064623</t>
  </si>
  <si>
    <t>-0.819773185220825</t>
  </si>
  <si>
    <t>3.96155291715017</t>
  </si>
  <si>
    <t>3.05698609068348</t>
  </si>
  <si>
    <t>1.48472881492427</t>
  </si>
  <si>
    <t>0.0906485898375564</t>
  </si>
  <si>
    <t>3.73938539728054</t>
  </si>
  <si>
    <t>-0.662826822466556</t>
  </si>
  <si>
    <t>2.49234918341701</t>
  </si>
  <si>
    <t>9.15980043749074</t>
  </si>
  <si>
    <t>2.40550487042772</t>
  </si>
  <si>
    <t>3.77961872815705</t>
  </si>
  <si>
    <t>6.73800480732596</t>
  </si>
  <si>
    <t>5.82399948795916</t>
  </si>
  <si>
    <t>-2.12917117768745</t>
  </si>
  <si>
    <t>-0.620386925840478</t>
  </si>
  <si>
    <t>-2.22395417919314</t>
  </si>
  <si>
    <t>2.60429919226561</t>
  </si>
  <si>
    <t>1.41629727998107</t>
  </si>
  <si>
    <t>1.07396688968345</t>
  </si>
  <si>
    <t>0.51290051556127</t>
  </si>
  <si>
    <t>6.46559578788029</t>
  </si>
  <si>
    <t>0.112863112943955</t>
  </si>
  <si>
    <t>5.88896511236759</t>
  </si>
  <si>
    <t>1.99804752407688</t>
  </si>
  <si>
    <t>6.25748157867088</t>
  </si>
  <si>
    <t>0.0222234958223737</t>
  </si>
  <si>
    <t>5.16405902184019</t>
  </si>
  <si>
    <t>-8.74322462414321</t>
  </si>
  <si>
    <t>7.93170495657343</t>
  </si>
  <si>
    <t>6.29618883406606</t>
  </si>
  <si>
    <t>14.7919634515746</t>
  </si>
  <si>
    <t>-5.7695843810757</t>
  </si>
  <si>
    <t>11.8277158013198</t>
  </si>
  <si>
    <t>0.510309048628059</t>
  </si>
  <si>
    <t>2.96325493220053</t>
  </si>
  <si>
    <t>4.40201965202864</t>
  </si>
  <si>
    <t>61.4057832765998</t>
  </si>
  <si>
    <t>44.5427168978939</t>
  </si>
  <si>
    <t>80.5697564038071</t>
  </si>
  <si>
    <t>-17.6304192925882</t>
  </si>
  <si>
    <t>-3.21015592855957</t>
  </si>
  <si>
    <t>25.6188855872458</t>
  </si>
  <si>
    <t>12.5645059899639</t>
  </si>
  <si>
    <t>17.55506709007</t>
  </si>
  <si>
    <t>9.89469031190922</t>
  </si>
  <si>
    <t>9.85581246334655</t>
  </si>
  <si>
    <t>8.48775587837945</t>
  </si>
  <si>
    <t>7.87556634908888</t>
  </si>
  <si>
    <t>18.4951156996356</t>
  </si>
  <si>
    <t>8.25440489427334</t>
  </si>
  <si>
    <t>11.1196311686194</t>
  </si>
  <si>
    <t>7.49583529710168</t>
  </si>
  <si>
    <t>8.337973249846</t>
  </si>
  <si>
    <t>6.53273529225868</t>
  </si>
  <si>
    <t>2.72953199538708</t>
  </si>
  <si>
    <t>2.58216189991052</t>
  </si>
  <si>
    <t>0.155518172723973</t>
  </si>
  <si>
    <t>3.96621631555998</t>
  </si>
  <si>
    <t>7.14493870340395</t>
  </si>
  <si>
    <t>19.1432131128285</t>
  </si>
  <si>
    <t>3.80023220091314</t>
  </si>
  <si>
    <t>4.73621256184072</t>
  </si>
  <si>
    <t>3.78103773665002</t>
  </si>
  <si>
    <t>3.44665934914798</t>
  </si>
  <si>
    <t>3.26116013222439</t>
  </si>
  <si>
    <t>3.8928674350377</t>
  </si>
  <si>
    <t>5.81581664789621</t>
  </si>
  <si>
    <t>4.5621363796936</t>
  </si>
  <si>
    <t>4.58636070641845</t>
  </si>
  <si>
    <t>5.87593581109938</t>
  </si>
  <si>
    <t>6.47126010502515</t>
  </si>
  <si>
    <t>7.86096609394262</t>
  </si>
  <si>
    <t>6.76435468091874</t>
  </si>
  <si>
    <t>7.14466302810841</t>
  </si>
  <si>
    <t>7.85945085272492</t>
  </si>
  <si>
    <t>8.16457367624635</t>
  </si>
  <si>
    <t>7.17495343232414</t>
  </si>
  <si>
    <t>5.66878852513904</t>
  </si>
  <si>
    <t>5.87277704102323</t>
  </si>
  <si>
    <t>27.8507377248339</t>
  </si>
  <si>
    <t>5.04759758203714</t>
  </si>
  <si>
    <t>5.80553876704575</t>
  </si>
  <si>
    <t>3.65813755162172</t>
  </si>
  <si>
    <t>3.84106338588026</t>
  </si>
  <si>
    <t>4.1211747067957</t>
  </si>
  <si>
    <t>5.04902187883131</t>
  </si>
  <si>
    <t>6.89712404003441</t>
  </si>
  <si>
    <t>2.82093836829875</t>
  </si>
  <si>
    <t>1.9164728045925</t>
  </si>
  <si>
    <t>-0.645271729639816</t>
  </si>
  <si>
    <t>2.73674849638195</t>
  </si>
  <si>
    <t>0.229177128441023</t>
  </si>
  <si>
    <t>1.34548961532425</t>
  </si>
  <si>
    <t>0.0638388002034702</t>
  </si>
  <si>
    <t>-5.38974383656908</t>
  </si>
  <si>
    <t>6.72968413426919</t>
  </si>
  <si>
    <t>26.188000659147</t>
  </si>
  <si>
    <t>226.537859856257</t>
  </si>
  <si>
    <t>59.5786493866892</t>
  </si>
  <si>
    <t>51.0910538964772</t>
  </si>
  <si>
    <t>72.7049682379487</t>
  </si>
  <si>
    <t>135.955619033174</t>
  </si>
  <si>
    <t>62.9662451838659</t>
  </si>
  <si>
    <t>913.213096376198</t>
  </si>
  <si>
    <t>33.9510300748266</t>
  </si>
  <si>
    <t>3.31913809004136</t>
  </si>
  <si>
    <t>7.38083885101</t>
  </si>
  <si>
    <t>6.11773237385735</t>
  </si>
  <si>
    <t>3.84837869171173</t>
  </si>
  <si>
    <t>2.18941082692299</t>
  </si>
  <si>
    <t>5.58155791993171</t>
  </si>
  <si>
    <t>6.59425897441935</t>
  </si>
  <si>
    <t>6.75647490079174</t>
  </si>
  <si>
    <t>11.0514316831737</t>
  </si>
  <si>
    <t>8.10345619465454</t>
  </si>
  <si>
    <t>3.9380183620588</t>
  </si>
  <si>
    <t>0.764129878916592</t>
  </si>
  <si>
    <t>6.11283035981589</t>
  </si>
  <si>
    <t>1.11217885256747</t>
  </si>
  <si>
    <t>0.0719518095394278</t>
  </si>
  <si>
    <t>1.34078287386647</t>
  </si>
  <si>
    <t>2.94774648723617</t>
  </si>
  <si>
    <t>3.32355920411145</t>
  </si>
  <si>
    <t>4.81312131224342</t>
  </si>
  <si>
    <t>4.25525729817191</t>
  </si>
  <si>
    <t>5.23548704810747</t>
  </si>
  <si>
    <t>4.34103862385629</t>
  </si>
  <si>
    <t>6.96662433933332</t>
  </si>
  <si>
    <t>15.9183596891222</t>
  </si>
  <si>
    <t>7.98419924336682</t>
  </si>
  <si>
    <t>5.79964857386999</t>
  </si>
  <si>
    <t>5.21139975174552</t>
  </si>
  <si>
    <t>13.9800997035499</t>
  </si>
  <si>
    <t>24.6854163593515</t>
  </si>
  <si>
    <t>15.9057993765104</t>
  </si>
  <si>
    <t>10.3223718714327</t>
  </si>
  <si>
    <t>11.2976030457294</t>
  </si>
  <si>
    <t>7.68712128208571</t>
  </si>
  <si>
    <t>13.5122278303138</t>
  </si>
  <si>
    <t>18.9117650195847</t>
  </si>
  <si>
    <t>13.723994141722</t>
  </si>
  <si>
    <t>-3.68996713845982</t>
  </si>
  <si>
    <t>-0.418480086865131</t>
  </si>
  <si>
    <t>-1.82499453259432</t>
  </si>
  <si>
    <t>-17.3926503148808</t>
  </si>
  <si>
    <t>0.659048458704106</t>
  </si>
  <si>
    <t>2.00942771420604</t>
  </si>
  <si>
    <t>3.97466040979498</t>
  </si>
  <si>
    <t>4.82669555236323</t>
  </si>
  <si>
    <t>-1.88252400246994</t>
  </si>
  <si>
    <t>-3.53265287221519</t>
  </si>
  <si>
    <t>-3.02581476787157</t>
  </si>
  <si>
    <t>7.33118744403285</t>
  </si>
  <si>
    <t>1.09067017528857</t>
  </si>
  <si>
    <t>0.196720000526128</t>
  </si>
  <si>
    <t>0.931716358623348</t>
  </si>
  <si>
    <t>-7.05741107773432</t>
  </si>
  <si>
    <t>2.65643643982591</t>
  </si>
  <si>
    <t>14.3225233904652</t>
  </si>
  <si>
    <t>-3.36382791997714</t>
  </si>
  <si>
    <t>3.41434955563101</t>
  </si>
  <si>
    <t>8.60258061783617</t>
  </si>
  <si>
    <t>10.9910846225111</t>
  </si>
  <si>
    <t>13.7349678263372</t>
  </si>
  <si>
    <t>8.84243671557729</t>
  </si>
  <si>
    <t>8.43563269466976</t>
  </si>
  <si>
    <t>11.3650919229748</t>
  </si>
  <si>
    <t>-12.9939412103814</t>
  </si>
  <si>
    <t>9.48596325068939</t>
  </si>
  <si>
    <t>2.93394725551211</t>
  </si>
  <si>
    <t>0.499828956383851</t>
  </si>
  <si>
    <t>-1.44043683471969</t>
  </si>
  <si>
    <t>-8.75667340246945</t>
  </si>
  <si>
    <t>0.35724777804711</t>
  </si>
  <si>
    <t>4.61583421430929</t>
  </si>
  <si>
    <t>4.21271352571605</t>
  </si>
  <si>
    <t>0.164802199458762</t>
  </si>
  <si>
    <t>-5.8288484641256</t>
  </si>
  <si>
    <t>9.20840263580602</t>
  </si>
  <si>
    <t>7.84929462083215</t>
  </si>
  <si>
    <t>-4.14375165818939</t>
  </si>
  <si>
    <t>1.16060127946953</t>
  </si>
  <si>
    <t>1.08963254329397</t>
  </si>
  <si>
    <t>1.34376417302924</t>
  </si>
  <si>
    <t>1.50530105203264</t>
  </si>
  <si>
    <t>2.01172774571943</t>
  </si>
  <si>
    <t>3.77131853984707</t>
  </si>
  <si>
    <t>4.71307253846376</t>
  </si>
  <si>
    <t>5.16348079645223</t>
  </si>
  <si>
    <t>8.92537280104706</t>
  </si>
  <si>
    <t>6.14534565612223</t>
  </si>
  <si>
    <t>4.58255157948102</t>
  </si>
  <si>
    <t>6.78665890094263</t>
  </si>
  <si>
    <t>5.55102347676812</t>
  </si>
  <si>
    <t>13.2327069818163</t>
  </si>
  <si>
    <t>10.6563782684998</t>
  </si>
  <si>
    <t>2.38966526710907</t>
  </si>
  <si>
    <t>1.72870303781684</t>
  </si>
  <si>
    <t>2.2478837709413</t>
  </si>
  <si>
    <t>8.5540965371676</t>
  </si>
  <si>
    <t>10.0068656202029</t>
  </si>
  <si>
    <t>17.68832770698</t>
  </si>
  <si>
    <t>3.6950075490398</t>
  </si>
  <si>
    <t>5.97696702414777</t>
  </si>
  <si>
    <t>3.17143545923837</t>
  </si>
  <si>
    <t>8.46072715196375</t>
  </si>
  <si>
    <t>4.66038702363605</t>
  </si>
  <si>
    <t>6.58634765784333</t>
  </si>
  <si>
    <t>1.48431064242516</t>
  </si>
  <si>
    <t>1.81317132899601</t>
  </si>
  <si>
    <t>5.07371104738799</t>
  </si>
  <si>
    <t>2.556539887887</t>
  </si>
  <si>
    <t>3.90556543657969</t>
  </si>
  <si>
    <t>-0.851983747862761</t>
  </si>
  <si>
    <t>2.18336657794642</t>
  </si>
  <si>
    <t>0.802435337290049</t>
  </si>
  <si>
    <t>0.984243640773144</t>
  </si>
  <si>
    <t>73.2294702373079</t>
  </si>
  <si>
    <t>3.04892132747692</t>
  </si>
  <si>
    <t>4.95093892443033</t>
  </si>
  <si>
    <t>0.92270742527738</t>
  </si>
  <si>
    <t>0.353150704560917</t>
  </si>
  <si>
    <t>3.96047432502201</t>
  </si>
  <si>
    <t>1.15487905427804</t>
  </si>
  <si>
    <t>1.19499759116476</t>
  </si>
  <si>
    <t>5.05600839849254</t>
  </si>
  <si>
    <t>0.828194507426659</t>
  </si>
  <si>
    <t>2.94796581175521</t>
  </si>
  <si>
    <t>1.48861068805519</t>
  </si>
  <si>
    <t>-1.03638031397996</t>
  </si>
  <si>
    <t>-0.392565565624793</t>
  </si>
  <si>
    <t>-0.858605322784499</t>
  </si>
  <si>
    <t>3.35553252540916</t>
  </si>
  <si>
    <t>-0.169413674488652</t>
  </si>
  <si>
    <t>3.64817136334401</t>
  </si>
  <si>
    <t>5.30893214629577</t>
  </si>
  <si>
    <t>1.60448975573296</t>
  </si>
  <si>
    <t>1.34831042029538</t>
  </si>
  <si>
    <t>0.456170832413122</t>
  </si>
  <si>
    <t>4.59340787218045</t>
  </si>
  <si>
    <t>-2.6348030197491</t>
  </si>
  <si>
    <t>-1.07183744667745</t>
  </si>
  <si>
    <t>4.30104615816353</t>
  </si>
  <si>
    <t>6.34442014479342</t>
  </si>
  <si>
    <t>48.4724077601571</t>
  </si>
  <si>
    <t>1362.0287835516</t>
  </si>
  <si>
    <t>7544.81368150569</t>
  </si>
  <si>
    <t>49.1182675614766</t>
  </si>
  <si>
    <t>13.3824463507885</t>
  </si>
  <si>
    <t>1.63963391457347</t>
  </si>
  <si>
    <t>11.1492939468364</t>
  </si>
  <si>
    <t>-2.4396946739963</t>
  </si>
  <si>
    <t>8.43332373993806</t>
  </si>
  <si>
    <t>30.3325930267657</t>
  </si>
  <si>
    <t>4.72611761621648</t>
  </si>
  <si>
    <t>5.00786637251515</t>
  </si>
  <si>
    <t>1.41086147967751</t>
  </si>
  <si>
    <t>2.16197157775764</t>
  </si>
  <si>
    <t>6.18901576798206</t>
  </si>
  <si>
    <t>7.80012735973601</t>
  </si>
  <si>
    <t>6.19756939107606</t>
  </si>
  <si>
    <t>7.33535128597794</t>
  </si>
  <si>
    <t>0.18546652937485</t>
  </si>
  <si>
    <t>1.40629396620604</t>
  </si>
  <si>
    <t>2.43252790824482</t>
  </si>
  <si>
    <t>0.795773347301477</t>
  </si>
  <si>
    <t>-0.224122003175367</t>
  </si>
  <si>
    <t>1.00033721930362</t>
  </si>
  <si>
    <t>1.36573070914964</t>
  </si>
  <si>
    <t>1.33330596746471</t>
  </si>
  <si>
    <t>1.77870702677497</t>
  </si>
  <si>
    <t>2.79162490401892</t>
  </si>
  <si>
    <t>2.47150468459363</t>
  </si>
  <si>
    <t>0.0621425496305932</t>
  </si>
  <si>
    <t>4.96460441570017</t>
  </si>
  <si>
    <t>11.8088401064015</t>
  </si>
  <si>
    <t>6.76270435629395</t>
  </si>
  <si>
    <t>110.376705259785</t>
  </si>
  <si>
    <t>1030.7768106265</t>
  </si>
  <si>
    <t>1058.7144977475</t>
  </si>
  <si>
    <t>1945.7486042475</t>
  </si>
  <si>
    <t>661.504077120537</t>
  </si>
  <si>
    <t>53.7143273468705</t>
  </si>
  <si>
    <t>71.6495747331926</t>
  </si>
  <si>
    <t>76.5804464542025</t>
  </si>
  <si>
    <t>316.793434825199</t>
  </si>
  <si>
    <t>185.290760909447</t>
  </si>
  <si>
    <t>79.5345724468495</t>
  </si>
  <si>
    <t>44.8937388361962</t>
  </si>
  <si>
    <t>30.6853215603655</t>
  </si>
  <si>
    <t>22.675122504115</t>
  </si>
  <si>
    <t>18.9721605296381</t>
  </si>
  <si>
    <t>10.7486157350723</t>
  </si>
  <si>
    <t>12.8727022297205</t>
  </si>
  <si>
    <t>21.2135361351524</t>
  </si>
  <si>
    <t>9.25866190363965</t>
  </si>
  <si>
    <t>11.3403098820796</t>
  </si>
  <si>
    <t>70.7612909673781</t>
  </si>
  <si>
    <t>75.2416666493216</t>
  </si>
  <si>
    <t>21.263000253545</t>
  </si>
  <si>
    <t>18.1922024446735</t>
  </si>
  <si>
    <t>16.0231277230064</t>
  </si>
  <si>
    <t>8.34168809944582</t>
  </si>
  <si>
    <t>8.62294196692545</t>
  </si>
  <si>
    <t>12.1397170957777</t>
  </si>
  <si>
    <t>8.57664221529303</t>
  </si>
  <si>
    <t>11.8776975676281</t>
  </si>
  <si>
    <t>15.3264196397445</t>
  </si>
  <si>
    <t>14.8848623664839</t>
  </si>
  <si>
    <t>7.36823053571227</t>
  </si>
  <si>
    <t>1.76302704632303</t>
  </si>
  <si>
    <t>1.35696450638156</t>
  </si>
  <si>
    <t>0.937659309925181</t>
  </si>
  <si>
    <t>2.13617110596674</t>
  </si>
  <si>
    <t>5.61061422339853</t>
  </si>
  <si>
    <t>5.7739337057622</t>
  </si>
  <si>
    <t>3.12244366461177</t>
  </si>
  <si>
    <t>1.679358127299</t>
  </si>
  <si>
    <t>0.215932315119844</t>
  </si>
  <si>
    <t>7.36964236602419</t>
  </si>
  <si>
    <t>5.06390361694</t>
  </si>
  <si>
    <t>-1.23523507979597</t>
  </si>
  <si>
    <t>14.6762708805407</t>
  </si>
  <si>
    <t>21.7106229145247</t>
  </si>
  <si>
    <t>16.8772914345555</t>
  </si>
  <si>
    <t>1.15748444536293</t>
  </si>
  <si>
    <t>2.24249533399528</t>
  </si>
  <si>
    <t>7.34918198994508</t>
  </si>
  <si>
    <t>3.58543427956945</t>
  </si>
  <si>
    <t>51.2506539571552</t>
  </si>
  <si>
    <t>0.166294336518447</t>
  </si>
  <si>
    <t>-4.57697224475748</t>
  </si>
  <si>
    <t>7.78637947458508</t>
  </si>
  <si>
    <t>8.61083463584158</t>
  </si>
  <si>
    <t>-2.03638565504288</t>
  </si>
  <si>
    <t>3.70728475414255</t>
  </si>
  <si>
    <t>7.59188821865718</t>
  </si>
  <si>
    <t>3.44233798532821</t>
  </si>
  <si>
    <t>3.11070679813454</t>
  </si>
  <si>
    <t>-0.0299159891442002</t>
  </si>
  <si>
    <t>-2.3721033117321</t>
  </si>
  <si>
    <t>3.43668966895795</t>
  </si>
  <si>
    <t>1.87610848225768</t>
  </si>
  <si>
    <t>2.60383658195195</t>
  </si>
  <si>
    <t>5.28170880963582</t>
  </si>
  <si>
    <t>2.74603158310431</t>
  </si>
  <si>
    <t>-1.52046077562431</t>
  </si>
  <si>
    <t>2.43785985479757</t>
  </si>
  <si>
    <t>-1.65702215463904</t>
  </si>
  <si>
    <t>1.44428759552335</t>
  </si>
  <si>
    <t>-1.9214546052185</t>
  </si>
  <si>
    <t>0.691897818951915</t>
  </si>
  <si>
    <t>-4.10750365836</t>
  </si>
  <si>
    <t>2.14174873146229</t>
  </si>
  <si>
    <t>3.00344412152837</t>
  </si>
  <si>
    <t>3.22145168702571</t>
  </si>
  <si>
    <t>3.80629927037283</t>
  </si>
  <si>
    <t>3.60557468225117</t>
  </si>
  <si>
    <t>-2.51886906561739</t>
  </si>
  <si>
    <t>2.2485368571529</t>
  </si>
  <si>
    <t>4.91658876106118</t>
  </si>
  <si>
    <t>0.741764529847956</t>
  </si>
  <si>
    <t>1.92028288137456</t>
  </si>
  <si>
    <t>1.11425408928791</t>
  </si>
  <si>
    <t>-0.304580065916582</t>
  </si>
  <si>
    <t>2.09427966302344</t>
  </si>
  <si>
    <t>3.03291030935591</t>
  </si>
  <si>
    <t>0.0777284726732006</t>
  </si>
  <si>
    <t>-0.11783540640397</t>
  </si>
  <si>
    <t>-0.652000223707887</t>
  </si>
  <si>
    <t>0.630768469073601</t>
  </si>
  <si>
    <t>7.25244797063618</t>
  </si>
  <si>
    <t>6.50970161380764</t>
  </si>
  <si>
    <t>0.939036548137139</t>
  </si>
  <si>
    <t>0.976544491119895</t>
  </si>
  <si>
    <t>1.27080143898519</t>
  </si>
  <si>
    <t>0.461053047919037</t>
  </si>
  <si>
    <t>1.46112298152146</t>
  </si>
  <si>
    <t>2.60861104007444</t>
  </si>
  <si>
    <t>3.48033559332201</t>
  </si>
  <si>
    <t>8.98161462654834</t>
  </si>
  <si>
    <t>6.28106312240102</t>
  </si>
  <si>
    <t>6.26951942625101</t>
  </si>
  <si>
    <t>9.54621154208391</t>
  </si>
  <si>
    <t>9.52577077506547</t>
  </si>
  <si>
    <t>12.812209651434</t>
  </si>
  <si>
    <t>14.9839477362144</t>
  </si>
  <si>
    <t>6.35702717701415</t>
  </si>
  <si>
    <t>2.78364922323371</t>
  </si>
  <si>
    <t>9.26910109909009</t>
  </si>
  <si>
    <t>4.91871023947657</t>
  </si>
  <si>
    <t>6.41536341744464</t>
  </si>
  <si>
    <t>9.85408705621815</t>
  </si>
  <si>
    <t>17.7093913080706</t>
  </si>
  <si>
    <t>12.2085919697942</t>
  </si>
  <si>
    <t>10.9973810679425</t>
  </si>
  <si>
    <t>10.2965524860844</t>
  </si>
  <si>
    <t>7.61408817849274</t>
  </si>
  <si>
    <t>5.83513671152525</t>
  </si>
  <si>
    <t>6.48815418331381</t>
  </si>
  <si>
    <t>4.89301397274433</t>
  </si>
  <si>
    <t>5.63671313382395</t>
  </si>
  <si>
    <t>6.03357232192793</t>
  </si>
  <si>
    <t>6.43059116205715</t>
  </si>
  <si>
    <t>2.81388110098526</t>
  </si>
  <si>
    <t>5.19630458908094</t>
  </si>
  <si>
    <t>1.95956796770183</t>
  </si>
  <si>
    <t>4.17846351515574</t>
  </si>
  <si>
    <t>29.3646976052491</t>
  </si>
  <si>
    <t>4.02390310161174</t>
  </si>
  <si>
    <t>2.74155110645576</t>
  </si>
  <si>
    <t>2.7121512028961</t>
  </si>
  <si>
    <t>-4.23635614734731</t>
  </si>
  <si>
    <t>-1.36919574128204</t>
  </si>
  <si>
    <t>8.58044229104615</t>
  </si>
  <si>
    <t>2.82473952065922</t>
  </si>
  <si>
    <t>4.6921425981385</t>
  </si>
  <si>
    <t>6.7623747376536</t>
  </si>
  <si>
    <t>19.5791618081038</t>
  </si>
  <si>
    <t>6.57489483173077</t>
  </si>
  <si>
    <t>5.10891410236363</t>
  </si>
  <si>
    <t>1.04358316995928</t>
  </si>
  <si>
    <t>2.23622200255707</t>
  </si>
  <si>
    <t>-1.15125598094265</t>
  </si>
  <si>
    <t>6.69820369155734</t>
  </si>
  <si>
    <t>1.65727319420499</t>
  </si>
  <si>
    <t>3.01189087721518</t>
  </si>
  <si>
    <t>2.95202006984243</t>
  </si>
  <si>
    <t>4.37320384221451</t>
  </si>
  <si>
    <t>-0.094833735989738</t>
  </si>
  <si>
    <t>1.6111169764896</t>
  </si>
  <si>
    <t>2.41935194490377</t>
  </si>
  <si>
    <t>-0.409804359592485</t>
  </si>
  <si>
    <t>0.361400030497762</t>
  </si>
  <si>
    <t>0.938226826481198</t>
  </si>
  <si>
    <t>4.10639245421443</t>
  </si>
  <si>
    <t>6.54817331154322</t>
  </si>
  <si>
    <t>3.561471052941</t>
  </si>
  <si>
    <t>0.824214669778314</t>
  </si>
  <si>
    <t>8.38594305461066</t>
  </si>
  <si>
    <t>5.89102517476303</t>
  </si>
  <si>
    <t>3.31587642784557</t>
  </si>
  <si>
    <t>6.2324586169217</t>
  </si>
  <si>
    <t>4.58848423666298</t>
  </si>
  <si>
    <t>3.71900826681724</t>
  </si>
  <si>
    <t>3.96056114383558</t>
  </si>
  <si>
    <t>2.53863226297418</t>
  </si>
  <si>
    <t>18.9777488047166</t>
  </si>
  <si>
    <t>42.9445090900202</t>
  </si>
  <si>
    <t>61.5459604674601</t>
  </si>
  <si>
    <t>6.69527765368763</t>
  </si>
  <si>
    <t>8.5989208742604</t>
  </si>
  <si>
    <t>12.5406184290034</t>
  </si>
  <si>
    <t>14.1038108089384</t>
  </si>
  <si>
    <t>19.7971736389825</t>
  </si>
  <si>
    <t>25.0487177686459</t>
  </si>
  <si>
    <t>29.4860941190977</t>
  </si>
  <si>
    <t>158.283333281687</t>
  </si>
  <si>
    <t>265.197668097752</t>
  </si>
  <si>
    <t>1443.39713629255</t>
  </si>
  <si>
    <t>12338.6601412904</t>
  </si>
  <si>
    <t>230.105222297583</t>
  </si>
  <si>
    <t>14.5841938205856</t>
  </si>
  <si>
    <t>17.5233370983455</t>
  </si>
  <si>
    <t>13.1864212723539</t>
  </si>
  <si>
    <t>16.2679419830218</t>
  </si>
  <si>
    <t>17.6894402203167</t>
  </si>
  <si>
    <t>13.1992044095149</t>
  </si>
  <si>
    <t>6.5571581914609</t>
  </si>
  <si>
    <t>7.95220772509668</t>
  </si>
  <si>
    <t>11.4272817104485</t>
  </si>
  <si>
    <t>11.5802068693934</t>
  </si>
  <si>
    <t>5.70504335822339</t>
  </si>
  <si>
    <t>7.05112676533632</t>
  </si>
  <si>
    <t>2.41156588906529</t>
  </si>
  <si>
    <t>5.19540520801752</t>
  </si>
  <si>
    <t>1.87009365776751</t>
  </si>
  <si>
    <t>2.82075739734616</t>
  </si>
  <si>
    <t>6.32999229252485</t>
  </si>
  <si>
    <t>7.96770950924268</t>
  </si>
  <si>
    <t>5.94079763021928</t>
  </si>
  <si>
    <t>13.6636795403543</t>
  </si>
  <si>
    <t>7.37335386111839</t>
  </si>
  <si>
    <t>10.381181762675</t>
  </si>
  <si>
    <t>-2.41989432827502</t>
  </si>
  <si>
    <t>8.77750811554523</t>
  </si>
  <si>
    <t>14.6023542400665</t>
  </si>
  <si>
    <t>7.10027550115058</t>
  </si>
  <si>
    <t>5.99538836854924</t>
  </si>
  <si>
    <t>2.04949764468354</t>
  </si>
  <si>
    <t>-4.62060229480602</t>
  </si>
  <si>
    <t>-1.3548705355405</t>
  </si>
  <si>
    <t>6.06139996076533</t>
  </si>
  <si>
    <t>3.05626590816588</t>
  </si>
  <si>
    <t>-0.693003422953112</t>
  </si>
  <si>
    <t>-1.85438658655737</t>
  </si>
  <si>
    <t>3.95611963961919</t>
  </si>
  <si>
    <t>5.12446446625671</t>
  </si>
  <si>
    <t>-0.505250428968196</t>
  </si>
  <si>
    <t>34.6178049419981</t>
  </si>
  <si>
    <t>50.2494544807889</t>
  </si>
  <si>
    <t>78.4174334561054</t>
  </si>
  <si>
    <t>89.5336653268287</t>
  </si>
  <si>
    <t>58.9331842000454</t>
  </si>
  <si>
    <t>37.9360979573494</t>
  </si>
  <si>
    <t>26.528941929666</t>
  </si>
  <si>
    <t>26.7067163627493</t>
  </si>
  <si>
    <t>20.0517842311481</t>
  </si>
  <si>
    <t>16.2551115402188</t>
  </si>
  <si>
    <t>19.3845851134334</t>
  </si>
  <si>
    <t>19.867091675534</t>
  </si>
  <si>
    <t>29.5803566969394</t>
  </si>
  <si>
    <t>34.6058549964615</t>
  </si>
  <si>
    <t>33.9294367418917</t>
  </si>
  <si>
    <t>41.2036240161754</t>
  </si>
  <si>
    <t>45.3980562145509</t>
  </si>
  <si>
    <t>38.227611227227</t>
  </si>
  <si>
    <t>54.365960027812</t>
  </si>
  <si>
    <t>92.1419446109039</t>
  </si>
  <si>
    <t>100.528877121889</t>
  </si>
  <si>
    <t>101.034394745721</t>
  </si>
  <si>
    <t>131.484045057202</t>
  </si>
  <si>
    <t>201.740282133397</t>
  </si>
  <si>
    <t>248.543659125921</t>
  </si>
  <si>
    <t>149.179318289698</t>
  </si>
  <si>
    <t>206.208708657138</t>
  </si>
  <si>
    <t>627.951470204274</t>
  </si>
  <si>
    <t>1304.42420943485</t>
  </si>
  <si>
    <t>2736.97067768831</t>
  </si>
  <si>
    <t>416.678093932004</t>
  </si>
  <si>
    <t>969.012962839962</t>
  </si>
  <si>
    <t>1996.15024717719</t>
  </si>
  <si>
    <t>2240.16886623198</t>
  </si>
  <si>
    <t>93.9780430551367</t>
  </si>
  <si>
    <t>18.4562437687673</t>
  </si>
  <si>
    <t>7.72902341184411</t>
  </si>
  <si>
    <t>4.92436158488788</t>
  </si>
  <si>
    <t>8.0105008831072</t>
  </si>
  <si>
    <t>5.60606514085735</t>
  </si>
  <si>
    <t>8.22509432125631</t>
  </si>
  <si>
    <t>9.79811223755975</t>
  </si>
  <si>
    <t>14.0910215230394</t>
  </si>
  <si>
    <t>7.75206076321267</t>
  </si>
  <si>
    <t>7.43122475252851</t>
  </si>
  <si>
    <t>6.77427411913297</t>
  </si>
  <si>
    <t>6.43903808702757</t>
  </si>
  <si>
    <t>8.7785527236756</t>
  </si>
  <si>
    <t>7.31348274592885</t>
  </si>
  <si>
    <t>8.42333833667878</t>
  </si>
  <si>
    <t>8.3185922188201</t>
  </si>
  <si>
    <t>7.9431269413538</t>
  </si>
  <si>
    <t>7.50456453292993</t>
  </si>
  <si>
    <t>7.84670974352809</t>
  </si>
  <si>
    <t>7.56617501207116</t>
  </si>
  <si>
    <t>8.10360435870246</t>
  </si>
  <si>
    <t>3.67138451275035</t>
  </si>
  <si>
    <t>4.49353433137021</t>
  </si>
  <si>
    <t>4.22425886899158</t>
  </si>
  <si>
    <t>6.47249960755747</t>
  </si>
  <si>
    <t>13.047270877833</t>
  </si>
  <si>
    <t>8.5702819532232</t>
  </si>
  <si>
    <t>4.65899475870381</t>
  </si>
  <si>
    <t>-0.947999269781036</t>
  </si>
  <si>
    <t>-4.63572064136059</t>
  </si>
  <si>
    <t>18.5347352010554</t>
  </si>
  <si>
    <t>-5.3774524989538</t>
  </si>
  <si>
    <t>-5.04522769808936</t>
  </si>
  <si>
    <t>3.63346668204332</t>
  </si>
  <si>
    <t>1.64735602390572</t>
  </si>
  <si>
    <t>7.7730420109187</t>
  </si>
  <si>
    <t>4.59091105629439</t>
  </si>
  <si>
    <t>7.34403675118362</t>
  </si>
  <si>
    <t>6.81246016963519</t>
  </si>
  <si>
    <t>9.89330334754608</t>
  </si>
  <si>
    <t>22.7741343187316</t>
  </si>
  <si>
    <t>31.4213942614682</t>
  </si>
  <si>
    <t>29.3607284286293</t>
  </si>
  <si>
    <t>3.02098255963466</t>
  </si>
  <si>
    <t>9.75033575653946</t>
  </si>
  <si>
    <t>6.71750617431934</t>
  </si>
  <si>
    <t>12.378333445183</t>
  </si>
  <si>
    <t>44.6781020487812</t>
  </si>
  <si>
    <t>12.2002890324817</t>
  </si>
  <si>
    <t>9.8457670839303</t>
  </si>
  <si>
    <t>5.66428865895905</t>
  </si>
  <si>
    <t>5.18324310134047</t>
  </si>
  <si>
    <t>3.51432724252501</t>
  </si>
  <si>
    <t>4.47349515734052</t>
  </si>
  <si>
    <t>7.33777019238275</t>
  </si>
  <si>
    <t>2.75735511474133</t>
  </si>
  <si>
    <t>6.82357775062113</t>
  </si>
  <si>
    <t>3.72830835473779</t>
  </si>
  <si>
    <t>4.49528291877914</t>
  </si>
  <si>
    <t>2.1223935897718</t>
  </si>
  <si>
    <t>5.19536641314413</t>
  </si>
  <si>
    <t>2.20984265586837</t>
  </si>
  <si>
    <t>1.01614920853137</t>
  </si>
  <si>
    <t>2.53841641959511</t>
  </si>
  <si>
    <t>0.916898497893698</t>
  </si>
  <si>
    <t>8.70325615354062</t>
  </si>
  <si>
    <t>4.43342351579936</t>
  </si>
  <si>
    <t>-1.32283915072432</t>
  </si>
  <si>
    <t>2.2553892518755</t>
  </si>
  <si>
    <t>0.907856236699956</t>
  </si>
  <si>
    <t>1.11587216720588</t>
  </si>
  <si>
    <t>5.82814413602402</t>
  </si>
  <si>
    <t>6.66772455718578</t>
  </si>
  <si>
    <t>4.09637073569277</t>
  </si>
  <si>
    <t>8.61226108302537</t>
  </si>
  <si>
    <t>1.80693487399488</t>
  </si>
  <si>
    <t>-1.82970441549448</t>
  </si>
  <si>
    <t>18.8527284822355</t>
  </si>
  <si>
    <t>3.66694041932899</t>
  </si>
  <si>
    <t>-1.01754183582014</t>
  </si>
  <si>
    <t>2.74359414985743</t>
  </si>
  <si>
    <t>0.00746353844473902</t>
  </si>
  <si>
    <t>-0.611165126966512</t>
  </si>
  <si>
    <t>-0.967050709686362</t>
  </si>
  <si>
    <t>3.36727197112887</t>
  </si>
  <si>
    <t>3.25265217777908</t>
  </si>
  <si>
    <t>2.14644727501501</t>
  </si>
  <si>
    <t>5.1139219922773</t>
  </si>
  <si>
    <t>2.32921875143295</t>
  </si>
  <si>
    <t>0.664976976473824</t>
  </si>
  <si>
    <t>3.18212980720116</t>
  </si>
  <si>
    <t>5.40841250879831</t>
  </si>
  <si>
    <t>5.48367913232401</t>
  </si>
  <si>
    <t>8.22370986590828</t>
  </si>
  <si>
    <t>-2.9746800408402</t>
  </si>
  <si>
    <t>13.3685689329452</t>
  </si>
  <si>
    <t>94.7724665478483</t>
  </si>
  <si>
    <t>10.3065506616772</t>
  </si>
  <si>
    <t>-5.58342929839709</t>
  </si>
  <si>
    <t>-12.7143643318788</t>
  </si>
  <si>
    <t>-0.439743751162723</t>
  </si>
  <si>
    <t>-3.02513075616653</t>
  </si>
  <si>
    <t>-37.0798606330313</t>
  </si>
  <si>
    <t>11.1997682582331</t>
  </si>
  <si>
    <t>-10.5074011684662</t>
  </si>
  <si>
    <t>9.47928387762059</t>
  </si>
  <si>
    <t>9.73556985962955</t>
  </si>
  <si>
    <t>-3.63340548298319</t>
  </si>
  <si>
    <t>-1.99597149195178</t>
  </si>
  <si>
    <t>-2.14230707000969</t>
  </si>
  <si>
    <t>-2.4067437987094</t>
  </si>
  <si>
    <t>9.00608865153572</t>
  </si>
  <si>
    <t>-0.965394903565368</t>
  </si>
  <si>
    <t>0.695854302302251</t>
  </si>
  <si>
    <t>-13.9889900220022</t>
  </si>
  <si>
    <t>10.4058180464333</t>
  </si>
  <si>
    <t>2.37672035245946</t>
  </si>
  <si>
    <t>-4.97305267701049</t>
  </si>
  <si>
    <t>-0.135384149567656</t>
  </si>
  <si>
    <t>6.30997052770057</t>
  </si>
  <si>
    <t>16.5419530801955</t>
  </si>
  <si>
    <t>20.5036158493576</t>
  </si>
  <si>
    <t>9.94435222859258</t>
  </si>
  <si>
    <t>4.69688854570667</t>
  </si>
  <si>
    <t>16.0207669612963</t>
  </si>
  <si>
    <t>-21.7392663171489</t>
  </si>
  <si>
    <t>4.98008956509719</t>
  </si>
  <si>
    <t>20.1807686846284</t>
  </si>
  <si>
    <t>1.22025197904199</t>
  </si>
  <si>
    <t>-2.82348952713912</t>
  </si>
  <si>
    <t>-1.84601542355594</t>
  </si>
  <si>
    <t>-17.6127432412634</t>
  </si>
  <si>
    <t>-9.16949513646259</t>
  </si>
  <si>
    <t>4.95526868232284</t>
  </si>
  <si>
    <t>9.21562481534343</t>
  </si>
  <si>
    <t>-3.33372764830381</t>
  </si>
  <si>
    <t>-10.8637594994</t>
  </si>
  <si>
    <t>15.4659284363945</t>
  </si>
  <si>
    <t>24.2367266802876</t>
  </si>
  <si>
    <t>-12.8961956287324</t>
  </si>
  <si>
    <t>4.45844432658933</t>
  </si>
  <si>
    <t>5.89793371068087</t>
  </si>
  <si>
    <t>13.0176970089472</t>
  </si>
  <si>
    <t>17.170329640786</t>
  </si>
  <si>
    <t>-0.0768638780979245</t>
  </si>
  <si>
    <t>0.0416224732643826</t>
  </si>
  <si>
    <t>0.0107594042819841</t>
  </si>
  <si>
    <t>-15.8780630297509</t>
  </si>
  <si>
    <t>6.00618397533914</t>
  </si>
  <si>
    <t>12.5171777751875</t>
  </si>
  <si>
    <t>3.46255527068837</t>
  </si>
  <si>
    <t>7.28714919176407</t>
  </si>
  <si>
    <t>7.15835942749703</t>
  </si>
  <si>
    <t>10.1636889932223</t>
  </si>
  <si>
    <t>6.5086147454451</t>
  </si>
  <si>
    <t>7.18543787496726</t>
  </si>
  <si>
    <t>1.1011726823489</t>
  </si>
  <si>
    <t>14.9648718330335</t>
  </si>
  <si>
    <t>5.60791537601837</t>
  </si>
  <si>
    <t>6.20535307251815</t>
  </si>
  <si>
    <t>8.94128430964388</t>
  </si>
  <si>
    <t>8.92328955866431</t>
  </si>
  <si>
    <t>8.51345075725479</t>
  </si>
  <si>
    <t>12.3412550618465</t>
  </si>
  <si>
    <t>8.28438262087263</t>
  </si>
  <si>
    <t>8.11263278407877</t>
  </si>
  <si>
    <t>12.9068747964519</t>
  </si>
  <si>
    <t>10.6962671056476</t>
  </si>
  <si>
    <t>6.17025915764653</t>
  </si>
  <si>
    <t>16.5271465766662</t>
  </si>
  <si>
    <t>5.33733054010742</t>
  </si>
  <si>
    <t>5.16519301584195</t>
  </si>
  <si>
    <t>3.62430623598658</t>
  </si>
  <si>
    <t>4.34588162820633</t>
  </si>
  <si>
    <t>6.4792024025566</t>
  </si>
  <si>
    <t>6.57512374147177</t>
  </si>
  <si>
    <t>4.68817791946599</t>
  </si>
  <si>
    <t>5.60618091108023</t>
  </si>
  <si>
    <t>4.4240994174459</t>
  </si>
  <si>
    <t>8.32696239631917</t>
  </si>
  <si>
    <t>8.88020593346201</t>
  </si>
  <si>
    <t>8.63679344825027</t>
  </si>
  <si>
    <t>6.16413159831512</t>
  </si>
  <si>
    <t>5.72222883359687</t>
  </si>
  <si>
    <t>3.20977724189126</t>
  </si>
  <si>
    <t>4.0489129986434</t>
  </si>
  <si>
    <t>4.34963395991817</t>
  </si>
  <si>
    <t>1.15086273454624</t>
  </si>
  <si>
    <t>3.10800839980718</t>
  </si>
  <si>
    <t>5.28737431504244</t>
  </si>
  <si>
    <t>7.62801338690346</t>
  </si>
  <si>
    <t>5.7948551929732</t>
  </si>
  <si>
    <t>1.36073530511867</t>
  </si>
  <si>
    <t>1.17682676860338</t>
  </si>
  <si>
    <t>2.54749888017885</t>
  </si>
  <si>
    <t>3.84627563139497</t>
  </si>
  <si>
    <t>5.78874199620294</t>
  </si>
  <si>
    <t>7.58155108394078</t>
  </si>
  <si>
    <t>2.16614944689633</t>
  </si>
  <si>
    <t>1.58435523727398</t>
  </si>
  <si>
    <t>5.97859338189495</t>
  </si>
  <si>
    <t>4.66418003521538</t>
  </si>
  <si>
    <t>10.7754221855342</t>
  </si>
  <si>
    <t>9.90661233608165</t>
  </si>
  <si>
    <t>12.796924146026</t>
  </si>
  <si>
    <t>16.4672818630996</t>
  </si>
  <si>
    <t>11.3155298849017</t>
  </si>
  <si>
    <t>4.93738330724686</t>
  </si>
  <si>
    <t>12.4668113563582</t>
  </si>
  <si>
    <t>21.8563617394272</t>
  </si>
  <si>
    <t>10.1902825295163</t>
  </si>
  <si>
    <t>-0.0883228377325622</t>
  </si>
  <si>
    <t>3.69541837346672</t>
  </si>
  <si>
    <t>8.74548539674289</t>
  </si>
  <si>
    <t>15.4269850656216</t>
  </si>
  <si>
    <t>22.8936594340284</t>
  </si>
  <si>
    <t>14.0612498754001</t>
  </si>
  <si>
    <t>22.6970595672875</t>
  </si>
  <si>
    <t>13.648777260206</t>
  </si>
  <si>
    <t>6.30001828340927</t>
  </si>
  <si>
    <t>5.17770993695599</t>
  </si>
  <si>
    <t>6.63928085355347</t>
  </si>
  <si>
    <t>13.0647004889209</t>
  </si>
  <si>
    <t>9.46380470158942</t>
  </si>
  <si>
    <t>7.15529485253452</t>
  </si>
  <si>
    <t>16.1121954488091</t>
  </si>
  <si>
    <t>4.99060848779871</t>
  </si>
  <si>
    <t>9.96727081881656</t>
  </si>
  <si>
    <t>14.2352084945169</t>
  </si>
  <si>
    <t>14.1709669143697</t>
  </si>
  <si>
    <t>1.18737069613121</t>
  </si>
  <si>
    <t>3.25908437200664</t>
  </si>
  <si>
    <t>10.0787886535731</t>
  </si>
  <si>
    <t>15.4717065693105</t>
  </si>
  <si>
    <t>5.1543983602337</t>
  </si>
  <si>
    <t>6.02919765064402</t>
  </si>
  <si>
    <t>9.37273025563468</t>
  </si>
  <si>
    <t>15.1089337480839</t>
  </si>
  <si>
    <t>7.6830614533247</t>
  </si>
  <si>
    <t>12.6533215833519</t>
  </si>
  <si>
    <t>3.01184160842378</t>
  </si>
  <si>
    <t>1.5321209980109</t>
  </si>
  <si>
    <t>9.60400220258751</t>
  </si>
  <si>
    <t>3.73031737555105</t>
  </si>
  <si>
    <t>11.9049111318198</t>
  </si>
  <si>
    <t>-2.64991927643297</t>
  </si>
  <si>
    <t>0.0571969585408283</t>
  </si>
  <si>
    <t>0.507585435653098</t>
  </si>
  <si>
    <t>4.37899382741232</t>
  </si>
  <si>
    <t>8.38144972399829</t>
  </si>
  <si>
    <t>14.6175509748138</t>
  </si>
  <si>
    <t>2.12467971961613</t>
  </si>
  <si>
    <t>4.63501852407487</t>
  </si>
  <si>
    <t>4.88874686844647</t>
  </si>
  <si>
    <t>4.67447570130837</t>
  </si>
  <si>
    <t>7.54197105015557</t>
  </si>
  <si>
    <t>5.03913870121602</t>
  </si>
  <si>
    <t>4.47541104842317</t>
  </si>
  <si>
    <t>-0.774417229772368</t>
  </si>
  <si>
    <t>16.1724010608566</t>
  </si>
  <si>
    <t>-3.85268771319454</t>
  </si>
  <si>
    <t>4.49087969968032</t>
  </si>
  <si>
    <t>4.93826828935202</t>
  </si>
  <si>
    <t>4.64423708915463</t>
  </si>
  <si>
    <t>2.19949026241304</t>
  </si>
  <si>
    <t>5.38099970484274</t>
  </si>
  <si>
    <t>19.3262162143988</t>
  </si>
  <si>
    <t>25.9966269302932</t>
  </si>
  <si>
    <t>11.3724628206274</t>
  </si>
  <si>
    <t>9.22839370206516</t>
  </si>
  <si>
    <t>10.9266339771195</t>
  </si>
  <si>
    <t>18.2653791713287</t>
  </si>
  <si>
    <t>13.8727460514407</t>
  </si>
  <si>
    <t>20.9142340489744</t>
  </si>
  <si>
    <t>11.1028813560158</t>
  </si>
  <si>
    <t>1.41940106495943</t>
  </si>
  <si>
    <t>34.1451753514768</t>
  </si>
  <si>
    <t>-3.42903722815151</t>
  </si>
  <si>
    <t>-2.30335118277361</t>
  </si>
  <si>
    <t>2.62405594015438</t>
  </si>
  <si>
    <t>2.45620480015998</t>
  </si>
  <si>
    <t>1.83664510564687</t>
  </si>
  <si>
    <t>-0.389815607540783</t>
  </si>
  <si>
    <t>2.78264702243938</t>
  </si>
  <si>
    <t>-3.43302031766279</t>
  </si>
  <si>
    <t>24.4125696821529</t>
  </si>
  <si>
    <t>9.89797585830159</t>
  </si>
  <si>
    <t>-3.54304573295389</t>
  </si>
  <si>
    <t>0.823381000647387</t>
  </si>
  <si>
    <t>-0.414154094982351</t>
  </si>
  <si>
    <t>4.08471548975844</t>
  </si>
  <si>
    <t>8.5066010783456</t>
  </si>
  <si>
    <t>0.425938675009292</t>
  </si>
  <si>
    <t>-2.37188170574854</t>
  </si>
  <si>
    <t>1.33641863140784</t>
  </si>
  <si>
    <t>-4.43978593836373</t>
  </si>
  <si>
    <t>4.18843708159385</t>
  </si>
  <si>
    <t>3.33404593869069</t>
  </si>
  <si>
    <t>1.83823165042337</t>
  </si>
  <si>
    <t>7.07707072361423</t>
  </si>
  <si>
    <t>0.711628390754186</t>
  </si>
  <si>
    <t>4.21130931097511</t>
  </si>
  <si>
    <t>4.00911505710052</t>
  </si>
  <si>
    <t>6.18103617692616</t>
  </si>
  <si>
    <t>2.48748677760067</t>
  </si>
  <si>
    <t>11.8938033016777</t>
  </si>
  <si>
    <t>2.70826310785282</t>
  </si>
  <si>
    <t>2.98011408445534</t>
  </si>
  <si>
    <t>6.44370628779525</t>
  </si>
  <si>
    <t>-1.22411715845705</t>
  </si>
  <si>
    <t>2.32783705140642</t>
  </si>
  <si>
    <t>1.98216055627785</t>
  </si>
  <si>
    <t>3.18576646900353</t>
  </si>
  <si>
    <t>5.9679244498741</t>
  </si>
  <si>
    <t>3.39995299007134</t>
  </si>
  <si>
    <t>2.44442707980437</t>
  </si>
  <si>
    <t>1.30987461608481</t>
  </si>
  <si>
    <t>2.18222642526791</t>
  </si>
  <si>
    <t>2.83181940854789</t>
  </si>
  <si>
    <t>3.7750321193182</t>
  </si>
  <si>
    <t>4.92090461079211</t>
  </si>
  <si>
    <t>4.45413882488484</t>
  </si>
  <si>
    <t>4.06513392892218</t>
  </si>
  <si>
    <t>4.82678269131655</t>
  </si>
  <si>
    <t>4.72201383000848</t>
  </si>
  <si>
    <t>4.93143997588837</t>
  </si>
  <si>
    <t>5.82604410879335</t>
  </si>
  <si>
    <t>9.92880660941735</t>
  </si>
  <si>
    <t>15.5694800549171</t>
  </si>
  <si>
    <t>10.997734532867</t>
  </si>
  <si>
    <t>8.78342642035651</t>
  </si>
  <si>
    <t>6.71753507741943</t>
  </si>
  <si>
    <t>6.82659461471485</t>
  </si>
  <si>
    <t>10.0700506013902</t>
  </si>
  <si>
    <t>10.0558897409454</t>
  </si>
  <si>
    <t>10.8709573442936</t>
  </si>
  <si>
    <t>8.8270784009845</t>
  </si>
  <si>
    <t>5.82447504958721</t>
  </si>
  <si>
    <t>3.54539026295097</t>
  </si>
  <si>
    <t>3.33838918991506</t>
  </si>
  <si>
    <t>3.13237904093367</t>
  </si>
  <si>
    <t>4.79160141366921</t>
  </si>
  <si>
    <t>4.53999817633812</t>
  </si>
  <si>
    <t>4.68125324002972</t>
  </si>
  <si>
    <t>3.35230172492575</t>
  </si>
  <si>
    <t>3.05676989607522</t>
  </si>
  <si>
    <t>1.47085083373742</t>
  </si>
  <si>
    <t>1.28904288219367</t>
  </si>
  <si>
    <t>1.45563096077591</t>
  </si>
  <si>
    <t>2.26332573160717</t>
  </si>
  <si>
    <t>1.67527501989628</t>
  </si>
  <si>
    <t>1.14412830670354</t>
  </si>
  <si>
    <t>-0.176225256269674</t>
  </si>
  <si>
    <t>1.92385564173627</t>
  </si>
  <si>
    <t>4.37419903079417</t>
  </si>
  <si>
    <t>1.5736767667921</t>
  </si>
  <si>
    <t>1.25752345524339</t>
  </si>
  <si>
    <t>3.24973700697623</t>
  </si>
  <si>
    <t>3.26087389828982</t>
  </si>
  <si>
    <t>3.11663850487676</t>
  </si>
  <si>
    <t>2.57017267466084</t>
  </si>
  <si>
    <t>3.30054564423155</t>
  </si>
  <si>
    <t>3.99631645542576</t>
  </si>
  <si>
    <t>-2.32492207227941</t>
  </si>
  <si>
    <t>2.84863776634425</t>
  </si>
  <si>
    <t>3.24445517550211</t>
  </si>
  <si>
    <t>1.21844370738719</t>
  </si>
  <si>
    <t>1.74073790573416</t>
  </si>
  <si>
    <t>1.94119897748668</t>
  </si>
  <si>
    <t>-0.867651312323389</t>
  </si>
  <si>
    <t>0.716978140660657</t>
  </si>
  <si>
    <t>2.57101465425282</t>
  </si>
  <si>
    <t>1.6511181981862</t>
  </si>
  <si>
    <t>1.54607075438069</t>
  </si>
  <si>
    <t>1.07081026807496</t>
  </si>
  <si>
    <t>7.66486542253131</t>
  </si>
  <si>
    <t>7.65381992676227</t>
  </si>
  <si>
    <t>1.5347101132531</t>
  </si>
  <si>
    <t>99.2954217924989</t>
  </si>
  <si>
    <t>199.858895609549</t>
  </si>
  <si>
    <t>37.234034809391</t>
  </si>
  <si>
    <t>27.4436170381266</t>
  </si>
  <si>
    <t>17.9812076556664</t>
  </si>
  <si>
    <t>9.92247771949688</t>
  </si>
  <si>
    <t>8.17944424818104</t>
  </si>
  <si>
    <t>6.17757158989451</t>
  </si>
  <si>
    <t>5.53606478204385</t>
  </si>
  <si>
    <t>5.37523124435772</t>
  </si>
  <si>
    <t>3.88938600534479</t>
  </si>
  <si>
    <t>4.9331164049614</t>
  </si>
  <si>
    <t>3.11436952510556</t>
  </si>
  <si>
    <t>3.88062372679858</t>
  </si>
  <si>
    <t>5.44367721666583</t>
  </si>
  <si>
    <t>5.52922978301194</t>
  </si>
  <si>
    <t>2.73284071725568</t>
  </si>
  <si>
    <t>0.920113149429753</t>
  </si>
  <si>
    <t>3.06571454649757</t>
  </si>
  <si>
    <t>2.18343357394524</t>
  </si>
  <si>
    <t>1.1327980246691</t>
  </si>
  <si>
    <t>1.23453645747557</t>
  </si>
  <si>
    <t>0.987474343866324</t>
  </si>
  <si>
    <t>2.7092393048564</t>
  </si>
  <si>
    <t>3.5930097078956</t>
  </si>
  <si>
    <t>3.82267611749334</t>
  </si>
  <si>
    <t>2.40777968361606</t>
  </si>
  <si>
    <t>5.34023602800748</t>
  </si>
  <si>
    <t>10.689577427514</t>
  </si>
  <si>
    <t>9.54718862520608</t>
  </si>
  <si>
    <t>4.05828923728673</t>
  </si>
  <si>
    <t>5.8270682242229</t>
  </si>
  <si>
    <t>4.84776024217327</t>
  </si>
  <si>
    <t>5.3107281269253</t>
  </si>
  <si>
    <t>3.79724141899177</t>
  </si>
  <si>
    <t>4.8050096929547</t>
  </si>
  <si>
    <t>4.45331556147023</t>
  </si>
  <si>
    <t>3.0811057929822</t>
  </si>
  <si>
    <t>2.57439164656685</t>
  </si>
  <si>
    <t>4.71275554296899</t>
  </si>
  <si>
    <t>9.15112371907077</t>
  </si>
  <si>
    <t>9.80195916958131</t>
  </si>
  <si>
    <t>8.14042509758283</t>
  </si>
  <si>
    <t>6.93261888069129</t>
  </si>
  <si>
    <t>7.13294120114362</t>
  </si>
  <si>
    <t>2.72985453980796</t>
  </si>
  <si>
    <t>0.25801177789846</t>
  </si>
  <si>
    <t>3.61276500844454</t>
  </si>
  <si>
    <t>1.988368644864</t>
  </si>
  <si>
    <t>2.70668273781347</t>
  </si>
  <si>
    <t>5.66110770362236</t>
  </si>
  <si>
    <t>7.34804061217811</t>
  </si>
  <si>
    <t>2.3668842526853</t>
  </si>
  <si>
    <t>3.75963798821918</t>
  </si>
  <si>
    <t>2.27073072584507</t>
  </si>
  <si>
    <t>3.03459397604009</t>
  </si>
  <si>
    <t>2.19348208822963</t>
  </si>
  <si>
    <t>2.79023880959011</t>
  </si>
  <si>
    <t>3.45846016176607</t>
  </si>
  <si>
    <t>4.60362132287064</t>
  </si>
  <si>
    <t>5.40910475702043</t>
  </si>
  <si>
    <t>2.12463504318221</t>
  </si>
  <si>
    <t>2.32202399254446</t>
  </si>
  <si>
    <t>1.18438713620428</t>
  </si>
  <si>
    <t>0.737757710726214</t>
  </si>
  <si>
    <t>0.280022460607341</t>
  </si>
  <si>
    <t>-0.476483336948348</t>
  </si>
  <si>
    <t>-0.189259059141946</t>
  </si>
  <si>
    <t>0.0437705570972611</t>
  </si>
  <si>
    <t>1.36728550428708</t>
  </si>
  <si>
    <t>0.974383320001323</t>
  </si>
  <si>
    <t>-0.249463899497144</t>
  </si>
  <si>
    <t>1.17975924142517</t>
  </si>
  <si>
    <t>0.296627279296985</t>
  </si>
  <si>
    <t>0.924638291551645</t>
  </si>
  <si>
    <t>2.15025798459116</t>
  </si>
  <si>
    <t>2.37706132688891</t>
  </si>
  <si>
    <t>1.44992801006573</t>
  </si>
  <si>
    <t>0.457543979622471</t>
  </si>
  <si>
    <t>0.312736574258764</t>
  </si>
  <si>
    <t>-0.0204529167059491</t>
  </si>
  <si>
    <t>0.0637202631572649</t>
  </si>
  <si>
    <t>-0.0868426404352363</t>
  </si>
  <si>
    <t>-0.653123803620176</t>
  </si>
  <si>
    <t>-1.2650568747671</t>
  </si>
  <si>
    <t>-0.583291591583972</t>
  </si>
  <si>
    <t>-0.367869216813958</t>
  </si>
  <si>
    <t>0.764289197175742</t>
  </si>
  <si>
    <t>-0.103895158007788</t>
  </si>
  <si>
    <t>-0.699187622738137</t>
  </si>
  <si>
    <t>1.24619196669597</t>
  </si>
  <si>
    <t>2.4971595038279</t>
  </si>
  <si>
    <t>1.02331402592833</t>
  </si>
  <si>
    <t>2.31458585810039</t>
  </si>
  <si>
    <t>3.36234799786833</t>
  </si>
  <si>
    <t>5.45465670838978</t>
  </si>
  <si>
    <t>2.03816645010104</t>
  </si>
  <si>
    <t>1.7787742558955</t>
  </si>
  <si>
    <t>3.03415108880192</t>
  </si>
  <si>
    <t>1.39650492613288</t>
  </si>
  <si>
    <t>3.06230710188164</t>
  </si>
  <si>
    <t>4.30931162934687</t>
  </si>
  <si>
    <t>2.95476691310121</t>
  </si>
  <si>
    <t>2.83334988896617</t>
  </si>
  <si>
    <t>0.21684009581287</t>
  </si>
  <si>
    <t>7.35832205919618</t>
  </si>
  <si>
    <t>5.75258334988345</t>
  </si>
  <si>
    <t>6.56898159255763</t>
  </si>
  <si>
    <t>12.9485164298092</t>
  </si>
  <si>
    <t>43.8204273483907</t>
  </si>
  <si>
    <t>47.9343620799658</t>
  </si>
  <si>
    <t>38.840095374724</t>
  </si>
  <si>
    <t>28.5813608055762</t>
  </si>
  <si>
    <t>25.1448875388215</t>
  </si>
  <si>
    <t>33.4686701543951</t>
  </si>
  <si>
    <t>40.1605325593821</t>
  </si>
  <si>
    <t>40.5757859262539</t>
  </si>
  <si>
    <t>17.6716716514363</t>
  </si>
  <si>
    <t>87.5948636847101</t>
  </si>
  <si>
    <t>414.8103110022</t>
  </si>
  <si>
    <t>678.608462183612</t>
  </si>
  <si>
    <t>347.201209420558</t>
  </si>
  <si>
    <t>247.308508558584</t>
  </si>
  <si>
    <t>101.773621844757</t>
  </si>
  <si>
    <t>56.2846405522624</t>
  </si>
  <si>
    <t>47.9776851024258</t>
  </si>
  <si>
    <t>29.1176599025163</t>
  </si>
  <si>
    <t>11.5688525347473</t>
  </si>
  <si>
    <t>7.6563472551216</t>
  </si>
  <si>
    <t>30.963672486807</t>
  </si>
  <si>
    <t>15.7375320928942</t>
  </si>
  <si>
    <t>41.6819057285687</t>
  </si>
  <si>
    <t>21.4548966568031</t>
  </si>
  <si>
    <t>25.8484189824583</t>
  </si>
  <si>
    <t>21.7178811867143</t>
  </si>
  <si>
    <t>13.7560317686944</t>
  </si>
  <si>
    <t>22.4709370974075</t>
  </si>
  <si>
    <t>21.3909823000852</t>
  </si>
  <si>
    <t>13.4643770215386</t>
  </si>
  <si>
    <t>12.1644196722728</t>
  </si>
  <si>
    <t>14.4639849515997</t>
  </si>
  <si>
    <t>11.6807181078817</t>
  </si>
  <si>
    <t>4.07977619624471</t>
  </si>
  <si>
    <t>3.33058050494175</t>
  </si>
  <si>
    <t>0.778990205960753</t>
  </si>
  <si>
    <t>2.18776787056487</t>
  </si>
  <si>
    <t>4.56004348689325</t>
  </si>
  <si>
    <t>4.27714698160932</t>
  </si>
  <si>
    <t>3.34066036755067</t>
  </si>
  <si>
    <t>4.30030088589093</t>
  </si>
  <si>
    <t>7.02476170687822</t>
  </si>
  <si>
    <t>7.12031535651923</t>
  </si>
  <si>
    <t>12.3498959180141</t>
  </si>
  <si>
    <t>5.08875706456591</t>
  </si>
  <si>
    <t>0.31113250293626</t>
  </si>
  <si>
    <t>3.57779503707295</t>
  </si>
  <si>
    <t>8.85744149583176</t>
  </si>
  <si>
    <t>3.26051486014924</t>
  </si>
  <si>
    <t>0.76346667921203</t>
  </si>
  <si>
    <t>2.26077061226466</t>
  </si>
  <si>
    <t>5.85289162817273</t>
  </si>
  <si>
    <t>4.95436552710441</t>
  </si>
  <si>
    <t>4.56065604390805</t>
  </si>
  <si>
    <t>4.82819188168904</t>
  </si>
  <si>
    <t>1.59019973757384</t>
  </si>
  <si>
    <t>2.56778721379496</t>
  </si>
  <si>
    <t>9.66572269693961</t>
  </si>
  <si>
    <t>6.9147558846894</t>
  </si>
  <si>
    <t>7.91378346570282</t>
  </si>
  <si>
    <t>6.59951204566833</t>
  </si>
  <si>
    <t>15.2539937422295</t>
  </si>
  <si>
    <t>-0.114964918339382</t>
  </si>
  <si>
    <t>-2.62161065082633</t>
  </si>
  <si>
    <t>-0.362038483228218</t>
  </si>
  <si>
    <t>0.869780803545027</t>
  </si>
  <si>
    <t>-1.5620708278273</t>
  </si>
  <si>
    <t>0.813497276305114</t>
  </si>
  <si>
    <t>1.36357574813657</t>
  </si>
  <si>
    <t>-3.7925287173275</t>
  </si>
  <si>
    <t>-2.61457045011514</t>
  </si>
  <si>
    <t>0.665937402347524</t>
  </si>
  <si>
    <t>0.0741856162067052</t>
  </si>
  <si>
    <t>0.208465019313863</t>
  </si>
  <si>
    <t>0.277735670872488</t>
  </si>
  <si>
    <t>-1.13117515356886</t>
  </si>
  <si>
    <t>-0.106286227905457</t>
  </si>
  <si>
    <t>1.09377177565865</t>
  </si>
  <si>
    <t>1.67514249839924</t>
  </si>
  <si>
    <t>3.600054771534</t>
  </si>
  <si>
    <t>3.75177705669101</t>
  </si>
  <si>
    <t>2.35787142114833</t>
  </si>
  <si>
    <t>-0.140355089605009</t>
  </si>
  <si>
    <t>1.15679526219108</t>
  </si>
  <si>
    <t>4.94416271276128</t>
  </si>
  <si>
    <t>10.2093990441261</t>
  </si>
  <si>
    <t>4.66902079731935</t>
  </si>
  <si>
    <t>5.08251646766406</t>
  </si>
  <si>
    <t>12.1076614989562</t>
  </si>
  <si>
    <t>8.60246513371632</t>
  </si>
  <si>
    <t>5.71122416868202</t>
  </si>
  <si>
    <t>6.71453695848909</t>
  </si>
  <si>
    <t>8.19032302163217</t>
  </si>
  <si>
    <t>15.1858645089504</t>
  </si>
  <si>
    <t>20.6169888119177</t>
  </si>
  <si>
    <t>13.6656964001969</t>
  </si>
  <si>
    <t>6.50673063542777</t>
  </si>
  <si>
    <t>1.61656874206059</t>
  </si>
  <si>
    <t>-0.900251628944076</t>
  </si>
  <si>
    <t>-1.26305893875535</t>
  </si>
  <si>
    <t>2.06279261346987</t>
  </si>
  <si>
    <t>2.04704945728633</t>
  </si>
  <si>
    <t>0.602099078250106</t>
  </si>
  <si>
    <t>2.60317771902103</t>
  </si>
  <si>
    <t>6.95199268086466</t>
  </si>
  <si>
    <t>3.90374426907985</t>
  </si>
  <si>
    <t>3.92654939643413</t>
  </si>
  <si>
    <t>7.74968649303898</t>
  </si>
  <si>
    <t>7.79534603698191</t>
  </si>
  <si>
    <t>-0.209533361180647</t>
  </si>
  <si>
    <t>6.88138025334055</t>
  </si>
  <si>
    <t>8.07568446704094</t>
  </si>
  <si>
    <t>2.33121757581199</t>
  </si>
  <si>
    <t>2.16337002665455</t>
  </si>
  <si>
    <t>1.03106368780396</t>
  </si>
  <si>
    <t>-0.00294409364951775</t>
  </si>
  <si>
    <t>1.40734602732051</t>
  </si>
  <si>
    <t>4.2326819752236</t>
  </si>
  <si>
    <t>3.49974763567195</t>
  </si>
  <si>
    <t>1.28670040766232</t>
  </si>
  <si>
    <t>0.49249391805742</t>
  </si>
  <si>
    <t>4.55232657897571</t>
  </si>
  <si>
    <t>1.82367710735865</t>
  </si>
  <si>
    <t>-0.582393794026771</t>
  </si>
  <si>
    <t>2.99006346469766</t>
  </si>
  <si>
    <t>3.0048198149284</t>
  </si>
  <si>
    <t>3.01391715577817</t>
  </si>
  <si>
    <t>2.906177950873</t>
  </si>
  <si>
    <t>3.07886780467852</t>
  </si>
  <si>
    <t>0.0416032240180328</t>
  </si>
  <si>
    <t>5.79379997879829</t>
  </si>
  <si>
    <t>1.85391784764981</t>
  </si>
  <si>
    <t>2.99084831038685</t>
  </si>
  <si>
    <t>-0.941093871223046</t>
  </si>
  <si>
    <t>2.51161642845075</t>
  </si>
  <si>
    <t>13.2279689683128</t>
  </si>
  <si>
    <t>26.6941713348517</t>
  </si>
  <si>
    <t>4.31395366224771</t>
  </si>
  <si>
    <t>18.2229732475378</t>
  </si>
  <si>
    <t>28.7512918339878</t>
  </si>
  <si>
    <t>4.43330463446982</t>
  </si>
  <si>
    <t>6.54139713343109</t>
  </si>
  <si>
    <t>24.1436771091168</t>
  </si>
  <si>
    <t>2.97699115837639</t>
  </si>
  <si>
    <t>8.301317589562</t>
  </si>
  <si>
    <t>9.0467819094663</t>
  </si>
  <si>
    <t>17.9098958917756</t>
  </si>
  <si>
    <t>0.343657064772017</t>
  </si>
  <si>
    <t>-2.0204048360965</t>
  </si>
  <si>
    <t>-4.07520680060972</t>
  </si>
  <si>
    <t>-0.380926014955392</t>
  </si>
  <si>
    <t>-1.01240652384017</t>
  </si>
  <si>
    <t>-4.52327354283084</t>
  </si>
  <si>
    <t>0.663489267146474</t>
  </si>
  <si>
    <t>-0.0238371372650903</t>
  </si>
  <si>
    <t>6.15419429089883</t>
  </si>
  <si>
    <t>46.386069435419</t>
  </si>
  <si>
    <t>11.0437898513941</t>
  </si>
  <si>
    <t>56.2837762738966</t>
  </si>
  <si>
    <t>3.9214742013522</t>
  </si>
  <si>
    <t>5.38736139065696</t>
  </si>
  <si>
    <t>-0.775911929443382</t>
  </si>
  <si>
    <t>1.60101728726917</t>
  </si>
  <si>
    <t>6.87596879742645</t>
  </si>
  <si>
    <t>4.58213735216555</t>
  </si>
  <si>
    <t>3.27812069285412</t>
  </si>
  <si>
    <t>-2.50335752004385</t>
  </si>
  <si>
    <t>1.21513493970562</t>
  </si>
  <si>
    <t>1.3595382596009</t>
  </si>
  <si>
    <t>3.08854944572292</t>
  </si>
  <si>
    <t>5.37293348500339</t>
  </si>
  <si>
    <t>1.20777929723688</t>
  </si>
  <si>
    <t>1.5162179241976</t>
  </si>
  <si>
    <t>5.70932050005679</t>
  </si>
  <si>
    <t>-0.404098360740875</t>
  </si>
  <si>
    <t>2.87673042852516</t>
  </si>
  <si>
    <t>4.40733235572075</t>
  </si>
  <si>
    <t>4.77568237270827</t>
  </si>
  <si>
    <t>-1.17983243565696</t>
  </si>
  <si>
    <t>-1.04167724817084</t>
  </si>
  <si>
    <t>1.68197647173226</t>
  </si>
  <si>
    <t>1.98335249260808</t>
  </si>
  <si>
    <t>1.82838309372076</t>
  </si>
  <si>
    <t>3.93013137544369</t>
  </si>
  <si>
    <t>2.08589858906348</t>
  </si>
  <si>
    <t>2.92244000008407</t>
  </si>
  <si>
    <t>5.06444908786447</t>
  </si>
  <si>
    <t>3.10995906856846</t>
  </si>
  <si>
    <t>-0.264119025473548</t>
  </si>
  <si>
    <t>4.42103332668367</t>
  </si>
  <si>
    <t>2.75243171318678</t>
  </si>
  <si>
    <t>0.188376713871548</t>
  </si>
  <si>
    <t>23.6291850819427</t>
  </si>
  <si>
    <t>5.75072991629206</t>
  </si>
  <si>
    <t>5.30196140186696</t>
  </si>
  <si>
    <t>7.88400335930839</t>
  </si>
  <si>
    <t>3.44012468602091</t>
  </si>
  <si>
    <t>7.97638345748406</t>
  </si>
  <si>
    <t>6.52953303975295</t>
  </si>
  <si>
    <t>10.6560928613066</t>
  </si>
  <si>
    <t>5.99007282435463</t>
  </si>
  <si>
    <t>19.6744435133242</t>
  </si>
  <si>
    <t>5.88477383366055</t>
  </si>
  <si>
    <t>3.409806634349</t>
  </si>
  <si>
    <t>12.8527667500476</t>
  </si>
  <si>
    <t>14.2458946461921</t>
  </si>
  <si>
    <t>8.80019382633151</t>
  </si>
  <si>
    <t>12.4819514530964</t>
  </si>
  <si>
    <t>12.76307193047</t>
  </si>
  <si>
    <t>13.5521917921707</t>
  </si>
  <si>
    <t>11.1871278834318</t>
  </si>
  <si>
    <t>0.179235683877991</t>
  </si>
  <si>
    <t>-2.39230914632165</t>
  </si>
  <si>
    <t>0.813898665359304</t>
  </si>
  <si>
    <t>-1.81908316337979</t>
  </si>
  <si>
    <t>1.64309843091495</t>
  </si>
  <si>
    <t>3.56871352957361</t>
  </si>
  <si>
    <t>-1.27767102935427</t>
  </si>
  <si>
    <t>55.7553793703876</t>
  </si>
  <si>
    <t>5.88247234703603</t>
  </si>
  <si>
    <t>6.63451403710884</t>
  </si>
  <si>
    <t>0.410559080515867</t>
  </si>
  <si>
    <t>6.16381105450779</t>
  </si>
  <si>
    <t>1.0658698782603</t>
  </si>
  <si>
    <t>2.18778850065175</t>
  </si>
  <si>
    <t>1.53156295867964</t>
  </si>
  <si>
    <t>2.46935891471448</t>
  </si>
  <si>
    <t>2.77449284953897</t>
  </si>
  <si>
    <t>1.95291444913342</t>
  </si>
  <si>
    <t>0.139487834807241</t>
  </si>
  <si>
    <t>1.35714195904053</t>
  </si>
  <si>
    <t>2.29967497786163</t>
  </si>
  <si>
    <t>0.490708034705946</t>
  </si>
  <si>
    <t>4.94053681167803</t>
  </si>
  <si>
    <t>3.60351518418189</t>
  </si>
  <si>
    <t>0.688187082777645</t>
  </si>
  <si>
    <t>2.58904424747894</t>
  </si>
  <si>
    <t>1.94228536388823</t>
  </si>
  <si>
    <t>3.05345916925037</t>
  </si>
  <si>
    <t>2.01421263022257</t>
  </si>
  <si>
    <t>0.309791677780538</t>
  </si>
  <si>
    <t>0.661808977155886</t>
  </si>
  <si>
    <t>1.02514116066253</t>
  </si>
  <si>
    <t>1.89699162266248</t>
  </si>
  <si>
    <t>1.16977181911541</t>
  </si>
  <si>
    <t>0.705572037621721</t>
  </si>
  <si>
    <t>2.92103933375591</t>
  </si>
  <si>
    <t>6.83105473248673</t>
  </si>
  <si>
    <t>4.65972285962381</t>
  </si>
  <si>
    <t>6.09947816091348</t>
  </si>
  <si>
    <t>21.2407719665047</t>
  </si>
  <si>
    <t>87.8492013040613</t>
  </si>
  <si>
    <t>3.54797755518112</t>
  </si>
  <si>
    <t>38.952121511214</t>
  </si>
  <si>
    <t>4.9738205992077</t>
  </si>
  <si>
    <t>58.5744103434969</t>
  </si>
  <si>
    <t>59.8827848538422</t>
  </si>
  <si>
    <t>17.7310618338502</t>
  </si>
  <si>
    <t>-2.83694889969371</t>
  </si>
  <si>
    <t>8.20369678861258</t>
  </si>
  <si>
    <t>10.1813984597602</t>
  </si>
  <si>
    <t>17.8870494878738</t>
  </si>
  <si>
    <t>18.238322992894</t>
  </si>
  <si>
    <t>12.2654179764006</t>
  </si>
  <si>
    <t>57.3954283832357</t>
  </si>
  <si>
    <t>37.2716487302664</t>
  </si>
  <si>
    <t>28.4142985200925</t>
  </si>
  <si>
    <t>101.770036243828</t>
  </si>
  <si>
    <t>51.4075541678595</t>
  </si>
  <si>
    <t>33.2302221107946</t>
  </si>
  <si>
    <t>43.4852835595133</t>
  </si>
  <si>
    <t>78.2154728988511</t>
  </si>
  <si>
    <t>89.6032215574207</t>
  </si>
  <si>
    <t>25.8109093935625</t>
  </si>
  <si>
    <t>28.4532565060463</t>
  </si>
  <si>
    <t>73.7673978894286</t>
  </si>
  <si>
    <t>91.5861854921035</t>
  </si>
  <si>
    <t>110.262247988577</t>
  </si>
  <si>
    <t>108.955307114497</t>
  </si>
  <si>
    <t>2202.28988424517</t>
  </si>
  <si>
    <t>4078.47627846295</t>
  </si>
  <si>
    <t>1662.41668242335</t>
  </si>
  <si>
    <t>26762.0183304515</t>
  </si>
  <si>
    <t>466.407255740428</t>
  </si>
  <si>
    <t>638.188824345878</t>
  </si>
  <si>
    <t>192.642834535714</t>
  </si>
  <si>
    <t>26.9353763603477</t>
  </si>
  <si>
    <t>441.902491875352</t>
  </si>
  <si>
    <t>2630.1226744224</t>
  </si>
  <si>
    <t>73.059711361527</t>
  </si>
  <si>
    <t>31.7194612289405</t>
  </si>
  <si>
    <t>13.4154535204973</t>
  </si>
  <si>
    <t>6.36545826266112</t>
  </si>
  <si>
    <t>29.8695466222574</t>
  </si>
  <si>
    <t>13.3252253838394</t>
  </si>
  <si>
    <t>20.2714649760467</t>
  </si>
  <si>
    <t>20.4653166179567</t>
  </si>
  <si>
    <t>32.6579291552673</t>
  </si>
  <si>
    <t>20.7863251488693</t>
  </si>
  <si>
    <t>13.791660106755</t>
  </si>
  <si>
    <t>5.93999221193936</t>
  </si>
  <si>
    <t>2.7712914145543</t>
  </si>
  <si>
    <t>0.99363066697174</t>
  </si>
  <si>
    <t>-1.15587859287012</t>
  </si>
  <si>
    <t>4.34922894475879</t>
  </si>
  <si>
    <t>43.0686597641677</t>
  </si>
  <si>
    <t>30.998612148703</t>
  </si>
  <si>
    <t>5.89540537440325</t>
  </si>
  <si>
    <t>3.90154957064527</t>
  </si>
  <si>
    <t>14.9754345531209</t>
  </si>
  <si>
    <t>10.1064172353471</t>
  </si>
  <si>
    <t>13.1719312219148</t>
  </si>
  <si>
    <t>6.29395669501037</t>
  </si>
  <si>
    <t>4.25381991126226</t>
  </si>
  <si>
    <t>7.77389718077983</t>
  </si>
  <si>
    <t>3.85594321142968</t>
  </si>
  <si>
    <t>3.02548541053081</t>
  </si>
  <si>
    <t>10.0273582948359</t>
  </si>
  <si>
    <t>5.51605231020179</t>
  </si>
  <si>
    <t>-1.04473179463645</t>
  </si>
  <si>
    <t>2.99689342172202</t>
  </si>
  <si>
    <t>3.71045521228307</t>
  </si>
  <si>
    <t>8.31301862214025</t>
  </si>
  <si>
    <t>7.42777407746635</t>
  </si>
  <si>
    <t>7.83857867735158</t>
  </si>
  <si>
    <t>8.11374127939854</t>
  </si>
  <si>
    <t>8.30480454769906</t>
  </si>
  <si>
    <t>8.67575133556515</t>
  </si>
  <si>
    <t>14.5245314547647</t>
  </si>
  <si>
    <t>-0.828343082522863</t>
  </si>
  <si>
    <t>17.1015978757543</t>
  </si>
  <si>
    <t>20.1440085365646</t>
  </si>
  <si>
    <t>27.789126916474</t>
  </si>
  <si>
    <t>6.04473816531285</t>
  </si>
  <si>
    <t>6.3383715278553</t>
  </si>
  <si>
    <t>12.1113946169474</t>
  </si>
  <si>
    <t>2.4985401529201</t>
  </si>
  <si>
    <t>-29.1726624817288</t>
  </si>
  <si>
    <t>7.62652157852142</t>
  </si>
  <si>
    <t>-6.22635298391708</t>
  </si>
  <si>
    <t>12.744060178845</t>
  </si>
  <si>
    <t>-1.02906827090958</t>
  </si>
  <si>
    <t>-1.48063569515986</t>
  </si>
  <si>
    <t>-1.56926841264638</t>
  </si>
  <si>
    <t>-1.13082861109129</t>
  </si>
  <si>
    <t>36.752825653822</t>
  </si>
  <si>
    <t>3.39592951039056</t>
  </si>
  <si>
    <t>17.9919240267205</t>
  </si>
  <si>
    <t>4.96451768202839</t>
  </si>
  <si>
    <t>-18.2220896614549</t>
  </si>
  <si>
    <t>29.3553419281933</t>
  </si>
  <si>
    <t>47.0400830761822</t>
  </si>
  <si>
    <t>-13.9252081683231</t>
  </si>
  <si>
    <t>-1.7389275602747</t>
  </si>
  <si>
    <t>-4.2515369203041</t>
  </si>
  <si>
    <t>16.807238305785</t>
  </si>
  <si>
    <t>32.4987395105464</t>
  </si>
  <si>
    <t>11.3803017625706</t>
  </si>
  <si>
    <t>6.74011713181295</t>
  </si>
  <si>
    <t>16.2692034276536</t>
  </si>
  <si>
    <t>-21.1652331128962</t>
  </si>
  <si>
    <t>29.4176837966296</t>
  </si>
  <si>
    <t>10.953325511462</t>
  </si>
  <si>
    <t>11.3640902368718</t>
  </si>
  <si>
    <t>-1.10456218926858</t>
  </si>
  <si>
    <t>-6.46456331292119</t>
  </si>
  <si>
    <t>-17.2539875449458</t>
  </si>
  <si>
    <t>-3.50248728902629</t>
  </si>
  <si>
    <t>12.3656768528042</t>
  </si>
  <si>
    <t>22.2344412921584</t>
  </si>
  <si>
    <t>-1.31736650195613</t>
  </si>
  <si>
    <t>-13.9995678950009</t>
  </si>
  <si>
    <t>23.2907180099124</t>
  </si>
  <si>
    <t>18.2608987808466</t>
  </si>
  <si>
    <t>-7.56770228699291</t>
  </si>
  <si>
    <t>8.22936825024104</t>
  </si>
  <si>
    <t>6.64803608111191</t>
  </si>
  <si>
    <t>23.2206195373512</t>
  </si>
  <si>
    <t>16.3398794061627</t>
  </si>
  <si>
    <t>8.6044794525011</t>
  </si>
  <si>
    <t>15.1273473150005</t>
  </si>
  <si>
    <t>10.7301835265463</t>
  </si>
  <si>
    <t>8.47237596534688</t>
  </si>
  <si>
    <t>8.44465758616299</t>
  </si>
  <si>
    <t>11.8858042457372</t>
  </si>
  <si>
    <t>10.8074005790019</t>
  </si>
  <si>
    <t>12.9723107821429</t>
  </si>
  <si>
    <t>20.1610993858631</t>
  </si>
  <si>
    <t>25.3771500046661</t>
  </si>
  <si>
    <t>22.8069631296826</t>
  </si>
  <si>
    <t>25.4575581616927</t>
  </si>
  <si>
    <t>29.1528170739333</t>
  </si>
  <si>
    <t>17.0999313637889</t>
  </si>
  <si>
    <t>24.0406255399567</t>
  </si>
  <si>
    <t>27.6159360336757</t>
  </si>
  <si>
    <t>22.7658772988937</t>
  </si>
  <si>
    <t>24.7664573136336</t>
  </si>
  <si>
    <t>20.4025756995262</t>
  </si>
  <si>
    <t>22.1802266995958</t>
  </si>
  <si>
    <t>24.8835080388417</t>
  </si>
  <si>
    <t>29.1689263673813</t>
  </si>
  <si>
    <t>23.3769365166645</t>
  </si>
  <si>
    <t>27.7500562450254</t>
  </si>
  <si>
    <t>24.6858161399076</t>
  </si>
  <si>
    <t>52.3361031682038</t>
  </si>
  <si>
    <t>27.0057740412053</t>
  </si>
  <si>
    <t>22.6643849525912</t>
  </si>
  <si>
    <t>24.8415782780257</t>
  </si>
  <si>
    <t>22.0963782592104</t>
  </si>
  <si>
    <t>18.8509572575761</t>
  </si>
  <si>
    <t>16.8683787889766</t>
  </si>
  <si>
    <t>16.8398529341085</t>
  </si>
  <si>
    <t>14.7730454103545</t>
  </si>
  <si>
    <t>12.6229408327015</t>
  </si>
  <si>
    <t>33.6753705095567</t>
  </si>
  <si>
    <t>6.51844829184243</t>
  </si>
  <si>
    <t>5.96819057183866</t>
  </si>
  <si>
    <t>6.82901484222947</t>
  </si>
  <si>
    <t>7.28303340681478</t>
  </si>
  <si>
    <t>4.75319610754772</t>
  </si>
  <si>
    <t>5.80766087330477</t>
  </si>
  <si>
    <t>5.20203381220654</t>
  </si>
  <si>
    <t>7.67738291518263</t>
  </si>
  <si>
    <t>4.06422546745482</t>
  </si>
  <si>
    <t>3.80486029146383</t>
  </si>
  <si>
    <t>6.38680337285258</t>
  </si>
  <si>
    <t>3.61665506268449</t>
  </si>
  <si>
    <t>1.90767643221162</t>
  </si>
  <si>
    <t>2.2356323764315</t>
  </si>
  <si>
    <t>2.44932842052003</t>
  </si>
  <si>
    <t>5.14833430514589</t>
  </si>
  <si>
    <t>5.13373589963346</t>
  </si>
  <si>
    <t>4.63057967327826</t>
  </si>
  <si>
    <t>4.00262054293638</t>
  </si>
  <si>
    <t>1.48172462037553</t>
  </si>
  <si>
    <t>7.80211309545884</t>
  </si>
  <si>
    <t>14.8665745551143</t>
  </si>
  <si>
    <t>6.33605731984103</t>
  </si>
  <si>
    <t>14.5675192620638</t>
  </si>
  <si>
    <t>6.52970585465911</t>
  </si>
  <si>
    <t>15.2074662235769</t>
  </si>
  <si>
    <t>6.15966369910024</t>
  </si>
  <si>
    <t>7.07135475892422</t>
  </si>
  <si>
    <t>7.39227630448525</t>
  </si>
  <si>
    <t>3.2232204203781</t>
  </si>
  <si>
    <t>1.93730618696644</t>
  </si>
  <si>
    <t>5.9606552478372</t>
  </si>
  <si>
    <t>2.17591230027585</t>
  </si>
  <si>
    <t>8.11890514430118</t>
  </si>
  <si>
    <t>-6.76452931008099</t>
  </si>
  <si>
    <t>2.83282370712936</t>
  </si>
  <si>
    <t>9.41691926921528</t>
  </si>
  <si>
    <t>8.32097449521858</t>
  </si>
  <si>
    <t>3.19870033913645</t>
  </si>
  <si>
    <t>0.924366549607996</t>
  </si>
  <si>
    <t>1.34665437141399</t>
  </si>
  <si>
    <t>5.81136042283326</t>
  </si>
  <si>
    <t>-4.46002451335903</t>
  </si>
  <si>
    <t>8.62998398922237</t>
  </si>
  <si>
    <t>4.17065591684414</t>
  </si>
  <si>
    <t>3.38836173249462</t>
  </si>
  <si>
    <t>0.315881658228534</t>
  </si>
  <si>
    <t>3.11076370928964</t>
  </si>
  <si>
    <t>3.5449226957637</t>
  </si>
  <si>
    <t>3.14428979865365</t>
  </si>
  <si>
    <t>0.986041110949643</t>
  </si>
  <si>
    <t>1.6751524700268</t>
  </si>
  <si>
    <t>3.04568880149402</t>
  </si>
  <si>
    <t>4.27048256936031</t>
  </si>
  <si>
    <t>1.75215703553242</t>
  </si>
  <si>
    <t>0.835044861947765</t>
  </si>
  <si>
    <t>-0.522859922969374</t>
  </si>
  <si>
    <t>1.71498680821954</t>
  </si>
  <si>
    <t>0.40249413511539</t>
  </si>
  <si>
    <t>1.8356679398124</t>
  </si>
  <si>
    <t>4.20910596809098</t>
  </si>
  <si>
    <t>0.669668394306555</t>
  </si>
  <si>
    <t>0.169479511384438</t>
  </si>
  <si>
    <t>4.94193319951842</t>
  </si>
  <si>
    <t>2.91808886046567</t>
  </si>
  <si>
    <t>9.57797518422004</t>
  </si>
  <si>
    <t>17.3933487025089</t>
  </si>
  <si>
    <t>10.5638181117774</t>
  </si>
  <si>
    <t>8.76659389135874</t>
  </si>
  <si>
    <t>3.66665785677527</t>
  </si>
  <si>
    <t>17.6933959256778</t>
  </si>
  <si>
    <t>6.96238514614849</t>
  </si>
  <si>
    <t>5.41160787226222</t>
  </si>
  <si>
    <t>3.58485904126292</t>
  </si>
  <si>
    <t>2.34531032190625</t>
  </si>
  <si>
    <t>4.79241883776579</t>
  </si>
  <si>
    <t>-4.11584470732596</t>
  </si>
  <si>
    <t>49.3540866011071</t>
  </si>
  <si>
    <t>-29.1724621557525</t>
  </si>
  <si>
    <t>-1.54689929900537</t>
  </si>
  <si>
    <t>-0.546135979433259</t>
  </si>
  <si>
    <t>-0.835291448659234</t>
  </si>
  <si>
    <t>-0.335990589768613</t>
  </si>
  <si>
    <t>7.61207827777595</t>
  </si>
  <si>
    <t>-7.90110347163402</t>
  </si>
  <si>
    <t>5.15533499557392</t>
  </si>
  <si>
    <t>-0.363208871086854</t>
  </si>
  <si>
    <t>4.92109973715145</t>
  </si>
  <si>
    <t>-6.3325469946369</t>
  </si>
  <si>
    <t>-1.79488316970148</t>
  </si>
  <si>
    <t>4.63977091870937</t>
  </si>
  <si>
    <t>18.5684167934982</t>
  </si>
  <si>
    <t>3.712743703679</t>
  </si>
  <si>
    <t>1.95455824513613</t>
  </si>
  <si>
    <t>0.654415406092099</t>
  </si>
  <si>
    <t>2.74704089816066</t>
  </si>
  <si>
    <t>0.677607456621359</t>
  </si>
  <si>
    <t>1.42476019715654</t>
  </si>
  <si>
    <t>-0.100319979407018</t>
  </si>
  <si>
    <t>1.62040755881043</t>
  </si>
  <si>
    <t>1.67992479299215</t>
  </si>
  <si>
    <t>1.2969136763507</t>
  </si>
  <si>
    <t>1.70417119144814</t>
  </si>
  <si>
    <t>0.694871191088424</t>
  </si>
  <si>
    <t>0.366160426431094</t>
  </si>
  <si>
    <t>1.34990112558344</t>
  </si>
  <si>
    <t>6.34319040438669</t>
  </si>
  <si>
    <t>3.79259432080659</t>
  </si>
  <si>
    <t>0.51621359451255</t>
  </si>
  <si>
    <t>3.16880591763069</t>
  </si>
  <si>
    <t>-0.0657907081124165</t>
  </si>
  <si>
    <t>2.25117671768882</t>
  </si>
  <si>
    <t>0.634499412707342</t>
  </si>
  <si>
    <t>2.04911821248874</t>
  </si>
  <si>
    <t>2.27780069623213</t>
  </si>
  <si>
    <t>1.99252866901941</t>
  </si>
  <si>
    <t>4.56806155593893</t>
  </si>
  <si>
    <t>7.31747346139713</t>
  </si>
  <si>
    <t>2.44354972167015</t>
  </si>
  <si>
    <t>6.41308916654143</t>
  </si>
  <si>
    <t>14.8404211422096</t>
  </si>
  <si>
    <t>23.213026722833</t>
  </si>
  <si>
    <t>24.540889814963</t>
  </si>
  <si>
    <t>16.6017816978669</t>
  </si>
  <si>
    <t>16.9387781438869</t>
  </si>
  <si>
    <t>7.90848153079263</t>
  </si>
  <si>
    <t>9.14996821966803</t>
  </si>
  <si>
    <t>18.8295804083122</t>
  </si>
  <si>
    <t>41.1021486140467</t>
  </si>
  <si>
    <t>84.1718893960475</t>
  </si>
  <si>
    <t>28.9315076925816</t>
  </si>
  <si>
    <t>16.6945063131047</t>
  </si>
  <si>
    <t>20.5452146631639</t>
  </si>
  <si>
    <t>18.0499235187227</t>
  </si>
  <si>
    <t>10.1443832689497</t>
  </si>
  <si>
    <t>18.8392734281974</t>
  </si>
  <si>
    <t>15.2483194530395</t>
  </si>
  <si>
    <t>18.547900299178</t>
  </si>
  <si>
    <t>64.7746866644664</t>
  </si>
  <si>
    <t>19.7288531389566</t>
  </si>
  <si>
    <t>10.4355721620947</t>
  </si>
  <si>
    <t>15.6704773415581</t>
  </si>
  <si>
    <t>21.2362437915176</t>
  </si>
  <si>
    <t>15.0750668844792</t>
  </si>
  <si>
    <t>14.6798929235783</t>
  </si>
  <si>
    <t>11.938194929376</t>
  </si>
  <si>
    <t>11.0294713789058</t>
  </si>
  <si>
    <t>9.38971354763002</t>
  </si>
  <si>
    <t>9.72093785734141</t>
  </si>
  <si>
    <t>9.78688628299894</t>
  </si>
  <si>
    <t>10.6482369879288</t>
  </si>
  <si>
    <t>13.3503494314835</t>
  </si>
  <si>
    <t>13.0133254440442</t>
  </si>
  <si>
    <t>12.9843104872931</t>
  </si>
  <si>
    <t>10.5167859473878</t>
  </si>
  <si>
    <t>11.4237857850437</t>
  </si>
  <si>
    <t>9.70133091776152</t>
  </si>
  <si>
    <t>6.6288448617527</t>
  </si>
  <si>
    <t>4.5932251410207</t>
  </si>
  <si>
    <t>4.73363297222332</t>
  </si>
  <si>
    <t>4.59021167481144</t>
  </si>
  <si>
    <t>6.20692042008149</t>
  </si>
  <si>
    <t>3.95521539698855</t>
  </si>
  <si>
    <t>1.95876480203574</t>
  </si>
  <si>
    <t>2.8588837280198</t>
  </si>
  <si>
    <t>2.19247842793764</t>
  </si>
  <si>
    <t>2.56679211746589</t>
  </si>
  <si>
    <t>0.772593247062218</t>
  </si>
  <si>
    <t>2.37413082580539</t>
  </si>
  <si>
    <t>6.28038513680281</t>
  </si>
  <si>
    <t>-0.087922596921004</t>
  </si>
  <si>
    <t>2.13265754044683</t>
  </si>
  <si>
    <t>1.22329852483777</t>
  </si>
  <si>
    <t>2.01533164866107</t>
  </si>
  <si>
    <t>0.85077799356695</t>
  </si>
  <si>
    <t>1.74264703749007</t>
  </si>
  <si>
    <t>3.7023926109452</t>
  </si>
  <si>
    <t>4.07121651019521</t>
  </si>
  <si>
    <t>4.23705260746499</t>
  </si>
  <si>
    <t>3.77026380107223</t>
  </si>
  <si>
    <t>4.61760513906856</t>
  </si>
  <si>
    <t>4.82322759821051</t>
  </si>
  <si>
    <t>6.57492379595229</t>
  </si>
  <si>
    <t>12.7431839628663</t>
  </si>
  <si>
    <t>23.5791241781104</t>
  </si>
  <si>
    <t>15.0636457866816</t>
  </si>
  <si>
    <t>1.773574856236</t>
  </si>
  <si>
    <t>5.99641554526737</t>
  </si>
  <si>
    <t>8.19050329895958</t>
  </si>
  <si>
    <t>10.1235569137839</t>
  </si>
  <si>
    <t>11.7581557473054</t>
  </si>
  <si>
    <t>7.35599943990151</t>
  </si>
  <si>
    <t>4.7148727121992</t>
  </si>
  <si>
    <t>4.45086843820029</t>
  </si>
  <si>
    <t>4.58356265672802</t>
  </si>
  <si>
    <t>4.49885935044931</t>
  </si>
  <si>
    <t>5.68893659993266</t>
  </si>
  <si>
    <t>4.82665635209587</t>
  </si>
  <si>
    <t>1.99085029890244</t>
  </si>
  <si>
    <t>3.19076291832734</t>
  </si>
  <si>
    <t>1.49369976851179</t>
  </si>
  <si>
    <t>2.80018158531561</t>
  </si>
  <si>
    <t>2.53638991143232</t>
  </si>
  <si>
    <t>3.74722621391517</t>
  </si>
  <si>
    <t>2.53277352430888</t>
  </si>
  <si>
    <t>0.318436532246153</t>
  </si>
  <si>
    <t>1.6853218819098</t>
  </si>
  <si>
    <t>1.09274185566588</t>
  </si>
  <si>
    <t>1.20132522527356</t>
  </si>
  <si>
    <t>2.17154353020716</t>
  </si>
  <si>
    <t>2.38707108730274</t>
  </si>
  <si>
    <t>-0.866950860241658</t>
  </si>
  <si>
    <t>2.79031777299367</t>
  </si>
  <si>
    <t>4.22003570092014</t>
  </si>
  <si>
    <t>4.03314414454677</t>
  </si>
  <si>
    <t>11.8571828061156</t>
  </si>
  <si>
    <t>6.95865374747314</t>
  </si>
  <si>
    <t>3.25154395706646</t>
  </si>
  <si>
    <t>11.8588811241342</t>
  </si>
  <si>
    <t>4.32920623109206</t>
  </si>
  <si>
    <t>0.523193938382221</t>
  </si>
  <si>
    <t>-4.19392437746914</t>
  </si>
  <si>
    <t>9.3212150510618</t>
  </si>
  <si>
    <t>2.92801401942519</t>
  </si>
  <si>
    <t>5.39532857189846</t>
  </si>
  <si>
    <t>-2.53694771408306</t>
  </si>
  <si>
    <t>-2.22754954724425</t>
  </si>
  <si>
    <t>1.59660388711069</t>
  </si>
  <si>
    <t>2.58438977543176</t>
  </si>
  <si>
    <t>-2.15753517247596</t>
  </si>
  <si>
    <t>-3.91406104200459</t>
  </si>
  <si>
    <t>0.610485387429534</t>
  </si>
  <si>
    <t>1.23322040459593</t>
  </si>
  <si>
    <t>0.62484395052293</t>
  </si>
  <si>
    <t>5.26127457206044</t>
  </si>
  <si>
    <t>-7.3878434552455</t>
  </si>
  <si>
    <t>3.74572134364692</t>
  </si>
  <si>
    <t>18.9754918350441</t>
  </si>
  <si>
    <t>26.2820317225224</t>
  </si>
  <si>
    <t>10.5086672297491</t>
  </si>
  <si>
    <t>-2.6716168630164</t>
  </si>
  <si>
    <t>-1.35258710918154</t>
  </si>
  <si>
    <t>1.29910517540051</t>
  </si>
  <si>
    <t>3.78909596676355</t>
  </si>
  <si>
    <t>1.74116359273691</t>
  </si>
  <si>
    <t>0.454939112139584</t>
  </si>
  <si>
    <t>4.53317575927858</t>
  </si>
  <si>
    <t>2.97351054323785</t>
  </si>
  <si>
    <t>0.605978559202299</t>
  </si>
  <si>
    <t>0.380080729225</t>
  </si>
  <si>
    <t>10.3655612005023</t>
  </si>
  <si>
    <t>3.58977546191458</t>
  </si>
  <si>
    <t>-0.344532566813086</t>
  </si>
  <si>
    <t>0.634175020657153</t>
  </si>
  <si>
    <t>1.20204852948169</t>
  </si>
  <si>
    <t>4.32376713223725</t>
  </si>
  <si>
    <t>2.91405780485152</t>
  </si>
  <si>
    <t>2.65783023966264</t>
  </si>
  <si>
    <t>3.46337574129474</t>
  </si>
  <si>
    <t>3.43904876302352</t>
  </si>
  <si>
    <t>4.32834924313742</t>
  </si>
  <si>
    <t>4.11359090116284</t>
  </si>
  <si>
    <t>1.03226933491902</t>
  </si>
  <si>
    <t>3.54474299448344</t>
  </si>
  <si>
    <t>16.5559626167225</t>
  </si>
  <si>
    <t>401.591191263656</t>
  </si>
  <si>
    <t>14.1554019623172</t>
  </si>
  <si>
    <t>1.78999857118836</t>
  </si>
  <si>
    <t>0.410001233829732</t>
  </si>
  <si>
    <t>1.61999985788088</t>
  </si>
  <si>
    <t>1.38000006901808</t>
  </si>
  <si>
    <t>4.1000007530757</t>
  </si>
  <si>
    <t>3.13000095849051</t>
  </si>
  <si>
    <t>2.99999676544999</t>
  </si>
  <si>
    <t>6.900002850503</t>
  </si>
  <si>
    <t>1.79999792995866</t>
  </si>
  <si>
    <t>2.77999992864359</t>
  </si>
  <si>
    <t>-1.22227291824896</t>
  </si>
  <si>
    <t>3.18400059113418</t>
  </si>
  <si>
    <t>1.3323001564294</t>
  </si>
  <si>
    <t>1.49869869811268</t>
  </si>
  <si>
    <t>-0.476487692925147</t>
  </si>
  <si>
    <t>-0.0472619991623873</t>
  </si>
  <si>
    <t>1.58549917027221</t>
  </si>
  <si>
    <t>2.58479965749217</t>
  </si>
  <si>
    <t>2.62590163550418</t>
  </si>
  <si>
    <t>2.68113286971705</t>
  </si>
  <si>
    <t>3.75902232115968</t>
  </si>
  <si>
    <t>4.99778285828292</t>
  </si>
  <si>
    <t>2.40355185282874</t>
  </si>
  <si>
    <t>3.07284853429965</t>
  </si>
  <si>
    <t>3.04772749497712</t>
  </si>
  <si>
    <t>0.610375781069393</t>
  </si>
  <si>
    <t>-0.20640583789077</t>
  </si>
  <si>
    <t>-0.46045298844831</t>
  </si>
  <si>
    <t>1.26141317100767</t>
  </si>
  <si>
    <t>1.37820331588176</t>
  </si>
  <si>
    <t>0.886728378363429</t>
  </si>
  <si>
    <t>0.341900567720671</t>
  </si>
  <si>
    <t>1.00009233254727</t>
  </si>
  <si>
    <t>1.98679824630499</t>
  </si>
  <si>
    <t>2.66279949920632</t>
  </si>
  <si>
    <t>3.39631203940991</t>
  </si>
  <si>
    <t>0.139369732138746</t>
  </si>
  <si>
    <t>2.1453321619356</t>
  </si>
  <si>
    <t>3.58324759973381</t>
  </si>
  <si>
    <t>3.64092096854627</t>
  </si>
  <si>
    <t>8.02874442016066</t>
  </si>
  <si>
    <t>8.89688573551845</t>
  </si>
  <si>
    <t>11.0730442712237</t>
  </si>
  <si>
    <t>13.1367049869291</t>
  </si>
  <si>
    <t>14.1533434547891</t>
  </si>
  <si>
    <t>12.3888522901212</t>
  </si>
  <si>
    <t>10.3526003680226</t>
  </si>
  <si>
    <t>5.0446041127362</t>
  </si>
  <si>
    <t>8.18191973105762</t>
  </si>
  <si>
    <t>5.66770863777633</t>
  </si>
  <si>
    <t>4.15066893813056</t>
  </si>
  <si>
    <t>3.86184870380228</t>
  </si>
  <si>
    <t>3.19369265322369</t>
  </si>
  <si>
    <t>4.75174393056031</t>
  </si>
  <si>
    <t>5.43312494588983</t>
  </si>
  <si>
    <t>3.88800616570617</t>
  </si>
  <si>
    <t>6.04138227637534</t>
  </si>
  <si>
    <t>4.80313298735663</t>
  </si>
  <si>
    <t>5.27098234276015</t>
  </si>
  <si>
    <t>13.5978512264089</t>
  </si>
  <si>
    <t>2.64093242995085</t>
  </si>
  <si>
    <t>2.23692137479574</t>
  </si>
  <si>
    <t>1.96571532051797</t>
  </si>
  <si>
    <t>2.30197021492987</t>
  </si>
  <si>
    <t>2.74344564026107</t>
  </si>
  <si>
    <t>3.66029355253119</t>
  </si>
  <si>
    <t>0.296396056514055</t>
  </si>
  <si>
    <t>5.38769793007168</t>
  </si>
  <si>
    <t>2.70922879204608</t>
  </si>
  <si>
    <t>2.01950935851605</t>
  </si>
  <si>
    <t>3.086062010182</t>
  </si>
  <si>
    <t>4.138210620417</t>
  </si>
  <si>
    <t>4.73480325951397</t>
  </si>
  <si>
    <t>0.263083463505069</t>
  </si>
  <si>
    <t>1.88051148001726</t>
  </si>
  <si>
    <t>1.61624900011381</t>
  </si>
  <si>
    <t>1.67877921551435</t>
  </si>
  <si>
    <t>-0.937739537664939</t>
  </si>
  <si>
    <t>-1.33826258326664</t>
  </si>
  <si>
    <t>-0.754233926922836</t>
  </si>
  <si>
    <t>-0.574742676988038</t>
  </si>
  <si>
    <t>1.02039367253803</t>
  </si>
  <si>
    <t>1.02575008362142</t>
  </si>
  <si>
    <t>1.35009084401798</t>
  </si>
  <si>
    <t>-1.20792011655351</t>
  </si>
  <si>
    <t>3.04391069697645</t>
  </si>
  <si>
    <t>6.68855378219979</t>
  </si>
  <si>
    <t>3.82970232014782</t>
  </si>
  <si>
    <t>36.1923885740291</t>
  </si>
  <si>
    <t>12.3572626074462</t>
  </si>
  <si>
    <t>21.0088029382592</t>
  </si>
  <si>
    <t>12.3419665591383</t>
  </si>
  <si>
    <t>9.10736666718851</t>
  </si>
  <si>
    <t>9.90987340832051</t>
  </si>
  <si>
    <t>8.35344537181983</t>
  </si>
  <si>
    <t>9.8375386098984</t>
  </si>
  <si>
    <t>3.11518146986791</t>
  </si>
  <si>
    <t>1.75947549977866</t>
  </si>
  <si>
    <t>4.93457746461048</t>
  </si>
  <si>
    <t>2.80027663544087</t>
  </si>
  <si>
    <t>1.41248099534141</t>
  </si>
  <si>
    <t>4.05711059265661</t>
  </si>
  <si>
    <t>0.117801171537195</t>
  </si>
  <si>
    <t>0.683240174112825</t>
  </si>
  <si>
    <t>3.5608713781301</t>
  </si>
  <si>
    <t>2.02633116957389</t>
  </si>
  <si>
    <t>2.64518583028629</t>
  </si>
  <si>
    <t>-0.485125312858614</t>
  </si>
  <si>
    <t>-0.221133399885247</t>
  </si>
  <si>
    <t>1.3433900864304</t>
  </si>
  <si>
    <t>1.27158777843077</t>
  </si>
  <si>
    <t>2.70671595220047</t>
  </si>
  <si>
    <t>1.49123390258281</t>
  </si>
  <si>
    <t>1.68362051457846</t>
  </si>
  <si>
    <t>2.81335978857678</t>
  </si>
  <si>
    <t>3.84131790816744</t>
  </si>
  <si>
    <t>4.51623222399486</t>
  </si>
  <si>
    <t>4.03442638918558</t>
  </si>
  <si>
    <t>8.67110088094911</t>
  </si>
  <si>
    <t>8.15889263966358</t>
  </si>
  <si>
    <t>5.06399483595219</t>
  </si>
  <si>
    <t>3.95726648204879</t>
  </si>
  <si>
    <t>3.1624704179473</t>
  </si>
  <si>
    <t>3.04656689764435</t>
  </si>
  <si>
    <t>3.83413668141084</t>
  </si>
  <si>
    <t>3.42040623547844</t>
  </si>
  <si>
    <t>1.58905537962025</t>
  </si>
  <si>
    <t>2.08783593508825</t>
  </si>
  <si>
    <t>4.20898794994788</t>
  </si>
  <si>
    <t>7.63243443776081</t>
  </si>
  <si>
    <t>7.62133644851204</t>
  </si>
  <si>
    <t>4.53185708631432</t>
  </si>
  <si>
    <t>6.29951367288828</t>
  </si>
  <si>
    <t>7.27529021133569</t>
  </si>
  <si>
    <t>5.66662372271809</t>
  </si>
  <si>
    <t>3.30619449101819</t>
  </si>
  <si>
    <t>3.10071819498725</t>
  </si>
  <si>
    <t>3.54584179585262</t>
  </si>
  <si>
    <t>4.27814064284276</t>
  </si>
  <si>
    <t>5.45118939817411</t>
  </si>
  <si>
    <t>4.17523874995271</t>
  </si>
  <si>
    <t>4.58105864804061</t>
  </si>
  <si>
    <t>2.8079385591948</t>
  </si>
  <si>
    <t>1.98914628247739</t>
  </si>
  <si>
    <t>2.12472568090982</t>
  </si>
  <si>
    <t>2.99954314388904</t>
  </si>
  <si>
    <t>1.27966357283455</t>
  </si>
  <si>
    <t>1.69046133500461</t>
  </si>
  <si>
    <t>2.87906670267614</t>
  </si>
  <si>
    <t>3.39664349818692</t>
  </si>
  <si>
    <t>3.08507977220826</t>
  </si>
  <si>
    <t>5.3103247833801</t>
  </si>
  <si>
    <t>3.78517727389251</t>
  </si>
  <si>
    <t>1.94297425372478</t>
  </si>
  <si>
    <t>1.83526453967376</t>
  </si>
  <si>
    <t>0.463925542062341</t>
  </si>
  <si>
    <t>0.145023203053299</t>
  </si>
  <si>
    <t>0.691825651484692</t>
  </si>
  <si>
    <t>0.573860203168849</t>
  </si>
  <si>
    <t>-0.343812757492771</t>
  </si>
  <si>
    <t>1.4329895045</t>
  </si>
  <si>
    <t>1.49930880788536</t>
  </si>
  <si>
    <t>1.32178165560011</t>
  </si>
  <si>
    <t>1.15505926547247</t>
  </si>
  <si>
    <t>0.534316525502064</t>
  </si>
  <si>
    <t>0.446999819733776</t>
  </si>
  <si>
    <t>1.83955502364017</t>
  </si>
  <si>
    <t>0.947839900359398</t>
  </si>
  <si>
    <t>1.9947040666511</t>
  </si>
  <si>
    <t>0.682498555076293</t>
  </si>
  <si>
    <t>1.23193488042945</t>
  </si>
  <si>
    <t>1.43207641485445</t>
  </si>
  <si>
    <t>1.99503161955657</t>
  </si>
  <si>
    <t>1.90082487333854</t>
  </si>
  <si>
    <t>1.68539778304084</t>
  </si>
  <si>
    <t>1.25625862371237</t>
  </si>
  <si>
    <t>1.46798919402306</t>
  </si>
  <si>
    <t>1.86533423127291</t>
  </si>
  <si>
    <t>2.01597612377067</t>
  </si>
  <si>
    <t>1.75504597095741</t>
  </si>
  <si>
    <t>2.80292938819132</t>
  </si>
  <si>
    <t>6.09185662231558</t>
  </si>
  <si>
    <t>6.14291653024772</t>
  </si>
  <si>
    <t>1.26230441351029</t>
  </si>
  <si>
    <t>1.80710082094966</t>
  </si>
  <si>
    <t>0.302782333572253</t>
  </si>
  <si>
    <t>0.562231530282162</t>
  </si>
  <si>
    <t>0.656016212542539</t>
  </si>
  <si>
    <t>0.449797430981619</t>
  </si>
  <si>
    <t>1.77780976577868</t>
  </si>
  <si>
    <t>1.70103136920272</t>
  </si>
  <si>
    <t>4.61922015773493</t>
  </si>
  <si>
    <t>4.56452579428684</t>
  </si>
  <si>
    <t>12.6695272344279</t>
  </si>
  <si>
    <t>17.9587700780419</t>
  </si>
  <si>
    <t>16.7098742344591</t>
  </si>
  <si>
    <t>1.75796252431778</t>
  </si>
  <si>
    <t>7.45947488558427</t>
  </si>
  <si>
    <t>6.17790852596886</t>
  </si>
  <si>
    <t>7.93420864188209</t>
  </si>
  <si>
    <t>5.64147885246393</t>
  </si>
  <si>
    <t>5.69387014072844</t>
  </si>
  <si>
    <t>8.4074116275235</t>
  </si>
  <si>
    <t>3.20835538066659</t>
  </si>
  <si>
    <t>7.65072819464874</t>
  </si>
  <si>
    <t>4.38687659058799</t>
  </si>
  <si>
    <t>2.67971049935618</t>
  </si>
  <si>
    <t>7.63952702514015</t>
  </si>
  <si>
    <t>0.783933916986541</t>
  </si>
  <si>
    <t>3.26494808236369</t>
  </si>
  <si>
    <t>1.44486820365744</t>
  </si>
  <si>
    <t>2.54011293205791</t>
  </si>
  <si>
    <t>-1.78273060588339</t>
  </si>
  <si>
    <t>2.08434537110425</t>
  </si>
  <si>
    <t>0.790588617204534</t>
  </si>
  <si>
    <t>-3.11927298068933</t>
  </si>
  <si>
    <t>3.79200651376708</t>
  </si>
  <si>
    <t>-1.4482278443829</t>
  </si>
  <si>
    <t>2.36708049903913</t>
  </si>
  <si>
    <t>1.52504863379201</t>
  </si>
  <si>
    <t>1.50837811577367</t>
  </si>
  <si>
    <t>8.00391387466848</t>
  </si>
  <si>
    <t>0.296969744927253</t>
  </si>
  <si>
    <t>-1.96154334602758</t>
  </si>
  <si>
    <t>3.56648686732856</t>
  </si>
  <si>
    <t>-0.297826834035376</t>
  </si>
  <si>
    <t>6.81983377311113</t>
  </si>
  <si>
    <t>3.69789870271713</t>
  </si>
  <si>
    <t>-3.07331479794894</t>
  </si>
  <si>
    <t>2.72491582561258</t>
  </si>
  <si>
    <t>4.48328635371882</t>
  </si>
  <si>
    <t>-1.13372148579388</t>
  </si>
  <si>
    <t>3.02596515876192</t>
  </si>
  <si>
    <t>3.56303629768684</t>
  </si>
  <si>
    <t>2.86621599756806</t>
  </si>
  <si>
    <t>4.30662538245001</t>
  </si>
  <si>
    <t>6.63590469250536</t>
  </si>
  <si>
    <t>5.77348480270352</t>
  </si>
  <si>
    <t>4.61103122256725</t>
  </si>
  <si>
    <t>7.43646978605699</t>
  </si>
  <si>
    <t>6.83265872288008</t>
  </si>
  <si>
    <t>4.10317183918296</t>
  </si>
  <si>
    <t>5.33329385228778</t>
  </si>
  <si>
    <t>6.87104584834719</t>
  </si>
  <si>
    <t>8.75392579840739</t>
  </si>
  <si>
    <t>7.26840470062966</t>
  </si>
  <si>
    <t>9.72956356971453</t>
  </si>
  <si>
    <t>9.92201984495841</t>
  </si>
  <si>
    <t>13.0163851456975</t>
  </si>
  <si>
    <t>13.2620280902033</t>
  </si>
  <si>
    <t>9.28152197995908</t>
  </si>
  <si>
    <t>8.77068350733032</t>
  </si>
  <si>
    <t>8.83346528835808</t>
  </si>
  <si>
    <t>6.99564867005694</t>
  </si>
  <si>
    <t>8.57842770007463</t>
  </si>
  <si>
    <t>10.5207307811006</t>
  </si>
  <si>
    <t>10.0698689673917</t>
  </si>
  <si>
    <t>7.35334859502841</t>
  </si>
  <si>
    <t>5.90819816061936</t>
  </si>
  <si>
    <t>4.21552712211732</t>
  </si>
  <si>
    <t>2.43538831271243</t>
  </si>
  <si>
    <t>4.70878671138813</t>
  </si>
  <si>
    <t>3.85542367163568</t>
  </si>
  <si>
    <t>4.83202881347719</t>
  </si>
  <si>
    <t>2.48227487321037</t>
  </si>
  <si>
    <t>2.58350897833941</t>
  </si>
  <si>
    <t>1.6563781273335</t>
  </si>
  <si>
    <t>0.577377853300163</t>
  </si>
  <si>
    <t>1.56774667749839</t>
  </si>
  <si>
    <t>1.27912066510858</t>
  </si>
  <si>
    <t>2.02364334202318</t>
  </si>
  <si>
    <t>2.01316864193851</t>
  </si>
  <si>
    <t>1.23236516365954</t>
  </si>
  <si>
    <t>1.68744510052814</t>
  </si>
  <si>
    <t>3.01337860060458</t>
  </si>
  <si>
    <t>2.51734647587271</t>
  </si>
  <si>
    <t>2.38932906577161</t>
  </si>
  <si>
    <t>1.49453569209793</t>
  </si>
  <si>
    <t>2.08488936896001</t>
  </si>
  <si>
    <t>2.89794820154816</t>
  </si>
  <si>
    <t>2.0885516235807</t>
  </si>
  <si>
    <t>2.42481356608116</t>
  </si>
  <si>
    <t>4.2542588202313</t>
  </si>
  <si>
    <t>0.571749193755537</t>
  </si>
  <si>
    <t>3.18685980343099</t>
  </si>
  <si>
    <t>0.646380325027508</t>
  </si>
  <si>
    <t>2.4078426280274</t>
  </si>
  <si>
    <t>0.846911221576292</t>
  </si>
  <si>
    <t>1.01870652494551</t>
  </si>
  <si>
    <t>0.409102896444253</t>
  </si>
  <si>
    <t>0.4265129525064</t>
  </si>
  <si>
    <t>1.10061874339993</t>
  </si>
  <si>
    <t>0.593022200778364</t>
  </si>
  <si>
    <t>0.950878601964675</t>
  </si>
  <si>
    <t>2.82692165384543</t>
  </si>
  <si>
    <t>2.76891919858527</t>
  </si>
  <si>
    <t>9.09696553405558</t>
  </si>
  <si>
    <t>-3.78891798596015</t>
  </si>
  <si>
    <t>-0.417940393839757</t>
  </si>
  <si>
    <t>7.64018892884329</t>
  </si>
  <si>
    <t>7.19040312070491</t>
  </si>
  <si>
    <t>2.10625591237044</t>
  </si>
  <si>
    <t>-1.05685933961432</t>
  </si>
  <si>
    <t>-2.3587100387178</t>
  </si>
  <si>
    <t>1.78630754240605</t>
  </si>
  <si>
    <t>4.03252788669886</t>
  </si>
  <si>
    <t>2.83048390810596</t>
  </si>
  <si>
    <t>2.11170632360151</t>
  </si>
  <si>
    <t>1.18423942482401</t>
  </si>
  <si>
    <t>8.02738223520296</t>
  </si>
  <si>
    <t>4.50639675396074</t>
  </si>
  <si>
    <t>17.7091773935642</t>
  </si>
  <si>
    <t>16.9467888939135</t>
  </si>
  <si>
    <t>2.86725144986883</t>
  </si>
  <si>
    <t>10.5763558516076</t>
  </si>
  <si>
    <t>1.04805886434811</t>
  </si>
  <si>
    <t>11.1107841154809</t>
  </si>
  <si>
    <t>13.8844044227522</t>
  </si>
  <si>
    <t>7.24221926680188</t>
  </si>
  <si>
    <t>7.5120252384536</t>
  </si>
  <si>
    <t>6.59639825173402</t>
  </si>
  <si>
    <t>24.1842904668865</t>
  </si>
  <si>
    <t>38.3672891395716</t>
  </si>
  <si>
    <t>9.38727107753954</t>
  </si>
  <si>
    <t>14.4229487541989</t>
  </si>
  <si>
    <t>43.5358714924251</t>
  </si>
  <si>
    <t>23.6088104242026</t>
  </si>
  <si>
    <t>50.4592630804603</t>
  </si>
  <si>
    <t>102.961441237933</t>
  </si>
  <si>
    <t>5.56829005918074</t>
  </si>
  <si>
    <t>4.98376306166659</t>
  </si>
  <si>
    <t>10.1358756655482</t>
  </si>
  <si>
    <t>9.65238600151766</t>
  </si>
  <si>
    <t>3.66973684319389</t>
  </si>
  <si>
    <t>9.45133281239818</t>
  </si>
  <si>
    <t>6.50470125160993</t>
  </si>
  <si>
    <t>3.83415440241939</t>
  </si>
  <si>
    <t>7.20776279717097</t>
  </si>
  <si>
    <t>6.04073883566554</t>
  </si>
  <si>
    <t>6.92066884933828</t>
  </si>
  <si>
    <t>33.4615406633308</t>
  </si>
  <si>
    <t>45.166310045594</t>
  </si>
  <si>
    <t>5.78125184255489</t>
  </si>
  <si>
    <t>6.64124477285613</t>
  </si>
  <si>
    <t>7.63662743651099</t>
  </si>
  <si>
    <t>10.3916875139185</t>
  </si>
  <si>
    <t>3.49814656597557</t>
  </si>
  <si>
    <t>5.44341331542486</t>
  </si>
  <si>
    <t>8.06075517514766</t>
  </si>
  <si>
    <t>5.09818154500647</t>
  </si>
  <si>
    <t>4.69281914231266</t>
  </si>
  <si>
    <t>4.32128893767675</t>
  </si>
  <si>
    <t>2.47188597709767</t>
  </si>
  <si>
    <t>1.99367846452935</t>
  </si>
  <si>
    <t>4.18137503365021</t>
  </si>
  <si>
    <t>4.12148968696981</t>
  </si>
  <si>
    <t>2.52561865647056</t>
  </si>
  <si>
    <t>4.72350401957794</t>
  </si>
  <si>
    <t>7.77715811136834</t>
  </si>
  <si>
    <t>10.7141556508469</t>
  </si>
  <si>
    <t>6.42391980187598</t>
  </si>
  <si>
    <t>3.47172028312757</t>
  </si>
  <si>
    <t>2.35127905149631</t>
  </si>
  <si>
    <t>0.549331893043714</t>
  </si>
  <si>
    <t>1.69518281504695</t>
  </si>
  <si>
    <t>1.50133145684521</t>
  </si>
  <si>
    <t>1.81781454211509</t>
  </si>
  <si>
    <t>1.31204101872765</t>
  </si>
  <si>
    <t>3.14205629857732</t>
  </si>
  <si>
    <t>1.92108454415403</t>
  </si>
  <si>
    <t>4.94044573035421</t>
  </si>
  <si>
    <t>17.1519638475775</t>
  </si>
  <si>
    <t>-4.60646101678381</t>
  </si>
  <si>
    <t>9.62761164531187</t>
  </si>
  <si>
    <t>48.8965904234801</t>
  </si>
  <si>
    <t>5.91402210988103</t>
  </si>
  <si>
    <t>10.8405927239728</t>
  </si>
  <si>
    <t>11.9270994216284</t>
  </si>
  <si>
    <t>10.0851210706538</t>
  </si>
  <si>
    <t>13.9878379189279</t>
  </si>
  <si>
    <t>25.8620387631097</t>
  </si>
  <si>
    <t>14.3539994913129</t>
  </si>
  <si>
    <t>1.93979420753327</t>
  </si>
  <si>
    <t>6.80479588677552</t>
  </si>
  <si>
    <t>8.43350556203121</t>
  </si>
  <si>
    <t>4.972526402282</t>
  </si>
  <si>
    <t>2.40534325293109</t>
  </si>
  <si>
    <t>8.84202042232948</t>
  </si>
  <si>
    <t>9.06096347700196</t>
  </si>
  <si>
    <t>16.0113735157292</t>
  </si>
  <si>
    <t>30.2595985375162</t>
  </si>
  <si>
    <t>53.7886041732611</t>
  </si>
  <si>
    <t>21.9261145250848</t>
  </si>
  <si>
    <t>13.6244246595528</t>
  </si>
  <si>
    <t>29.0776473235513</t>
  </si>
  <si>
    <t>28.5770375307282</t>
  </si>
  <si>
    <t>24.0219040663611</t>
  </si>
  <si>
    <t>7.0019630481718</t>
  </si>
  <si>
    <t>10.8563363102205</t>
  </si>
  <si>
    <t>22.6780091898695</t>
  </si>
  <si>
    <t>8.01436296032362</t>
  </si>
  <si>
    <t>1.37285594197843</t>
  </si>
  <si>
    <t>8.94246223966068</t>
  </si>
  <si>
    <t>11.4465037894298</t>
  </si>
  <si>
    <t>12.3615933409306</t>
  </si>
  <si>
    <t>10.7811837491585</t>
  </si>
  <si>
    <t>7.09551578753664</t>
  </si>
  <si>
    <t>15.1178821648641</t>
  </si>
  <si>
    <t>-7.37374817582526</t>
  </si>
  <si>
    <t>15.5569181228695</t>
  </si>
  <si>
    <t>16.908708362389</t>
  </si>
  <si>
    <t>8.0024465381386</t>
  </si>
  <si>
    <t>0.892752993665269</t>
  </si>
  <si>
    <t>1.45036466088149</t>
  </si>
  <si>
    <t>-4.98674479527003</t>
  </si>
  <si>
    <t>0.85668822422295</t>
  </si>
  <si>
    <t>4.93800729466362</t>
  </si>
  <si>
    <t>6.16467836481588</t>
  </si>
  <si>
    <t>0.882992828066392</t>
  </si>
  <si>
    <t>-4.71138391622452</t>
  </si>
  <si>
    <t>15.9325995891296</t>
  </si>
  <si>
    <t>22.9512626061838</t>
  </si>
  <si>
    <t>3.41352952874581</t>
  </si>
  <si>
    <t>6.82337121748282</t>
  </si>
  <si>
    <t>15.9974512046132</t>
  </si>
  <si>
    <t>14.7826810978841</t>
  </si>
  <si>
    <t>8.37841166986657</t>
  </si>
  <si>
    <t>8.14049887970447</t>
  </si>
  <si>
    <t>7.1660473718563</t>
  </si>
  <si>
    <t>5.840056527995</t>
  </si>
  <si>
    <t>11.0274036098441</t>
  </si>
  <si>
    <t>12.6684664265555</t>
  </si>
  <si>
    <t>7.25655290872727</t>
  </si>
  <si>
    <t>7.4408475782832</t>
  </si>
  <si>
    <t>6.88343792478542</t>
  </si>
  <si>
    <t>4.87981945493995</t>
  </si>
  <si>
    <t>3.66019517535659</t>
  </si>
  <si>
    <t>2.97161708354063</t>
  </si>
  <si>
    <t>7.58192030213397</t>
  </si>
  <si>
    <t>8.49671037009577</t>
  </si>
  <si>
    <t>6.62688138994744</t>
  </si>
  <si>
    <t>7.84295439890477</t>
  </si>
  <si>
    <t>7.24567434406092</t>
  </si>
  <si>
    <t>7.44750453397867</t>
  </si>
  <si>
    <t>6.4906547671219</t>
  </si>
  <si>
    <t>7.70059550868136</t>
  </si>
  <si>
    <t>5.74023614562722</t>
  </si>
  <si>
    <t>5.95130751582053</t>
  </si>
  <si>
    <t>7.44795342675249</t>
  </si>
  <si>
    <t>6.12145266042883</t>
  </si>
  <si>
    <t>2.63973272434666</t>
  </si>
  <si>
    <t>4.02071928409904</t>
  </si>
  <si>
    <t>4.23109181372058</t>
  </si>
  <si>
    <t>5.48742913790147</t>
  </si>
  <si>
    <t>5.000584125964</t>
  </si>
  <si>
    <t>6.64518598144788</t>
  </si>
  <si>
    <t>5.27411064845734</t>
  </si>
  <si>
    <t>7.31471517255495</t>
  </si>
  <si>
    <t>1.76512587619911</t>
  </si>
  <si>
    <t>6.26499886932319</t>
  </si>
  <si>
    <t>5.41240809007968</t>
  </si>
  <si>
    <t>3.57651352093811</t>
  </si>
  <si>
    <t>2.8690452471251</t>
  </si>
  <si>
    <t>3.29936912050763</t>
  </si>
  <si>
    <t>2.53089897431484</t>
  </si>
  <si>
    <t>2.24475651909437</t>
  </si>
  <si>
    <t>2.97917098640468</t>
  </si>
  <si>
    <t>3.74065383086987</t>
  </si>
  <si>
    <t>1.49948619479095</t>
  </si>
  <si>
    <t>1.22360923994052</t>
  </si>
  <si>
    <t>3.71344836687553</t>
  </si>
  <si>
    <t>5.63837728809762</t>
  </si>
  <si>
    <t>3.88899446253055</t>
  </si>
  <si>
    <t>2.18302615562614</t>
  </si>
  <si>
    <t>1.38092060422252</t>
  </si>
  <si>
    <t>2.68689912429289</t>
  </si>
  <si>
    <t>2.82428523118845</t>
  </si>
  <si>
    <t>2.99457830743539</t>
  </si>
  <si>
    <t>3.92852439674358</t>
  </si>
  <si>
    <t>2.60489641084757</t>
  </si>
  <si>
    <t>2.30406297784226</t>
  </si>
  <si>
    <t>2.79636838522836</t>
  </si>
  <si>
    <t>3.83445708302746</t>
  </si>
  <si>
    <t>5.38437111275978</t>
  </si>
  <si>
    <t>6.53921567859017</t>
  </si>
  <si>
    <t>14.5007748307022</t>
  </si>
  <si>
    <t>10.484570374597</t>
  </si>
  <si>
    <t>9.8112146216484</t>
  </si>
  <si>
    <t>7.80423885034955</t>
  </si>
  <si>
    <t>14.4533866545992</t>
  </si>
  <si>
    <t>14.8820201167283</t>
  </si>
  <si>
    <t>9.97891438858039</t>
  </si>
  <si>
    <t>7.50330463052104</t>
  </si>
  <si>
    <t>8.25705979675153</t>
  </si>
  <si>
    <t>6.85120009498726</t>
  </si>
  <si>
    <t>11.0120447485885</t>
  </si>
  <si>
    <t>9.79605539362043</t>
  </si>
  <si>
    <t>8.99639076532455</t>
  </si>
  <si>
    <t>12.2477473848168</t>
  </si>
  <si>
    <t>13.622117597302</t>
  </si>
  <si>
    <t>10.2347484772893</t>
  </si>
  <si>
    <t>10.9994307883572</t>
  </si>
  <si>
    <t>10.5531512046485</t>
  </si>
  <si>
    <t>9.58688164580195</t>
  </si>
  <si>
    <t>8.90000450953323</t>
  </si>
  <si>
    <t>7.2790929776352</t>
  </si>
  <si>
    <t>6.85155067205206</t>
  </si>
  <si>
    <t>7.03140253670993</t>
  </si>
  <si>
    <t>4.77470676867063</t>
  </si>
  <si>
    <t>5.75974076655675</t>
  </si>
  <si>
    <t>7.61152431608578</t>
  </si>
  <si>
    <t>7.02679084259007</t>
  </si>
  <si>
    <t>8.40093821740371</t>
  </si>
  <si>
    <t>4.87312691925838</t>
  </si>
  <si>
    <t>7.00928360259741</t>
  </si>
  <si>
    <t>5.00323590794862</t>
  </si>
  <si>
    <t>4.03979089350075</t>
  </si>
  <si>
    <t>4.04671089085367</t>
  </si>
  <si>
    <t>3.13924707851245</t>
  </si>
  <si>
    <t>2.51784593601241</t>
  </si>
  <si>
    <t>3.81832356943335</t>
  </si>
  <si>
    <t>3.06187945458328</t>
  </si>
  <si>
    <t>3.21740233241114</t>
  </si>
  <si>
    <t>6.00397322136207</t>
  </si>
  <si>
    <t>8.24119195323605</t>
  </si>
  <si>
    <t>4.41698784584244</t>
  </si>
  <si>
    <t>5.11710633806061</t>
  </si>
  <si>
    <t>6.70010160493972</t>
  </si>
  <si>
    <t>12.2750282356832</t>
  </si>
  <si>
    <t>15.5491270691601</t>
  </si>
  <si>
    <t>8.37620012371483</t>
  </si>
  <si>
    <t>7.71891102881668</t>
  </si>
  <si>
    <t>6.6039490294196</t>
  </si>
  <si>
    <t>10.6430017219564</t>
  </si>
  <si>
    <t>12.5988724107745</t>
  </si>
  <si>
    <t>9.31765798772193</t>
  </si>
  <si>
    <t>7.68423546982886</t>
  </si>
  <si>
    <t>6.95012050149641</t>
  </si>
  <si>
    <t>3.83560638346384</t>
  </si>
  <si>
    <t>7.49712585351415</t>
  </si>
  <si>
    <t>7.32801562142799</t>
  </si>
  <si>
    <t>6.44866188713229</t>
  </si>
  <si>
    <t>6.67946936480652</t>
  </si>
  <si>
    <t>6.41295535019266</t>
  </si>
  <si>
    <t>6.79776411793763</t>
  </si>
  <si>
    <t>4.3717230648643</t>
  </si>
  <si>
    <t>3.8038349944364</t>
  </si>
  <si>
    <t>3.40484893119679</t>
  </si>
  <si>
    <t>3.35620268881483</t>
  </si>
  <si>
    <t>3.23574473343956</t>
  </si>
  <si>
    <t>3.64520979181331</t>
  </si>
  <si>
    <t>2.87366048690364</t>
  </si>
  <si>
    <t>2.59524900352988</t>
  </si>
  <si>
    <t>3.36684864796393</t>
  </si>
  <si>
    <t>3.12888319863409</t>
  </si>
  <si>
    <t>3.13919902823034</t>
  </si>
  <si>
    <t>3.40077939399152</t>
  </si>
  <si>
    <t>4.01448119786032</t>
  </si>
  <si>
    <t>3.95374053497327</t>
  </si>
  <si>
    <t>4.55181814081514</t>
  </si>
  <si>
    <t>7.1718933790194</t>
  </si>
  <si>
    <t>1.83440603874207</t>
  </si>
  <si>
    <t>2.9485448087142</t>
  </si>
  <si>
    <t>3.908337110026</t>
  </si>
  <si>
    <t>2.88426651899299</t>
  </si>
  <si>
    <t>2.1268984974193</t>
  </si>
  <si>
    <t>2.27264477705273</t>
  </si>
  <si>
    <t>2.52668356967288</t>
  </si>
  <si>
    <t>1.76808353719983</t>
  </si>
  <si>
    <t>2.72863624113932</t>
  </si>
  <si>
    <t>1.27492101558921</t>
  </si>
  <si>
    <t>3.25017571972322</t>
  </si>
  <si>
    <t>5.46517905025054</t>
  </si>
  <si>
    <t>3.8410061487137</t>
  </si>
  <si>
    <t>93.9213213804937</t>
  </si>
  <si>
    <t>1078.88285465085</t>
  </si>
  <si>
    <t>952.307149668942</t>
  </si>
  <si>
    <t>40.9649508237348</t>
  </si>
  <si>
    <t>17.817642816389</t>
  </si>
  <si>
    <t>9.46173017171613</t>
  </si>
  <si>
    <t>23.0053043870684</t>
  </si>
  <si>
    <t>27.1617380473374</t>
  </si>
  <si>
    <t>10.200915874305</t>
  </si>
  <si>
    <t>5.80322409676619</t>
  </si>
  <si>
    <t>8.32077420436579</t>
  </si>
  <si>
    <t>8.4336944783275</t>
  </si>
  <si>
    <t>7.93510297063291</t>
  </si>
  <si>
    <t>12.046153593928</t>
  </si>
  <si>
    <t>3.26627847024425</t>
  </si>
  <si>
    <t>8.90130951132168</t>
  </si>
  <si>
    <t>10.0870132354684</t>
  </si>
  <si>
    <t>5.69492443855372</t>
  </si>
  <si>
    <t>3.49991704639481</t>
  </si>
  <si>
    <t>3.74965558187807</t>
  </si>
  <si>
    <t>2.19434690627374</t>
  </si>
  <si>
    <t>3.50806334370899</t>
  </si>
  <si>
    <t>6.28980617702843</t>
  </si>
  <si>
    <t>3.33677576027664</t>
  </si>
  <si>
    <t>3.82718214785177</t>
  </si>
  <si>
    <t>2.22797604954881</t>
  </si>
  <si>
    <t>8.47251160639347</t>
  </si>
  <si>
    <t>12.082081128641</t>
  </si>
  <si>
    <t>7.56734869529775</t>
  </si>
  <si>
    <t>5.32211606479522</t>
  </si>
  <si>
    <t>4.14012803869635</t>
  </si>
  <si>
    <t>4.45654851168594</t>
  </si>
  <si>
    <t>3.1863614661543</t>
  </si>
  <si>
    <t>5.56701587016347</t>
  </si>
  <si>
    <t>14.7988129465447</t>
  </si>
  <si>
    <t>13.4484860475762</t>
  </si>
  <si>
    <t>11.489003169982</t>
  </si>
  <si>
    <t>4.52656413674243</t>
  </si>
  <si>
    <t>6.16217272968797</t>
  </si>
  <si>
    <t>4.24714234650209</t>
  </si>
  <si>
    <t>3.3448329309099</t>
  </si>
  <si>
    <t>4.47967881735316</t>
  </si>
  <si>
    <t>4.09514138773128</t>
  </si>
  <si>
    <t>3.28200527560323</t>
  </si>
  <si>
    <t>3.49287081530224</t>
  </si>
  <si>
    <t>3.49115483978527</t>
  </si>
  <si>
    <t>3.25778740662618</t>
  </si>
  <si>
    <t>3.60897403829189</t>
  </si>
  <si>
    <t>4.28207267323516</t>
  </si>
  <si>
    <t>5.14866635179049</t>
  </si>
  <si>
    <t>1.8361578215539</t>
  </si>
  <si>
    <t>1.95405819967772</t>
  </si>
  <si>
    <t>2.74248694353884</t>
  </si>
  <si>
    <t>2.30678949485736</t>
  </si>
  <si>
    <t>1.46435077472427</t>
  </si>
  <si>
    <t>1.39387536573275</t>
  </si>
  <si>
    <t>1.3432208131948</t>
  </si>
  <si>
    <t>1.32688898114866</t>
  </si>
  <si>
    <t>1.91914020037598</t>
  </si>
  <si>
    <t>2.33659148986059</t>
  </si>
  <si>
    <t>2.3432096640605</t>
  </si>
  <si>
    <t>1.80012779437816</t>
  </si>
  <si>
    <t>3.73941259915679</t>
  </si>
  <si>
    <t>8.19886147930275</t>
  </si>
  <si>
    <t>6.4069165256975</t>
  </si>
  <si>
    <t>-11.3204429779194</t>
  </si>
  <si>
    <t>-9.99376534635149</t>
  </si>
  <si>
    <t>17.6854254817797</t>
  </si>
  <si>
    <t>14.5277813060604</t>
  </si>
  <si>
    <t>2.11715397106754</t>
  </si>
  <si>
    <t>0.47318745782772</t>
  </si>
  <si>
    <t>-0.775245442965272</t>
  </si>
  <si>
    <t>15.1482025772984</t>
  </si>
  <si>
    <t>-13.9363806309381</t>
  </si>
  <si>
    <t>-9.47897032434221</t>
  </si>
  <si>
    <t>10.1496457998125</t>
  </si>
  <si>
    <t>7.19748416667831</t>
  </si>
  <si>
    <t>52.4795588760753</t>
  </si>
  <si>
    <t>5.57582893686303</t>
  </si>
  <si>
    <t>9.49371359655491</t>
  </si>
  <si>
    <t>19.3607180696805</t>
  </si>
  <si>
    <t>2.28989724325493</t>
  </si>
  <si>
    <t>14.6144609481185</t>
  </si>
  <si>
    <t>21.6356921906425</t>
  </si>
  <si>
    <t>15.4914458583991</t>
  </si>
  <si>
    <t>-9.18217401574644</t>
  </si>
  <si>
    <t>-13.6448252646202</t>
  </si>
  <si>
    <t>-3.92135491695417</t>
  </si>
  <si>
    <t>-2.44013964040163</t>
  </si>
  <si>
    <t>-13.690424394948</t>
  </si>
  <si>
    <t>-8.70101398455468</t>
  </si>
  <si>
    <t>-11.613801200505</t>
  </si>
  <si>
    <t>5.36797841489755</t>
  </si>
  <si>
    <t>5.81362920224475</t>
  </si>
  <si>
    <t>6.88932031520689</t>
  </si>
  <si>
    <t>4.30322945424375</t>
  </si>
  <si>
    <t>2.64177083130433</t>
  </si>
  <si>
    <t>15.0087193927155</t>
  </si>
  <si>
    <t>5.2225533539193</t>
  </si>
  <si>
    <t>1.49015470317768</t>
  </si>
  <si>
    <t>7.00617304884344</t>
  </si>
  <si>
    <t>-3.78267918134335</t>
  </si>
  <si>
    <t>-26.2999927835161</t>
  </si>
  <si>
    <t>-11.6834509266758</t>
  </si>
  <si>
    <t>26.5982167835475</t>
  </si>
  <si>
    <t>11.4865624240994</t>
  </si>
  <si>
    <t>11.2472798399136</t>
  </si>
  <si>
    <t>6.39061997126917</t>
  </si>
  <si>
    <t>8.5829912693266</t>
  </si>
  <si>
    <t>8.71658582881744</t>
  </si>
  <si>
    <t>7.06342171694234</t>
  </si>
  <si>
    <t>15.0941160082403</t>
  </si>
  <si>
    <t>-2.76912594900325</t>
  </si>
  <si>
    <t>9.01371738601253</t>
  </si>
  <si>
    <t>6.83751222954146</t>
  </si>
  <si>
    <t>2.66686728017176</t>
  </si>
  <si>
    <t>2.05296051570632</t>
  </si>
  <si>
    <t>-5.47563265671535</t>
  </si>
  <si>
    <t>1.17114450392724</t>
  </si>
  <si>
    <t>0.932031656124835</t>
  </si>
  <si>
    <t>1.81939670683758</t>
  </si>
  <si>
    <t>-0.0565751872692744</t>
  </si>
  <si>
    <t>-1.82595644256135</t>
  </si>
  <si>
    <t>2.04901082789537</t>
  </si>
  <si>
    <t>2.19571108300103</t>
  </si>
  <si>
    <t>-0.408196858042402</t>
  </si>
  <si>
    <t>1.60997143777944</t>
  </si>
  <si>
    <t>0.396026870374854</t>
  </si>
  <si>
    <t>0.915371108625678</t>
  </si>
  <si>
    <t>0.862295139785658</t>
  </si>
  <si>
    <t>5.46455767944256</t>
  </si>
  <si>
    <t>2.83201329328801</t>
  </si>
  <si>
    <t>1.80143115336028</t>
  </si>
  <si>
    <t>0.806310204656143</t>
  </si>
  <si>
    <t>12.5161736901605</t>
  </si>
  <si>
    <t>1.32672970163317</t>
  </si>
  <si>
    <t>3.39909361924914</t>
  </si>
  <si>
    <t>7.35261504267174</t>
  </si>
  <si>
    <t>9.42497991709395</t>
  </si>
  <si>
    <t>9.66387925086825</t>
  </si>
  <si>
    <t>11.5332789914898</t>
  </si>
  <si>
    <t>12.3379171369074</t>
  </si>
  <si>
    <t>9.5476216915936</t>
  </si>
  <si>
    <t>23.4998656374623</t>
  </si>
  <si>
    <t>12.4308665172017</t>
  </si>
  <si>
    <t>-2.19823538128443</t>
  </si>
  <si>
    <t>24.7308589706012</t>
  </si>
  <si>
    <t>12.7118644063102</t>
  </si>
  <si>
    <t>8.24745260850462</t>
  </si>
  <si>
    <t>11.576041762999</t>
  </si>
  <si>
    <t>12.8751716472274</t>
  </si>
  <si>
    <t>12.4693725365398</t>
  </si>
  <si>
    <t>13.4175543445101</t>
  </si>
  <si>
    <t>19.1374048492684</t>
  </si>
  <si>
    <t>17.7430513642449</t>
  </si>
  <si>
    <t>16.1252711751501</t>
  </si>
  <si>
    <t>18.350780681308</t>
  </si>
  <si>
    <t>8.42910538832268</t>
  </si>
  <si>
    <t>8.44887156388798</t>
  </si>
  <si>
    <t>11.399741499736</t>
  </si>
  <si>
    <t>7.10766744856119</t>
  </si>
  <si>
    <t>9.87627742790933</t>
  </si>
  <si>
    <t>2.37768148920179</t>
  </si>
  <si>
    <t>0.919435418300225</t>
  </si>
  <si>
    <t>3.9444069943829</t>
  </si>
  <si>
    <t>3.16557906750616</t>
  </si>
  <si>
    <t>6.77749360613839</t>
  </si>
  <si>
    <t>11.6699083405668</t>
  </si>
  <si>
    <t>6.21272950618375</t>
  </si>
  <si>
    <t>7.35997773059287</t>
  </si>
  <si>
    <t>12.5957398238768</t>
  </si>
  <si>
    <t>12.2039844630996</t>
  </si>
  <si>
    <t>11.1855422672375</t>
  </si>
  <si>
    <t>10.1068646295721</t>
  </si>
  <si>
    <t>11.6629763507332</t>
  </si>
  <si>
    <t>19.4828774694148</t>
  </si>
  <si>
    <t>8.71267457488472</t>
  </si>
  <si>
    <t>11.2476245037869</t>
  </si>
  <si>
    <t>9.93088973035982</t>
  </si>
  <si>
    <t>6.24566313377426</t>
  </si>
  <si>
    <t>29.5184798346035</t>
  </si>
  <si>
    <t>21.1748208164536</t>
  </si>
  <si>
    <t>13.6180959109963</t>
  </si>
  <si>
    <t>6.17693409847963</t>
  </si>
  <si>
    <t>4.84715643244118</t>
  </si>
  <si>
    <t>10.4257892435745</t>
  </si>
  <si>
    <t>24.8250653743744</t>
  </si>
  <si>
    <t>2.65304048912687</t>
  </si>
  <si>
    <t>3.96560573546775</t>
  </si>
  <si>
    <t>3.42036826923329</t>
  </si>
  <si>
    <t>5.23837536263542</t>
  </si>
  <si>
    <t>4.13762026884379</t>
  </si>
  <si>
    <t>4.26410191645979</t>
  </si>
  <si>
    <t>3.21766060934389</t>
  </si>
  <si>
    <t>3.51734719763287</t>
  </si>
  <si>
    <t>4.67111929587946</t>
  </si>
  <si>
    <t>5.51912647600396</t>
  </si>
  <si>
    <t>6.90885657341909</t>
  </si>
  <si>
    <t>9.46627807723736</t>
  </si>
  <si>
    <t>12.8956525051416</t>
  </si>
  <si>
    <t>13.1200009426223</t>
  </si>
  <si>
    <t>11.5195546106285</t>
  </si>
  <si>
    <t>8.86988405585106</t>
  </si>
  <si>
    <t>8.34443741260756</t>
  </si>
  <si>
    <t>9.25785293566575</t>
  </si>
  <si>
    <t>11.9693278481543</t>
  </si>
  <si>
    <t>11.5581160860631</t>
  </si>
  <si>
    <t>10.5819866490627</t>
  </si>
  <si>
    <t>7.50701492568504</t>
  </si>
  <si>
    <t>6.72627308242782</t>
  </si>
  <si>
    <t>5.20560060395994</t>
  </si>
  <si>
    <t>4.45447826560775</t>
  </si>
  <si>
    <t>2.76087623751948</t>
  </si>
  <si>
    <t>4.77460087807924</t>
  </si>
  <si>
    <t>3.27384666806891</t>
  </si>
  <si>
    <t>5.41157282613904</t>
  </si>
  <si>
    <t>5.67585352987772</t>
  </si>
  <si>
    <t>4.98944297526866</t>
  </si>
  <si>
    <t>3.72079294931189</t>
  </si>
  <si>
    <t>4.92918716139263</t>
  </si>
  <si>
    <t>3.08709485738322</t>
  </si>
  <si>
    <t>2.65571731556199</t>
  </si>
  <si>
    <t>2.86938731026294</t>
  </si>
  <si>
    <t>1.88963572921737</t>
  </si>
  <si>
    <t>3.00678969554613</t>
  </si>
  <si>
    <t>3.56549051791027</t>
  </si>
  <si>
    <t>3.10632960896287</t>
  </si>
  <si>
    <t>3.29720896814655</t>
  </si>
  <si>
    <t>2.6694946269314</t>
  </si>
  <si>
    <t>2.30808610474062</t>
  </si>
  <si>
    <t>2.99080079182585</t>
  </si>
  <si>
    <t>2.61057158958665</t>
  </si>
  <si>
    <t>3.01147459583804</t>
  </si>
  <si>
    <t>0.826254455991474</t>
  </si>
  <si>
    <t>0.836737164066626</t>
  </si>
  <si>
    <t>1.64455786724509</t>
  </si>
  <si>
    <t>1.69057953121213</t>
  </si>
  <si>
    <t>1.24217063840594</t>
  </si>
  <si>
    <t>0.678004883700446</t>
  </si>
  <si>
    <t>1.00513571955375</t>
  </si>
  <si>
    <t>0.586737235633514</t>
  </si>
  <si>
    <t>1.36347794376776</t>
  </si>
  <si>
    <t>1.85885334644831</t>
  </si>
  <si>
    <t>1.92131128850029</t>
  </si>
  <si>
    <t>1.69673105025914</t>
  </si>
  <si>
    <t>2.49536237654851</t>
  </si>
  <si>
    <t>6.32569953527321</t>
  </si>
  <si>
    <t>6.1890982846439</t>
  </si>
  <si>
    <t>-1.38317062735574</t>
  </si>
  <si>
    <t>10.4321476871899</t>
  </si>
  <si>
    <t>9.81004035440252</t>
  </si>
  <si>
    <t>9.07483488878513</t>
  </si>
  <si>
    <t>3.89715179110848</t>
  </si>
  <si>
    <t>2.31856149221601</t>
  </si>
  <si>
    <t>24.9775947531466</t>
  </si>
  <si>
    <t>15.0772695786828</t>
  </si>
  <si>
    <t>16.1486673617657</t>
  </si>
  <si>
    <t>21.8728417590652</t>
  </si>
  <si>
    <t>24.7992856783348</t>
  </si>
  <si>
    <t>11.3940039534664</t>
  </si>
  <si>
    <t>7.28820826067988</t>
  </si>
  <si>
    <t>16.0762200958727</t>
  </si>
  <si>
    <t>29.5045071421789</t>
  </si>
  <si>
    <t>-16.2281996990874</t>
  </si>
  <si>
    <t>19.5382281454081</t>
  </si>
  <si>
    <t>2.46638975371533</t>
  </si>
  <si>
    <t>6.09584162348553</t>
  </si>
  <si>
    <t>7.84537469002116</t>
  </si>
  <si>
    <t>6.25431961479718</t>
  </si>
  <si>
    <t>9.16486664704048</t>
  </si>
  <si>
    <t>8.17374335983341</t>
  </si>
  <si>
    <t>8.53771908823968</t>
  </si>
  <si>
    <t>5.91113010893487</t>
  </si>
  <si>
    <t>5.13325064181105</t>
  </si>
  <si>
    <t>5.94258632000297</t>
  </si>
  <si>
    <t>7.8460196016448</t>
  </si>
  <si>
    <t>8.51792217801841</t>
  </si>
  <si>
    <t>11.8495983986404</t>
  </si>
  <si>
    <t>15.94510909994</t>
  </si>
  <si>
    <t>16.7817823942243</t>
  </si>
  <si>
    <t>16.4899211517172</t>
  </si>
  <si>
    <t>23.3830686738061</t>
  </si>
  <si>
    <t>20.6310429171597</t>
  </si>
  <si>
    <t>16.9316324219552</t>
  </si>
  <si>
    <t>13.3548264100054</t>
  </si>
  <si>
    <t>12.3511920477782</t>
  </si>
  <si>
    <t>13.5823236009317</t>
  </si>
  <si>
    <t>11.884245558144</t>
  </si>
  <si>
    <t>10.8647338915609</t>
  </si>
  <si>
    <t>8.59547954121986</t>
  </si>
  <si>
    <t>10.8788163947755</t>
  </si>
  <si>
    <t>5.94419833756325</t>
  </si>
  <si>
    <t>5.93612599441241</t>
  </si>
  <si>
    <t>6.89619419836968</t>
  </si>
  <si>
    <t>7.32625128071922</t>
  </si>
  <si>
    <t>6.93513948657191</t>
  </si>
  <si>
    <t>6.71077131655223</t>
  </si>
  <si>
    <t>4.53724116884975</t>
  </si>
  <si>
    <t>3.87984182917371</t>
  </si>
  <si>
    <t>4.93312981829399</t>
  </si>
  <si>
    <t>3.53325728481559</t>
  </si>
  <si>
    <t>2.46503206860238</t>
  </si>
  <si>
    <t>2.63477987904869</t>
  </si>
  <si>
    <t>2.61858050951042</t>
  </si>
  <si>
    <t>3.41275215199308</t>
  </si>
  <si>
    <t>4.16231329368432</t>
  </si>
  <si>
    <t>4.09170223216766</t>
  </si>
  <si>
    <t>4.00396565634753</t>
  </si>
  <si>
    <t>3.91166579007734</t>
  </si>
  <si>
    <t>4.21292347607995</t>
  </si>
  <si>
    <t>4.07248877016583</t>
  </si>
  <si>
    <t>3.56123410802316</t>
  </si>
  <si>
    <t>2.45204362701759</t>
  </si>
  <si>
    <t>0.231283094273067</t>
  </si>
  <si>
    <t>0.292837726232122</t>
  </si>
  <si>
    <t>-0.145958716781735</t>
  </si>
  <si>
    <t>-0.202955006065054</t>
  </si>
  <si>
    <t>0.438174975884493</t>
  </si>
  <si>
    <t>-0.220686783271887</t>
  </si>
  <si>
    <t>0.55244184266985</t>
  </si>
  <si>
    <t>0.372182498532794</t>
  </si>
  <si>
    <t>1.25794431599297</t>
  </si>
  <si>
    <t>1.18735474303686</t>
  </si>
  <si>
    <t>1.42867121354817</t>
  </si>
  <si>
    <t>1.133914569064</t>
  </si>
  <si>
    <t>2.55611238398019</t>
  </si>
  <si>
    <t>4.71187418437</t>
  </si>
  <si>
    <t>6.23528003904008</t>
  </si>
  <si>
    <t>132.570428952057</t>
  </si>
  <si>
    <t>873.642867607682</t>
  </si>
  <si>
    <t>84.8055269927093</t>
  </si>
  <si>
    <t>39.6690078143541</t>
  </si>
  <si>
    <t>31.4085715427654</t>
  </si>
  <si>
    <t>22.5394806026753</t>
  </si>
  <si>
    <t>6.89449237617879</t>
  </si>
  <si>
    <t>6.46102085897536</t>
  </si>
  <si>
    <t>3.68470593171919</t>
  </si>
  <si>
    <t>6.84871455238316</t>
  </si>
  <si>
    <t>4.80387872898523</t>
  </si>
  <si>
    <t>4.68946479782957</t>
  </si>
  <si>
    <t>5.92389032127517</t>
  </si>
  <si>
    <t>8.97863858720744</t>
  </si>
  <si>
    <t>12.3541662792359</t>
  </si>
  <si>
    <t>6.79511028249959</t>
  </si>
  <si>
    <t>-0.3876296370875</t>
  </si>
  <si>
    <t>1.81654195519067</t>
  </si>
  <si>
    <t>5.5391726685742</t>
  </si>
  <si>
    <t>4.2055273670252</t>
  </si>
  <si>
    <t>4.12395305572544</t>
  </si>
  <si>
    <t>2.8565454191879</t>
  </si>
  <si>
    <t>1.3064346804756</t>
  </si>
  <si>
    <t>2.43852995890495</t>
  </si>
  <si>
    <t>3.74109667289247</t>
  </si>
  <si>
    <t>4.84907777388747</t>
  </si>
  <si>
    <t>0.753341077907294</t>
  </si>
  <si>
    <t>5.37232915617214</t>
  </si>
  <si>
    <t>15.7824225083313</t>
  </si>
  <si>
    <t>8.05478314709862</t>
  </si>
  <si>
    <t>-0.342655700318204</t>
  </si>
  <si>
    <t>-0.0806776419115351</t>
  </si>
  <si>
    <t>5.09651005791443</t>
  </si>
  <si>
    <t>2.92315374468484</t>
  </si>
  <si>
    <t>0.333460210288123</t>
  </si>
  <si>
    <t>1.77294449289032</t>
  </si>
  <si>
    <t>2.19274237060215</t>
  </si>
  <si>
    <t>4.24105256872156</t>
  </si>
  <si>
    <t>6.2793772639692</t>
  </si>
  <si>
    <t>-0.869609635257675</t>
  </si>
  <si>
    <t>-3.37743356623034</t>
  </si>
  <si>
    <t>0.38306367133751</t>
  </si>
  <si>
    <t>7.39299890729632</t>
  </si>
  <si>
    <t>-1.2342925267514</t>
  </si>
  <si>
    <t>7.85249113974946</t>
  </si>
  <si>
    <t>11.2882834007546</t>
  </si>
  <si>
    <t>3.58654676633934</t>
  </si>
  <si>
    <t>10.7131309281984</t>
  </si>
  <si>
    <t>0.0490553737813855</t>
  </si>
  <si>
    <t>2.56587809392698</t>
  </si>
  <si>
    <t>4.27053150514401</t>
  </si>
  <si>
    <t>2.70287832316373</t>
  </si>
  <si>
    <t>-2.73397994496814</t>
  </si>
  <si>
    <t>31.7877631815803</t>
  </si>
  <si>
    <t>-5.27315545606365</t>
  </si>
  <si>
    <t>-6.11949199614268</t>
  </si>
  <si>
    <t>3.10550371429636</t>
  </si>
  <si>
    <t>5.58473189935049</t>
  </si>
  <si>
    <t>3.27137461018934</t>
  </si>
  <si>
    <t>19.0842902283411</t>
  </si>
  <si>
    <t>15.5322258683715</t>
  </si>
  <si>
    <t>13.3768642296366</t>
  </si>
  <si>
    <t>2.93108171424225</t>
  </si>
  <si>
    <t>12.706369018741</t>
  </si>
  <si>
    <t>0.239138038731895</t>
  </si>
  <si>
    <t>0.20665555091621</t>
  </si>
  <si>
    <t>-0.150146937642802</t>
  </si>
  <si>
    <t>2.22272309261969</t>
  </si>
  <si>
    <t>6.79999995365581</t>
  </si>
  <si>
    <t>-5.7553353403771</t>
  </si>
  <si>
    <t>-3.62143421303298</t>
  </si>
  <si>
    <t>12.7679783276093</t>
  </si>
  <si>
    <t>3.91136245621962</t>
  </si>
  <si>
    <t>9.87551191119556</t>
  </si>
  <si>
    <t>11.5523498044968</t>
  </si>
  <si>
    <t>17.2205794805554</t>
  </si>
  <si>
    <t>30.3116730814218</t>
  </si>
  <si>
    <t>24.1464152909465</t>
  </si>
  <si>
    <t>1.44457231740674</t>
  </si>
  <si>
    <t>20.061875081957</t>
  </si>
  <si>
    <t>33.5414050179965</t>
  </si>
  <si>
    <t>4.90197929907841</t>
  </si>
  <si>
    <t>10.9817882908686</t>
  </si>
  <si>
    <t>10.8365427789744</t>
  </si>
  <si>
    <t>10.3979255406466</t>
  </si>
  <si>
    <t>6.67685508319342</t>
  </si>
  <si>
    <t>12.3822948123876</t>
  </si>
  <si>
    <t>12.8603968185939</t>
  </si>
  <si>
    <t>18.2545902876571</t>
  </si>
  <si>
    <t>21.7632640675501</t>
  </si>
  <si>
    <t>34.6673530169267</t>
  </si>
  <si>
    <t>33.0206928816945</t>
  </si>
  <si>
    <t>2.78215888207663</t>
  </si>
  <si>
    <t>3.9739449888867</t>
  </si>
  <si>
    <t>4.19704019609384</t>
  </si>
  <si>
    <t>4.44218889984531</t>
  </si>
  <si>
    <t>3.24189028156165</t>
  </si>
  <si>
    <t>4.19666244387709</t>
  </si>
  <si>
    <t>5.39335650870187</t>
  </si>
  <si>
    <t>6.65733058840886</t>
  </si>
  <si>
    <t>6.94101096975561</t>
  </si>
  <si>
    <t>9.07652808273946</t>
  </si>
  <si>
    <t>12.5319961961791</t>
  </si>
  <si>
    <t>13.1910145164128</t>
  </si>
  <si>
    <t>10.8234150972881</t>
  </si>
  <si>
    <t>8.84288237618367</t>
  </si>
  <si>
    <t>7.94320809795623</t>
  </si>
  <si>
    <t>11.5460875957997</t>
  </si>
  <si>
    <t>9.64403651441641</t>
  </si>
  <si>
    <t>9.56671693933312</t>
  </si>
  <si>
    <t>7.08601825197655</t>
  </si>
  <si>
    <t>6.35544784394037</t>
  </si>
  <si>
    <t>3.94646516339655</t>
  </si>
  <si>
    <t>3.45665930097816</t>
  </si>
  <si>
    <t>3.2200032633781</t>
  </si>
  <si>
    <t>5.1768962805462</t>
  </si>
  <si>
    <t>4.29693432150139</t>
  </si>
  <si>
    <t>8.24678886435936</t>
  </si>
  <si>
    <t>5.97276445786341</t>
  </si>
  <si>
    <t>8.67596696980783</t>
  </si>
  <si>
    <t>3.78355783251419</t>
  </si>
  <si>
    <t>3.8852081927907</t>
  </si>
  <si>
    <t>3.31320622186908</t>
  </si>
  <si>
    <t>3.27013375083118</t>
  </si>
  <si>
    <t>2.95365633626594</t>
  </si>
  <si>
    <t>2.28608674769211</t>
  </si>
  <si>
    <t>2.96881074959956</t>
  </si>
  <si>
    <t>2.62309460808356</t>
  </si>
  <si>
    <t>2.8955395734697</t>
  </si>
  <si>
    <t>2.9663454228881</t>
  </si>
  <si>
    <t>3.37328382552511</t>
  </si>
  <si>
    <t>1.66934505042573</t>
  </si>
  <si>
    <t>1.70237984690991</t>
  </si>
  <si>
    <t>1.1449273315191</t>
  </si>
  <si>
    <t>0.902550731497669</t>
  </si>
  <si>
    <t>0.885483330309867</t>
  </si>
  <si>
    <t>1.4999372190243</t>
  </si>
  <si>
    <t>1.98705887836203</t>
  </si>
  <si>
    <t>2.33858818675805</t>
  </si>
  <si>
    <t>2.03874603854945</t>
  </si>
  <si>
    <t>1.09981704943868</t>
  </si>
  <si>
    <t>4.68081250078908</t>
  </si>
  <si>
    <t>3.73869605874409</t>
  </si>
  <si>
    <t>2.72828750436422</t>
  </si>
  <si>
    <t>4.7166480930889</t>
  </si>
  <si>
    <t>2.32317681578646</t>
  </si>
  <si>
    <t>2.36764214425673</t>
  </si>
  <si>
    <t>3.58935608902033</t>
  </si>
  <si>
    <t>4.3582631784284</t>
  </si>
  <si>
    <t>5.97596716798124</t>
  </si>
  <si>
    <t>5.55368367597131</t>
  </si>
  <si>
    <t>10.0048319721004</t>
  </si>
  <si>
    <t>12.8537552675914</t>
  </si>
  <si>
    <t>8.22070051410586</t>
  </si>
  <si>
    <t>8.44952547852462</t>
  </si>
  <si>
    <t>8.68652666372347</t>
  </si>
  <si>
    <t>7.24822842610071</t>
  </si>
  <si>
    <t>11.4887631446863</t>
  </si>
  <si>
    <t>14.5016530267492</t>
  </si>
  <si>
    <t>10.0478587441753</t>
  </si>
  <si>
    <t>7.79998461098248</t>
  </si>
  <si>
    <t>10.9223174690125</t>
  </si>
  <si>
    <t>3.68577732067554</t>
  </si>
  <si>
    <t>2.45388100758986</t>
  </si>
  <si>
    <t>7.18936131433018</t>
  </si>
  <si>
    <t>7.11941171823315</t>
  </si>
  <si>
    <t>7.60211265142119</t>
  </si>
  <si>
    <t>7.84519753162868</t>
  </si>
  <si>
    <t>13.1643989740148</t>
  </si>
  <si>
    <t>22.0801504946047</t>
  </si>
  <si>
    <t>10.288490712873</t>
  </si>
  <si>
    <t>10.8147673197391</t>
  </si>
  <si>
    <t>6.5777461890281</t>
  </si>
  <si>
    <t>5.82596786650716</t>
  </si>
  <si>
    <t>7.78968740549679</t>
  </si>
  <si>
    <t>9.77706144512396</t>
  </si>
  <si>
    <t>6.55411843600844</t>
  </si>
  <si>
    <t>5.25374127819229</t>
  </si>
  <si>
    <t>6.80044175915803</t>
  </si>
  <si>
    <t>5.79426460544603</t>
  </si>
  <si>
    <t>10.072132103637</t>
  </si>
  <si>
    <t>7.46134453965777</t>
  </si>
  <si>
    <t>7.03666107458216</t>
  </si>
  <si>
    <t>9.50278364771555</t>
  </si>
  <si>
    <t>1.86213189302369</t>
  </si>
  <si>
    <t>6.39240138953099</t>
  </si>
  <si>
    <t>8.58039895814788</t>
  </si>
  <si>
    <t>5.89315892251292</t>
  </si>
  <si>
    <t>2.93476376578086</t>
  </si>
  <si>
    <t>2.87358724902536</t>
  </si>
  <si>
    <t>2.35601152773487</t>
  </si>
  <si>
    <t>4.97709135296878</t>
  </si>
  <si>
    <t>4.99499373120171</t>
  </si>
  <si>
    <t>4.1352478990478</t>
  </si>
  <si>
    <t>2.69628145077427</t>
  </si>
  <si>
    <t>8.86671534219447</t>
  </si>
  <si>
    <t>10.6137918253156</t>
  </si>
  <si>
    <t>5.3417780221701</t>
  </si>
  <si>
    <t>5.14661010790802</t>
  </si>
  <si>
    <t>7.17576838987168</t>
  </si>
  <si>
    <t>5.02328993982673</t>
  </si>
  <si>
    <t>4.72384362627139</t>
  </si>
  <si>
    <t>7.36206437144884</t>
  </si>
  <si>
    <t>12.0637665122272</t>
  </si>
  <si>
    <t>4.15032590096311</t>
  </si>
  <si>
    <t>3.848593171272</t>
  </si>
  <si>
    <t>7.36410810310757</t>
  </si>
  <si>
    <t>8.24406444233927</t>
  </si>
  <si>
    <t>13.7720396842234</t>
  </si>
  <si>
    <t>22.0714029293236</t>
  </si>
  <si>
    <t>13.5679941223164</t>
  </si>
  <si>
    <t>13.1246772091946</t>
  </si>
  <si>
    <t>9.41866097773321</t>
  </si>
  <si>
    <t>7.45419243297079</t>
  </si>
  <si>
    <t>8.30497942450263</t>
  </si>
  <si>
    <t>9.63558475499855</t>
  </si>
  <si>
    <t>11.6354561628355</t>
  </si>
  <si>
    <t>9.06356491127451</t>
  </si>
  <si>
    <t>8.1953419424454</t>
  </si>
  <si>
    <t>8.45394099682667</t>
  </si>
  <si>
    <t>5.22487167918457</t>
  </si>
  <si>
    <t>4.75828759308494</t>
  </si>
  <si>
    <t>4.29236891626992</t>
  </si>
  <si>
    <t>7.6841988693039</t>
  </si>
  <si>
    <t>6.53423246129152</t>
  </si>
  <si>
    <t>5.19722514481586</t>
  </si>
  <si>
    <t>1.51635684828581</t>
  </si>
  <si>
    <t>0.893691971646305</t>
  </si>
  <si>
    <t>1.76544118292692</t>
  </si>
  <si>
    <t>1.84497601650619</t>
  </si>
  <si>
    <t>4.20145575362174</t>
  </si>
  <si>
    <t>-0.0813569405569581</t>
  </si>
  <si>
    <t>2.0855227646978</t>
  </si>
  <si>
    <t>3.10399474147719</t>
  </si>
  <si>
    <t>0.931413214333105</t>
  </si>
  <si>
    <t>1.6373922792211</t>
  </si>
  <si>
    <t>3.30463098190734</t>
  </si>
  <si>
    <t>0.943133381955889</t>
  </si>
  <si>
    <t>0.189983210669325</t>
  </si>
  <si>
    <t>0.602239824535914</t>
  </si>
  <si>
    <t>0.929374203846905</t>
  </si>
  <si>
    <t>0.920180249520939</t>
  </si>
  <si>
    <t>2.75439823049277</t>
  </si>
  <si>
    <t>3.03758643288272</t>
  </si>
  <si>
    <t>1.77522532415489</t>
  </si>
  <si>
    <t>0.348873130171754</t>
  </si>
  <si>
    <t>2.60092822778056</t>
  </si>
  <si>
    <t>2.9453461844269</t>
  </si>
  <si>
    <t>2.56139416275289</t>
  </si>
  <si>
    <t>1.64467040761917</t>
  </si>
  <si>
    <t>1.63270263049233</t>
  </si>
  <si>
    <t>0.055195317210746</t>
  </si>
  <si>
    <t>0.836045810858835</t>
  </si>
  <si>
    <t>1.48185905545748</t>
  </si>
  <si>
    <t>1.63841612956087</t>
  </si>
  <si>
    <t>2.43461236911682</t>
  </si>
  <si>
    <t>5.44943422380896</t>
  </si>
  <si>
    <t>3.91351734729513</t>
  </si>
  <si>
    <t>0.608978744452742</t>
  </si>
  <si>
    <t>1.40252478838147</t>
  </si>
  <si>
    <t>-0.969269454354858</t>
  </si>
  <si>
    <t>3.14074264566761</t>
  </si>
  <si>
    <t>7.95093462201064</t>
  </si>
  <si>
    <t>2.48287671232876</t>
  </si>
  <si>
    <t>-3.59821751311371</t>
  </si>
  <si>
    <t>3.29113480411989</t>
  </si>
  <si>
    <t>6.49423183317957</t>
  </si>
  <si>
    <t>6.83128780344194</t>
  </si>
  <si>
    <t>3.35926065772875</t>
  </si>
  <si>
    <t>14.7253719073843</t>
  </si>
  <si>
    <t>29.6457126685503</t>
  </si>
  <si>
    <t>24.3186486213662</t>
  </si>
  <si>
    <t>7.91144720521548</t>
  </si>
  <si>
    <t>-0.0320297478968712</t>
  </si>
  <si>
    <t>4.43188462988928</t>
  </si>
  <si>
    <t>8.1413503017649</t>
  </si>
  <si>
    <t>17.3117044849994</t>
  </si>
  <si>
    <t>0.959090008847639</t>
  </si>
  <si>
    <t>12.1398728842098</t>
  </si>
  <si>
    <t>6.81675534807442</t>
  </si>
  <si>
    <t>3.00749629592522</t>
  </si>
  <si>
    <t>8.21525467770266</t>
  </si>
  <si>
    <t>3.05129777894703</t>
  </si>
  <si>
    <t>7.3400103804891</t>
  </si>
  <si>
    <t>2.84829647736035</t>
  </si>
  <si>
    <t>5.9931316401638</t>
  </si>
  <si>
    <t>6.30667197803403</t>
  </si>
  <si>
    <t>7.23734503815423</t>
  </si>
  <si>
    <t>0.828038046046402</t>
  </si>
  <si>
    <t>1.1304145642476</t>
  </si>
  <si>
    <t>2.86844229991495</t>
  </si>
  <si>
    <t>3.2900559949147</t>
  </si>
  <si>
    <t>6.73182094422087</t>
  </si>
  <si>
    <t>-4.71987387917059</t>
  </si>
  <si>
    <t>3.24539621003876</t>
  </si>
  <si>
    <t>3.2664474825379</t>
  </si>
  <si>
    <t>7.70277935731754</t>
  </si>
  <si>
    <t>2.19400859215372</t>
  </si>
  <si>
    <t>3.74675881881485</t>
  </si>
  <si>
    <t>3.02445641038638</t>
  </si>
  <si>
    <t>2.15811881653597</t>
  </si>
  <si>
    <t>1.39069502079087</t>
  </si>
  <si>
    <t>4.22978499907929</t>
  </si>
  <si>
    <t>9.39134051859072</t>
  </si>
  <si>
    <t>3.62129654202479</t>
  </si>
  <si>
    <t>12.505405677962</t>
  </si>
  <si>
    <t>2.6333258273187</t>
  </si>
  <si>
    <t>1.69845734775171</t>
  </si>
  <si>
    <t>1.42571827219933</t>
  </si>
  <si>
    <t>1.54802217867768</t>
  </si>
  <si>
    <t>-1.48397938044806</t>
  </si>
  <si>
    <t>-2.51306312524909</t>
  </si>
  <si>
    <t>2.44798502613514</t>
  </si>
  <si>
    <t>4.09957635834306</t>
  </si>
  <si>
    <t>3.21833329643056</t>
  </si>
  <si>
    <t>4.88988950511886</t>
  </si>
  <si>
    <t>5.5657980753474</t>
  </si>
  <si>
    <t>4.17121036784131</t>
  </si>
  <si>
    <t>3.04257212022416</t>
  </si>
  <si>
    <t>2.99582849262275</t>
  </si>
  <si>
    <t>3.05396492241019</t>
  </si>
  <si>
    <t>4.41950595036747</t>
  </si>
  <si>
    <t>7.34905624150444</t>
  </si>
  <si>
    <t>5.87483090421476</t>
  </si>
  <si>
    <t>7.73357778470098</t>
  </si>
  <si>
    <t>11.3382716995936</t>
  </si>
  <si>
    <t>13.6383320565288</t>
  </si>
  <si>
    <t>9.23468239224434</t>
  </si>
  <si>
    <t>10.2107264468289</t>
  </si>
  <si>
    <t>11.4807760092908</t>
  </si>
  <si>
    <t>12.0327133814844</t>
  </si>
  <si>
    <t>9.61253714180559</t>
  </si>
  <si>
    <t>7.07327478256023</t>
  </si>
  <si>
    <t>5.50414182296473</t>
  </si>
  <si>
    <t>5.23941496295419</t>
  </si>
  <si>
    <t>2.47028257688491</t>
  </si>
  <si>
    <t>3.1790302790849</t>
  </si>
  <si>
    <t>3.18399405782006</t>
  </si>
  <si>
    <t>2.66599579433542</t>
  </si>
  <si>
    <t>2.45511569925027</t>
  </si>
  <si>
    <t>2.02035040415917</t>
  </si>
  <si>
    <t>1.55772422547776</t>
  </si>
  <si>
    <t>0.952852903500798</t>
  </si>
  <si>
    <t>1.15064620338234</t>
  </si>
  <si>
    <t>1.31735745569613</t>
  </si>
  <si>
    <t>0.874762049430444</t>
  </si>
  <si>
    <t>0.908513581248286</t>
  </si>
  <si>
    <t>0.220167706517472</t>
  </si>
  <si>
    <t>1.41757330609269</t>
  </si>
  <si>
    <t>1.90239798365953</t>
  </si>
  <si>
    <t>2.06427794390869</t>
  </si>
  <si>
    <t>1.80137945300186</t>
  </si>
  <si>
    <t>1.63363926345291</t>
  </si>
  <si>
    <t>1.96210340238625</t>
  </si>
  <si>
    <t>1.99737950119192</t>
  </si>
  <si>
    <t>2.38503022478749</t>
  </si>
  <si>
    <t>2.30079919814972</t>
  </si>
  <si>
    <t>0.10596110398285</t>
  </si>
  <si>
    <t>1.0894464568955</t>
  </si>
  <si>
    <t>0.851478332211457</t>
  </si>
  <si>
    <t>1.08204689479506</t>
  </si>
  <si>
    <t>0.747875807739717</t>
  </si>
  <si>
    <t>0.570795063645548</t>
  </si>
  <si>
    <t>1.13444010309355</t>
  </si>
  <si>
    <t>0.517258225639353</t>
  </si>
  <si>
    <t>0.586343167177745</t>
  </si>
  <si>
    <t>1.11459330798793</t>
  </si>
  <si>
    <t>1.21052307126166</t>
  </si>
  <si>
    <t>2.9779787161909</t>
  </si>
  <si>
    <t>1.22181611014376</t>
  </si>
  <si>
    <t>3.22063217116909</t>
  </si>
  <si>
    <t>5.30357175264875</t>
  </si>
  <si>
    <t>1.59447437718794</t>
  </si>
  <si>
    <t>6.94863066561592</t>
  </si>
  <si>
    <t>-0.952002297174914</t>
  </si>
  <si>
    <t>-2.40012352793522</t>
  </si>
  <si>
    <t>1.51621182344519</t>
  </si>
  <si>
    <t>2.67172494481022</t>
  </si>
  <si>
    <t>4.87854955309814</t>
  </si>
  <si>
    <t>7.86638738548197</t>
  </si>
  <si>
    <t>0.375894775177869</t>
  </si>
  <si>
    <t>-0.425379106897282</t>
  </si>
  <si>
    <t>3.49989705671146</t>
  </si>
  <si>
    <t>-0.111554948657087</t>
  </si>
  <si>
    <t>2.02544410571137</t>
  </si>
  <si>
    <t>5.77914288280571</t>
  </si>
  <si>
    <t>4.0731868743961</t>
  </si>
  <si>
    <t>7.07613942869408</t>
  </si>
  <si>
    <t>14.0144574731821</t>
  </si>
  <si>
    <t>3.58083111689314</t>
  </si>
  <si>
    <t>-0.0221858993031532</t>
  </si>
  <si>
    <t>1.14441530559392</t>
  </si>
  <si>
    <t>-1.3418875194691</t>
  </si>
  <si>
    <t>7.37016072440623</t>
  </si>
  <si>
    <t>9.99533053662225</t>
  </si>
  <si>
    <t>14.7553918999087</t>
  </si>
  <si>
    <t>8.58260113330904</t>
  </si>
  <si>
    <t>3.07542948670661</t>
  </si>
  <si>
    <t>4.81547619711861</t>
  </si>
  <si>
    <t>3.28435878881075</t>
  </si>
  <si>
    <t>1.94843660947157</t>
  </si>
  <si>
    <t>2.76845107987515</t>
  </si>
  <si>
    <t>4.19924612786107</t>
  </si>
  <si>
    <t>4.72750458162685</t>
  </si>
  <si>
    <t>4.94965000222929</t>
  </si>
  <si>
    <t>5.10137122070229</t>
  </si>
  <si>
    <t>3.0305665110865</t>
  </si>
  <si>
    <t>3.01222130656562</t>
  </si>
  <si>
    <t>2.61503131184722</t>
  </si>
  <si>
    <t>2.247767526139</t>
  </si>
  <si>
    <t>1.86960440830831</t>
  </si>
  <si>
    <t>0.651203193092726</t>
  </si>
  <si>
    <t>2.9912468251144</t>
  </si>
  <si>
    <t>-0.784597582283723</t>
  </si>
  <si>
    <t>1.07890621048246</t>
  </si>
  <si>
    <t>1.10884683902268</t>
  </si>
  <si>
    <t>0.0941828893132595</t>
  </si>
  <si>
    <t>-0.364125356444902</t>
  </si>
  <si>
    <t>0.99330611340207</t>
  </si>
  <si>
    <t>2.0969946720524</t>
  </si>
  <si>
    <t>1.38470893905473</t>
  </si>
  <si>
    <t>3.17445993547543</t>
  </si>
  <si>
    <t>5.00497828605305</t>
  </si>
  <si>
    <t>5.36161961358638</t>
  </si>
  <si>
    <t>3.60298457333592</t>
  </si>
  <si>
    <t>1.59563243436212</t>
  </si>
  <si>
    <t>7.12250101573797</t>
  </si>
  <si>
    <t>0.636944648983501</t>
  </si>
  <si>
    <t>3.02389423731965</t>
  </si>
  <si>
    <t>-5.25035878326008</t>
  </si>
  <si>
    <t>2.19417711945734</t>
  </si>
  <si>
    <t>9.55981161695448</t>
  </si>
  <si>
    <t>9.19220055710306</t>
  </si>
  <si>
    <t>-3.4313725490196</t>
  </si>
  <si>
    <t>-3.69543147208122</t>
  </si>
  <si>
    <t>1.98318062005774</t>
  </si>
  <si>
    <t>11.1211664152841</t>
  </si>
  <si>
    <t>6.1442403402407</t>
  </si>
  <si>
    <t>-20.3428071749175</t>
  </si>
  <si>
    <t>33.5405931722289</t>
  </si>
  <si>
    <t>-3.05910721320468</t>
  </si>
  <si>
    <t>4.13442612556352</t>
  </si>
  <si>
    <t>6.22473460273211</t>
  </si>
  <si>
    <t>6.46087509519637</t>
  </si>
  <si>
    <t>4.95912491167516</t>
  </si>
  <si>
    <t>-0.420199476219523</t>
  </si>
  <si>
    <t>6.50416559795792</t>
  </si>
  <si>
    <t>-7.27696861270599</t>
  </si>
  <si>
    <t>34.7576540074799</t>
  </si>
  <si>
    <t>65.4104680346323</t>
  </si>
  <si>
    <t>4.3722451913092</t>
  </si>
  <si>
    <t>14.6649351885911</t>
  </si>
  <si>
    <t>9.7956800306458</t>
  </si>
  <si>
    <t>2.8590740843683</t>
  </si>
  <si>
    <t>18.9830160347647</t>
  </si>
  <si>
    <t>36.7811019659279</t>
  </si>
  <si>
    <t>10.4420666998509</t>
  </si>
  <si>
    <t>16.9036292452086</t>
  </si>
  <si>
    <t>2.92484211564717</t>
  </si>
  <si>
    <t>12.0102171085344</t>
  </si>
  <si>
    <t>-1.27605176980616</t>
  </si>
  <si>
    <t>-20.8098140654884</t>
  </si>
  <si>
    <t>0.993283233261138</t>
  </si>
  <si>
    <t>2.61513440157093</t>
  </si>
  <si>
    <t>7.72802479114524</t>
  </si>
  <si>
    <t>15.3581413902885</t>
  </si>
  <si>
    <t>-11.3661025319168</t>
  </si>
  <si>
    <t>0.213866958889213</t>
  </si>
  <si>
    <t>-0.509480779167674</t>
  </si>
  <si>
    <t>46.5514429443013</t>
  </si>
  <si>
    <t>1.33911548793357</t>
  </si>
  <si>
    <t>13.5626767433953</t>
  </si>
  <si>
    <t>0.946536838356195</t>
  </si>
  <si>
    <t>-17.7864014784402</t>
  </si>
  <si>
    <t>19.191335888387</t>
  </si>
  <si>
    <t>28.0893435970034</t>
  </si>
  <si>
    <t>-0.168658932431669</t>
  </si>
  <si>
    <t>0.855807814236272</t>
  </si>
  <si>
    <t>-0.217120395730603</t>
  </si>
  <si>
    <t>7.7652785346058</t>
  </si>
  <si>
    <t>20.0944728946612</t>
  </si>
  <si>
    <t>9.86813727770777</t>
  </si>
  <si>
    <t>4.23136164247251</t>
  </si>
  <si>
    <t>20.4789590409741</t>
  </si>
  <si>
    <t>-18.0745351045978</t>
  </si>
  <si>
    <t>16.5643202141089</t>
  </si>
  <si>
    <t>12.68122777311</t>
  </si>
  <si>
    <t>-2.9419027036061</t>
  </si>
  <si>
    <t>-6.15792493444491</t>
  </si>
  <si>
    <t>-0.851390333321461</t>
  </si>
  <si>
    <t>-8.92717245327955</t>
  </si>
  <si>
    <t>-4.26975397974572</t>
  </si>
  <si>
    <t>3.82030214446843</t>
  </si>
  <si>
    <t>7.17665749439934</t>
  </si>
  <si>
    <t>1.54748519798422</t>
  </si>
  <si>
    <t>-9.00986856172324</t>
  </si>
  <si>
    <t>20.3384091824716</t>
  </si>
  <si>
    <t>14.7583426834649</t>
  </si>
  <si>
    <t>-9.96401107833999</t>
  </si>
  <si>
    <t>3.36343958531108</t>
  </si>
  <si>
    <t>3.37351345684105</t>
  </si>
  <si>
    <t>1.60352391125433</t>
  </si>
  <si>
    <t>3.28496284166837</t>
  </si>
  <si>
    <t>5.60679450749547</t>
  </si>
  <si>
    <t>4.98153640225516</t>
  </si>
  <si>
    <t>2.7794616331817</t>
  </si>
  <si>
    <t>3.93129977229938</t>
  </si>
  <si>
    <t>6.02203753286179</t>
  </si>
  <si>
    <t>9.24855098569368</t>
  </si>
  <si>
    <t>7.98562439791215</t>
  </si>
  <si>
    <t>7.18825188402374</t>
  </si>
  <si>
    <t>8.41487853048275</t>
  </si>
  <si>
    <t>15.0592126445052</t>
  </si>
  <si>
    <t>25.7707279671042</t>
  </si>
  <si>
    <t>15.1135672667405</t>
  </si>
  <si>
    <t>13.7104941413511</t>
  </si>
  <si>
    <t>11.4575470335583</t>
  </si>
  <si>
    <t>14.066541267377</t>
  </si>
  <si>
    <t>19.703794651774</t>
  </si>
  <si>
    <t>11.5692627872042</t>
  </si>
  <si>
    <t>7.41877494736352</t>
  </si>
  <si>
    <t>5.12280951460693</t>
  </si>
  <si>
    <t>5.03004753284901</t>
  </si>
  <si>
    <t>5.51169792685467</t>
  </si>
  <si>
    <t>4.33535601201969</t>
  </si>
  <si>
    <t>5.44054902900768</t>
  </si>
  <si>
    <t>6.13317335216676</t>
  </si>
  <si>
    <t>7.9358621675329</t>
  </si>
  <si>
    <t>7.88621808648455</t>
  </si>
  <si>
    <t>6.41908643098334</t>
  </si>
  <si>
    <t>3.32097926980548</t>
  </si>
  <si>
    <t>2.73304428192074</t>
  </si>
  <si>
    <t>1.3936236157555</t>
  </si>
  <si>
    <t>4.13730557618139</t>
  </si>
  <si>
    <t>-0.146831248576987</t>
  </si>
  <si>
    <t>1.2836573899996</t>
  </si>
  <si>
    <t>1.38086312770589</t>
  </si>
  <si>
    <t>1.12168277632433</t>
  </si>
  <si>
    <t>1.51124724360405</t>
  </si>
  <si>
    <t>2.11905123960993</t>
  </si>
  <si>
    <t>2.38704464690977</t>
  </si>
  <si>
    <t>2.58863879949745</t>
  </si>
  <si>
    <t>2.94152197734185</t>
  </si>
  <si>
    <t>2.79243712895396</t>
  </si>
  <si>
    <t>2.24798308671129</t>
  </si>
  <si>
    <t>3.4271950462041</t>
  </si>
  <si>
    <t>1.89709031895291</t>
  </si>
  <si>
    <t>1.58908069179591</t>
  </si>
  <si>
    <t>2.19599393425145</t>
  </si>
  <si>
    <t>1.54274315899465</t>
  </si>
  <si>
    <t>2.10944102288553</t>
  </si>
  <si>
    <t>1.31890253888587</t>
  </si>
  <si>
    <t>0.658400581149991</t>
  </si>
  <si>
    <t>1.96415133662747</t>
  </si>
  <si>
    <t>1.85511700587182</t>
  </si>
  <si>
    <t>1.92064708685382</t>
  </si>
  <si>
    <t>2.13295141520851</t>
  </si>
  <si>
    <t>4.96982052549251</t>
  </si>
  <si>
    <t>0.0665566228650079</t>
  </si>
  <si>
    <t>5.44390479781602</t>
  </si>
  <si>
    <t>7.29825479586994</t>
  </si>
  <si>
    <t>0.696775523784282</t>
  </si>
  <si>
    <t>5.25179185280902</t>
  </si>
  <si>
    <t>-3.59872180117573</t>
  </si>
  <si>
    <t>2.1330602798289</t>
  </si>
  <si>
    <t>-0.606065024453827</t>
  </si>
  <si>
    <t>-1.82170616766616</t>
  </si>
  <si>
    <t>1.27804505260754</t>
  </si>
  <si>
    <t>0.625857201131907</t>
  </si>
  <si>
    <t>3.20053117968911</t>
  </si>
  <si>
    <t>-0.174016459378734</t>
  </si>
  <si>
    <t>3.13733981557884</t>
  </si>
  <si>
    <t>-1.36951753449533</t>
  </si>
  <si>
    <t>0.385090584947577</t>
  </si>
  <si>
    <t>0.870078810268922</t>
  </si>
  <si>
    <t>0.690309554885246</t>
  </si>
  <si>
    <t>0.528042676369296</t>
  </si>
  <si>
    <t>1.37263460379987</t>
  </si>
  <si>
    <t>0.506042183370738</t>
  </si>
  <si>
    <t>2.81585558442443</t>
  </si>
  <si>
    <t>0.998971120970253</t>
  </si>
  <si>
    <t>3.62531411893355</t>
  </si>
  <si>
    <t>3.50550160200538</t>
  </si>
  <si>
    <t>-2.81720237856229</t>
  </si>
  <si>
    <t>1.28015120287648</t>
  </si>
  <si>
    <t>-4.53224449576</t>
  </si>
  <si>
    <t>6.10346627987684</t>
  </si>
  <si>
    <t>2.33372501305425</t>
  </si>
  <si>
    <t>-2.23111156230848</t>
  </si>
  <si>
    <t>5.41600480029352</t>
  </si>
  <si>
    <t>22.3590344933704</t>
  </si>
  <si>
    <t>62.1416131246432</t>
  </si>
  <si>
    <t>1314.28649638573</t>
  </si>
  <si>
    <t>15444.4204230537</t>
  </si>
  <si>
    <t>6041.47404707409</t>
  </si>
  <si>
    <t>162.73388551076</t>
  </si>
  <si>
    <t>43.0302705009227</t>
  </si>
  <si>
    <t>6.53497517117418</t>
  </si>
  <si>
    <t>6.94032134027844</t>
  </si>
  <si>
    <t>9.72884175944706</t>
  </si>
  <si>
    <t>4.67821081510431</t>
  </si>
  <si>
    <t>5.37434640155622</t>
  </si>
  <si>
    <t>5.91907467017472</t>
  </si>
  <si>
    <t>3.42601021010252</t>
  </si>
  <si>
    <t>8.44730526034763</t>
  </si>
  <si>
    <t>9.46750810327333</t>
  </si>
  <si>
    <t>9.5923273865413</t>
  </si>
  <si>
    <t>-2.13576824299331</t>
  </si>
  <si>
    <t>15.9058283591544</t>
  </si>
  <si>
    <t>9.17171128297396</t>
  </si>
  <si>
    <t>0.291166471422628</t>
  </si>
  <si>
    <t>-0.650965016455302</t>
  </si>
  <si>
    <t>4.58990448370156</t>
  </si>
  <si>
    <t>5.37742167651898</t>
  </si>
  <si>
    <t>2.27481842989697</t>
  </si>
  <si>
    <t>7.54674499838114</t>
  </si>
  <si>
    <t>3.48481628679124</t>
  </si>
  <si>
    <t>3.99568034557234</t>
  </si>
  <si>
    <t>6.84793338769904</t>
  </si>
  <si>
    <t>10.229587650373</t>
  </si>
  <si>
    <t>8.13545014384806</t>
  </si>
  <si>
    <t>2.94809953621152</t>
  </si>
  <si>
    <t>3.47084986522219</t>
  </si>
  <si>
    <t>1.94014981856301</t>
  </si>
  <si>
    <t>6.74564909494586</t>
  </si>
  <si>
    <t>9.93481623446407</t>
  </si>
  <si>
    <t>17.0065952727131</t>
  </si>
  <si>
    <t>8.15251497850737</t>
  </si>
  <si>
    <t>-3.87835660497238</t>
  </si>
  <si>
    <t>12.6165172380079</t>
  </si>
  <si>
    <t>11.0368168556395</t>
  </si>
  <si>
    <t>2.88915449133818</t>
  </si>
  <si>
    <t>5.18201257417248</t>
  </si>
  <si>
    <t>15.4725593609425</t>
  </si>
  <si>
    <t>20.8824921164568</t>
  </si>
  <si>
    <t>24.5687337447089</t>
  </si>
  <si>
    <t>29.4635236965055</t>
  </si>
  <si>
    <t>28.0486497318527</t>
  </si>
  <si>
    <t>67.2507824057327</t>
  </si>
  <si>
    <t>73.3066945801153</t>
  </si>
  <si>
    <t>37.9494781749506</t>
  </si>
  <si>
    <t>51.1261350102795</t>
  </si>
  <si>
    <t>75.6335657777325</t>
  </si>
  <si>
    <t>27.8905790691127</t>
  </si>
  <si>
    <t>123.0612136164</t>
  </si>
  <si>
    <t>35.312424343661</t>
  </si>
  <si>
    <t>20.6484149868503</t>
  </si>
  <si>
    <t>41.7057955236849</t>
  </si>
  <si>
    <t>39.201496901411</t>
  </si>
  <si>
    <t>33.4028541879545</t>
  </si>
  <si>
    <t>28.2943110771731</t>
  </si>
  <si>
    <t>31.1665867346186</t>
  </si>
  <si>
    <t>20.041359240014</t>
  </si>
  <si>
    <t>11.150082868787</t>
  </si>
  <si>
    <t>31.7572123690249</t>
  </si>
  <si>
    <t>30.1289269685464</t>
  </si>
  <si>
    <t>43.0453305777804</t>
  </si>
  <si>
    <t>39.8377428094835</t>
  </si>
  <si>
    <t>19.4581675889703</t>
  </si>
  <si>
    <t>17.0484652451336</t>
  </si>
  <si>
    <t>13.971165047912</t>
  </si>
  <si>
    <t>27.230113843564</t>
  </si>
  <si>
    <t>34.8179440663303</t>
  </si>
  <si>
    <t>22.8185847230637</t>
  </si>
  <si>
    <t>28.7044072059077</t>
  </si>
  <si>
    <t>14.3501511250415</t>
  </si>
  <si>
    <t>14.963718404163</t>
  </si>
  <si>
    <t>84.6834718225876</t>
  </si>
  <si>
    <t>16.1042405872748</t>
  </si>
  <si>
    <t>19.4102710868683</t>
  </si>
  <si>
    <t>15.6665686221496</t>
  </si>
  <si>
    <t>16.5956447322347</t>
  </si>
  <si>
    <t>13.9148221759821</t>
  </si>
  <si>
    <t>15.2052787396605</t>
  </si>
  <si>
    <t>54.0129117583926</t>
  </si>
  <si>
    <t>23.9399587593999</t>
  </si>
  <si>
    <t>13.2529666807363</t>
  </si>
  <si>
    <t>15.7486203078991</t>
  </si>
  <si>
    <t>10.6773082339139</t>
  </si>
  <si>
    <t>10.5684824952629</t>
  </si>
  <si>
    <t>8.48107029698721</t>
  </si>
  <si>
    <t>9.36557496583738</t>
  </si>
  <si>
    <t>12.1061016311773</t>
  </si>
  <si>
    <t>28.1682478691229</t>
  </si>
  <si>
    <t>33.0798250532954</t>
  </si>
  <si>
    <t>5.62234594397708</t>
  </si>
  <si>
    <t>5.5773840553355</t>
  </si>
  <si>
    <t>9.96406676333521</t>
  </si>
  <si>
    <t>4.14811388303909</t>
  </si>
  <si>
    <t>4.82218350547832</t>
  </si>
  <si>
    <t>6.19921193375721</t>
  </si>
  <si>
    <t>4.61392584267801</t>
  </si>
  <si>
    <t>2.16033425907771</t>
  </si>
  <si>
    <t>7.63474575147927</t>
  </si>
  <si>
    <t>6.23678176955913</t>
  </si>
  <si>
    <t>8.63763178724368</t>
  </si>
  <si>
    <t>29.6656631157964</t>
  </si>
  <si>
    <t>29.3191781682752</t>
  </si>
  <si>
    <t>25.2464475436293</t>
  </si>
  <si>
    <t>19.0000467262398</t>
  </si>
  <si>
    <t>69.6611853545174</t>
  </si>
  <si>
    <t>27.259990113432</t>
  </si>
  <si>
    <t>21.6536391309608</t>
  </si>
  <si>
    <t>22.3155734208137</t>
  </si>
  <si>
    <t>17.2791811684954</t>
  </si>
  <si>
    <t>25.8186705671299</t>
  </si>
  <si>
    <t>26.220213626085</t>
  </si>
  <si>
    <t>0.673757277386372</t>
  </si>
  <si>
    <t>1.42800163986341</t>
  </si>
  <si>
    <t>5.95133830053159</t>
  </si>
  <si>
    <t>1.54596823705317</t>
  </si>
  <si>
    <t>1.43412666636782</t>
  </si>
  <si>
    <t>3.32464044488574</t>
  </si>
  <si>
    <t>4.2276753067021</t>
  </si>
  <si>
    <t>6.30012395836252</t>
  </si>
  <si>
    <t>1.75242631853581</t>
  </si>
  <si>
    <t>0.43277237665886</t>
  </si>
  <si>
    <t>15.9106965575684</t>
  </si>
  <si>
    <t>16.5215833233368</t>
  </si>
  <si>
    <t>27.3908453723395</t>
  </si>
  <si>
    <t>37.584061466216</t>
  </si>
  <si>
    <t>13.6188701451883</t>
  </si>
  <si>
    <t>16.7051270193255</t>
  </si>
  <si>
    <t>1.77103008648227</t>
  </si>
  <si>
    <t>16.1026033748146</t>
  </si>
  <si>
    <t>8.99929064251756</t>
  </si>
  <si>
    <t>11.5159611123425</t>
  </si>
  <si>
    <t>4.32935646096067</t>
  </si>
  <si>
    <t>2.6158977058997</t>
  </si>
  <si>
    <t>2.9722848994975</t>
  </si>
  <si>
    <t>5.66895163278967</t>
  </si>
  <si>
    <t>10.3565072127234</t>
  </si>
  <si>
    <t>7.05908442039132</t>
  </si>
  <si>
    <t>9.40290766328131</t>
  </si>
  <si>
    <t>4.24998016732003</t>
  </si>
  <si>
    <t>11.9862978624966</t>
  </si>
  <si>
    <t>2.80558292389495</t>
  </si>
  <si>
    <t>3.92197888518862</t>
  </si>
  <si>
    <t>8.54971500949968</t>
  </si>
  <si>
    <t>-8.6860151429929</t>
  </si>
  <si>
    <t>7.12847090828797</t>
  </si>
  <si>
    <t>9.06913662712363</t>
  </si>
  <si>
    <t>5.16335836017031</t>
  </si>
  <si>
    <t>3.15677866701627</t>
  </si>
  <si>
    <t>-1.04550819494324</t>
  </si>
  <si>
    <t>20.9372251362204</t>
  </si>
  <si>
    <t>13.0485860750663</t>
  </si>
  <si>
    <t>11.6931910052415</t>
  </si>
  <si>
    <t>22.5954017819315</t>
  </si>
  <si>
    <t>6.46035740736792</t>
  </si>
  <si>
    <t>10.5969433720237</t>
  </si>
  <si>
    <t>-0.177584651213067</t>
  </si>
  <si>
    <t>1.56352687341406</t>
  </si>
  <si>
    <t>14.487418403339</t>
  </si>
  <si>
    <t>2.68309207939261</t>
  </si>
  <si>
    <t>9.00160635068991</t>
  </si>
  <si>
    <t>39.419110439818</t>
  </si>
  <si>
    <t>40.5167890980445</t>
  </si>
  <si>
    <t>18.4980118983013</t>
  </si>
  <si>
    <t>9.70614941350554</t>
  </si>
  <si>
    <t>13.7365724207038</t>
  </si>
  <si>
    <t>11.9645333920464</t>
  </si>
  <si>
    <t>134.035872371748</t>
  </si>
  <si>
    <t>1.95003083677199</t>
  </si>
  <si>
    <t>5.14232248435012</t>
  </si>
  <si>
    <t>3.77739655145763</t>
  </si>
  <si>
    <t>3.9632505001165</t>
  </si>
  <si>
    <t>8.36856956528243</t>
  </si>
  <si>
    <t>-5.96911945125618</t>
  </si>
  <si>
    <t>5.41182120304006</t>
  </si>
  <si>
    <t>-2.43549436370589</t>
  </si>
  <si>
    <t>2.2169826127346</t>
  </si>
  <si>
    <t>1.80543765163377</t>
  </si>
  <si>
    <t>10.3913445898093</t>
  </si>
  <si>
    <t>12.8939411821531</t>
  </si>
  <si>
    <t>94.1901141376152</t>
  </si>
  <si>
    <t>4.11380528257159</t>
  </si>
  <si>
    <t>1.30320399765218</t>
  </si>
  <si>
    <t>4.41482490193262</t>
  </si>
  <si>
    <t>2.47584586803727</t>
  </si>
  <si>
    <t>4.51330535299645</t>
  </si>
  <si>
    <t>5.64433086097335</t>
  </si>
  <si>
    <t>4.57212350369147</t>
  </si>
  <si>
    <t>3.84516021372072</t>
  </si>
  <si>
    <t>5.93313138058191</t>
  </si>
  <si>
    <t>5.21172310682789</t>
  </si>
  <si>
    <t>9.72036242675256</t>
  </si>
  <si>
    <t>7.82062274860979</t>
  </si>
  <si>
    <t>3.92171862000133</t>
  </si>
  <si>
    <t>6.95176403794258</t>
  </si>
  <si>
    <t>6.25220639943007</t>
  </si>
  <si>
    <t>2.18875895856547</t>
  </si>
  <si>
    <t>7.3821228563862</t>
  </si>
  <si>
    <t>8.81707580376896</t>
  </si>
  <si>
    <t>15.6019043854862</t>
  </si>
  <si>
    <t>1.80727370099329</t>
  </si>
  <si>
    <t>4.97439546023635</t>
  </si>
  <si>
    <t>10.4339034453453</t>
  </si>
  <si>
    <t>8.92442665595168</t>
  </si>
  <si>
    <t>7.20304453867237</t>
  </si>
  <si>
    <t>1.51369032560868</t>
  </si>
  <si>
    <t>3.0658374894474</t>
  </si>
  <si>
    <t>6.33587998803505</t>
  </si>
  <si>
    <t>4.28001400829197</t>
  </si>
  <si>
    <t>11.5368356573418</t>
  </si>
  <si>
    <t>1.81704016918334</t>
  </si>
  <si>
    <t>16.5422954314501</t>
  </si>
  <si>
    <t>23.3070672577759</t>
  </si>
  <si>
    <t>59.4018208817612</t>
  </si>
  <si>
    <t>32.3135050589575</t>
  </si>
  <si>
    <t>112.894815383795</t>
  </si>
  <si>
    <t>94.2634571902545</t>
  </si>
  <si>
    <t>79.5448390329376</t>
  </si>
  <si>
    <t>99.2533223283567</t>
  </si>
  <si>
    <t>30.2460376903082</t>
  </si>
  <si>
    <t>67.8943671135919</t>
  </si>
  <si>
    <t>64.9811893213623</t>
  </si>
  <si>
    <t>49.0588852863271</t>
  </si>
  <si>
    <t>23.2494808479149</t>
  </si>
  <si>
    <t>44.7300381994029</t>
  </si>
  <si>
    <t>39.2337134878286</t>
  </si>
  <si>
    <t>34.138194798626</t>
  </si>
  <si>
    <t>10.340339607126</t>
  </si>
  <si>
    <t>-12.4222901600091</t>
  </si>
  <si>
    <t>-22.9323193799366</t>
  </si>
  <si>
    <t>3.76203746852637</t>
  </si>
  <si>
    <t>3.37438322483159</t>
  </si>
  <si>
    <t>-0.570313376444105</t>
  </si>
  <si>
    <t>-5.48079611953119</t>
  </si>
  <si>
    <t>3.1144126331738</t>
  </si>
  <si>
    <t>-4.24338612900782</t>
  </si>
  <si>
    <t>5.99026579629418</t>
  </si>
  <si>
    <t>12.7627326964103</t>
  </si>
  <si>
    <t>-3.82520779013052</t>
  </si>
  <si>
    <t>5.21501552229329</t>
  </si>
  <si>
    <t>8.45292200371514</t>
  </si>
  <si>
    <t>-0.0272211604902992</t>
  </si>
  <si>
    <t>-0.932275244837825</t>
  </si>
  <si>
    <t>1.2975573716642</t>
  </si>
  <si>
    <t>14.5196628984565</t>
  </si>
  <si>
    <t>2.84072773699329</t>
  </si>
  <si>
    <t>10.3961209224862</t>
  </si>
  <si>
    <t>-2.53156124592356</t>
  </si>
  <si>
    <t>2.15654088111805</t>
  </si>
  <si>
    <t>0.309718603527614</t>
  </si>
  <si>
    <t>2.16173928550757</t>
  </si>
  <si>
    <t>4.2142843930848</t>
  </si>
  <si>
    <t>5.39039286757867</t>
  </si>
  <si>
    <t>14.4428282122201</t>
  </si>
  <si>
    <t>40.4180066354334</t>
  </si>
  <si>
    <t>24.7497739074644</t>
  </si>
  <si>
    <t>25.6371717808781</t>
  </si>
  <si>
    <t>52.7747865897616</t>
  </si>
  <si>
    <t>-2.92340971604136</t>
  </si>
  <si>
    <t>1.518170653754</t>
  </si>
  <si>
    <t>3.97698450326642</t>
  </si>
  <si>
    <t>-4.7958613417904</t>
  </si>
  <si>
    <t>10.3525268440096</t>
  </si>
  <si>
    <t>3.55211254107566</t>
  </si>
  <si>
    <t>-15.4237004844106</t>
  </si>
  <si>
    <t>-2.6931154191177</t>
  </si>
  <si>
    <t>24.5263467390672</t>
  </si>
  <si>
    <t>7.68083409226116</t>
  </si>
  <si>
    <t>0.821196361917359</t>
  </si>
  <si>
    <t>-13.1471736691146</t>
  </si>
  <si>
    <t>-31.5659149794624</t>
  </si>
  <si>
    <t>39.1576256709104</t>
  </si>
  <si>
    <t>64.7350222970558</t>
  </si>
  <si>
    <t>-11.9715274350058</t>
  </si>
  <si>
    <t>-1.58289027139674</t>
  </si>
  <si>
    <t>0.635621901563525</t>
  </si>
  <si>
    <t>16.9227635071874</t>
  </si>
  <si>
    <t>59.3290506697722</t>
  </si>
  <si>
    <t>12.9763712005288</t>
  </si>
  <si>
    <t>3.0376538593557</t>
  </si>
  <si>
    <t>19.8400389323386</t>
  </si>
  <si>
    <t>-20.8302309584088</t>
  </si>
  <si>
    <t>24.9065341802403</t>
  </si>
  <si>
    <t>17.045106569847</t>
  </si>
  <si>
    <t>4.85478204392102</t>
  </si>
  <si>
    <t>-1.07267375706822</t>
  </si>
  <si>
    <t>-1.27384264682834</t>
  </si>
  <si>
    <t>-20.1927503678985</t>
  </si>
  <si>
    <t>-6.2854221112699</t>
  </si>
  <si>
    <t>12.7423831594725</t>
  </si>
  <si>
    <t>9.51383429692252</t>
  </si>
  <si>
    <t>-3.16368983363937</t>
  </si>
  <si>
    <t>-10.1685457458373</t>
  </si>
  <si>
    <t>17.9386307222713</t>
  </si>
  <si>
    <t>22.1004087260455</t>
  </si>
  <si>
    <t>-7.64752019845845</t>
  </si>
  <si>
    <t>1.09637675276866</t>
  </si>
  <si>
    <t>4.69014240238906</t>
  </si>
  <si>
    <t>1.11058356356372</t>
  </si>
  <si>
    <t>3.40564755515564</t>
  </si>
  <si>
    <t>4.07820034159374</t>
  </si>
  <si>
    <t>4.92139937663538</t>
  </si>
  <si>
    <t>2.16983870177903</t>
  </si>
  <si>
    <t>1.47716743978089</t>
  </si>
  <si>
    <t>3.18127466092196</t>
  </si>
  <si>
    <t>3.79931924661953</t>
  </si>
  <si>
    <t>2.97502211207805</t>
  </si>
  <si>
    <t>5.04662978179265</t>
  </si>
  <si>
    <t>20.9103445456795</t>
  </si>
  <si>
    <t>22.7804892288209</t>
  </si>
  <si>
    <t>16.4344571866741</t>
  </si>
  <si>
    <t>13.7544127452338</t>
  </si>
  <si>
    <t>13.7880562965124</t>
  </si>
  <si>
    <t>20.1506989988538</t>
  </si>
  <si>
    <t>19.239454098989</t>
  </si>
  <si>
    <t>21.6120398537158</t>
  </si>
  <si>
    <t>27.2127480527797</t>
  </si>
  <si>
    <t>20.6121988364879</t>
  </si>
  <si>
    <t>21.9184596864504</t>
  </si>
  <si>
    <t>19.0259504087307</t>
  </si>
  <si>
    <t>18.881998428083</t>
  </si>
  <si>
    <t>15.2526826830931</t>
  </si>
  <si>
    <t>16.679869597385</t>
  </si>
  <si>
    <t>14.4989733265254</t>
  </si>
  <si>
    <t>20.6905968705984</t>
  </si>
  <si>
    <t>19.7877433376389</t>
  </si>
  <si>
    <t>14.4287488467901</t>
  </si>
  <si>
    <t>11.1818884385377</t>
  </si>
  <si>
    <t>9.79183557466847</t>
  </si>
  <si>
    <t>8.19685719069116</t>
  </si>
  <si>
    <t>6.61834403298099</t>
  </si>
  <si>
    <t>5.27870907662016</t>
  </si>
  <si>
    <t>3.5094395588016</t>
  </si>
  <si>
    <t>1.61880041041648</t>
  </si>
  <si>
    <t>3.47068748328935</t>
  </si>
  <si>
    <t>3.55858801200597</t>
  </si>
  <si>
    <t>1.90041814391672</t>
  </si>
  <si>
    <t>3.36453588627148</t>
  </si>
  <si>
    <t>3.36710337451804</t>
  </si>
  <si>
    <t>4.06288931120949</t>
  </si>
  <si>
    <t>2.36843421286838</t>
  </si>
  <si>
    <t>1.180920638269</t>
  </si>
  <si>
    <t>0.976658122998671</t>
  </si>
  <si>
    <t>-0.334570200125881</t>
  </si>
  <si>
    <t>-1.96032167877375</t>
  </si>
  <si>
    <t>-1.92347453577474</t>
  </si>
  <si>
    <t>-0.17475366575222</t>
  </si>
  <si>
    <t>-0.489960701596374</t>
  </si>
  <si>
    <t>0.203613276800695</t>
  </si>
  <si>
    <t>-0.234800895538129</t>
  </si>
  <si>
    <t>0.245015797961827</t>
  </si>
  <si>
    <t>-0.3639597319481</t>
  </si>
  <si>
    <t>1.39275645318513</t>
  </si>
  <si>
    <t>6.4958241447423</t>
  </si>
  <si>
    <t>5.87456266805546</t>
  </si>
  <si>
    <t>17.2732863140987</t>
  </si>
  <si>
    <t>9.62158803206393</t>
  </si>
  <si>
    <t>9.04926319601825</t>
  </si>
  <si>
    <t>2.70869455121156</t>
  </si>
  <si>
    <t>4.16360439310404</t>
  </si>
  <si>
    <t>1.3934847006406</t>
  </si>
  <si>
    <t>6.61240813915163</t>
  </si>
  <si>
    <t>8.74808516645101</t>
  </si>
  <si>
    <t>4.33505390638366</t>
  </si>
  <si>
    <t>5.05935040117993</t>
  </si>
  <si>
    <t>6.76144923509206</t>
  </si>
  <si>
    <t>0.0159320996657328</t>
  </si>
  <si>
    <t>6.66990965002674</t>
  </si>
  <si>
    <t>4.01158053146258</t>
  </si>
  <si>
    <t>1.88342481748877</t>
  </si>
  <si>
    <t>3.05315063185311</t>
  </si>
  <si>
    <t>2.6730845108079</t>
  </si>
  <si>
    <t>1.78470722159389</t>
  </si>
  <si>
    <t>1.73787306807156</t>
  </si>
  <si>
    <t>1.12148933209397</t>
  </si>
  <si>
    <t>2.86302977239589</t>
  </si>
  <si>
    <t>2.14417694306613</t>
  </si>
  <si>
    <t>0.372146666086891</t>
  </si>
  <si>
    <t>-0.0770720974060168</t>
  </si>
  <si>
    <t>2.0311480128201</t>
  </si>
  <si>
    <t>2.48974192114287</t>
  </si>
  <si>
    <t>4.6325878594249</t>
  </si>
  <si>
    <t>2.3194437271099</t>
  </si>
  <si>
    <t>7.84772902644215</t>
  </si>
  <si>
    <t>-0.00989979844902678</t>
  </si>
  <si>
    <t>0.479792195397422</t>
  </si>
  <si>
    <t>0.224507391716472</t>
  </si>
  <si>
    <t>3.92615000865237</t>
  </si>
  <si>
    <t>2.92309825170382</t>
  </si>
  <si>
    <t>0.775212924728535</t>
  </si>
  <si>
    <t>2.75839206279986</t>
  </si>
  <si>
    <t>2.64424525750435</t>
  </si>
  <si>
    <t>1.5261735013888</t>
  </si>
  <si>
    <t>-0.703659389914975</t>
  </si>
  <si>
    <t>3.32753294754764</t>
  </si>
  <si>
    <t>-0.299985587376284</t>
  </si>
  <si>
    <t>1.62494161129776</t>
  </si>
  <si>
    <t>3.823033409956</t>
  </si>
  <si>
    <t>11.4477441108891</t>
  </si>
  <si>
    <t>5.69999347724328</t>
  </si>
  <si>
    <t>7.66319264977784</t>
  </si>
  <si>
    <t>15.5536095463549</t>
  </si>
  <si>
    <t>16.4258539377576</t>
  </si>
  <si>
    <t>13.1939907223453</t>
  </si>
  <si>
    <t>6.98210723504286</t>
  </si>
  <si>
    <t>9.277243029464</t>
  </si>
  <si>
    <t>7.50246766324653</t>
  </si>
  <si>
    <t>11.5592506948923</t>
  </si>
  <si>
    <t>14.9268056740014</t>
  </si>
  <si>
    <t>13.0168695446477</t>
  </si>
  <si>
    <t>9.71713038153248</t>
  </si>
  <si>
    <t>8.87082971666764</t>
  </si>
  <si>
    <t>7.42366301609702</t>
  </si>
  <si>
    <t>4.12958713926213</t>
  </si>
  <si>
    <t>4.62072810710197</t>
  </si>
  <si>
    <t>6.35023844436813</t>
  </si>
  <si>
    <t>5.34985898218569</t>
  </si>
  <si>
    <t>5.09258496640497</t>
  </si>
  <si>
    <t>3.22527510688253</t>
  </si>
  <si>
    <t>1.54567816586948</t>
  </si>
  <si>
    <t>1.04201645406883</t>
  </si>
  <si>
    <t>0.468374320351145</t>
  </si>
  <si>
    <t>2.0558722906533</t>
  </si>
  <si>
    <t>0.98010119241836</t>
  </si>
  <si>
    <t>0.496703674994151</t>
  </si>
  <si>
    <t>0.978426732690068</t>
  </si>
  <si>
    <t>1.06045632023837</t>
  </si>
  <si>
    <t>2.11009321468467</t>
  </si>
  <si>
    <t>3.40225682840818</t>
  </si>
  <si>
    <t>3.10308366667165</t>
  </si>
  <si>
    <t>6.53297806665232</t>
  </si>
  <si>
    <t>-0.538444084879913</t>
  </si>
  <si>
    <t>-3.22917708259992</t>
  </si>
  <si>
    <t>2.23838314534038</t>
  </si>
  <si>
    <t>-0.0475153423214891</t>
  </si>
  <si>
    <t>-2.01334418011534</t>
  </si>
  <si>
    <t>5.53863543152578</t>
  </si>
  <si>
    <t>2.02760491933817</t>
  </si>
  <si>
    <t>2.88404565929712</t>
  </si>
  <si>
    <t>3.44533181192106</t>
  </si>
  <si>
    <t>1.06737253143181</t>
  </si>
  <si>
    <t>0.990273554004744</t>
  </si>
  <si>
    <t>8.14438057205848</t>
  </si>
  <si>
    <t>3.53778245812826</t>
  </si>
  <si>
    <t>3.2664996424492</t>
  </si>
  <si>
    <t>1.84672035174569</t>
  </si>
  <si>
    <t>0.744863000194002</t>
  </si>
  <si>
    <t>0.703000441093323</t>
  </si>
  <si>
    <t>-0.416168295320645</t>
  </si>
  <si>
    <t>-1.08036505460578</t>
  </si>
  <si>
    <t>2.58550220839071</t>
  </si>
  <si>
    <t>0.805342857443534</t>
  </si>
  <si>
    <t>-1.6805749792823</t>
  </si>
  <si>
    <t>-1.79704928425576</t>
  </si>
  <si>
    <t>-1.00285926003465</t>
  </si>
  <si>
    <t>0.387597216976147</t>
  </si>
  <si>
    <t>1.87142845891258</t>
  </si>
  <si>
    <t>1.69624052708328</t>
  </si>
  <si>
    <t>5.00118148327712</t>
  </si>
  <si>
    <t>-1.26918868733271</t>
  </si>
  <si>
    <t>-1.36345940966004</t>
  </si>
  <si>
    <t>15.6792720426292</t>
  </si>
  <si>
    <t>13.1160911508266</t>
  </si>
  <si>
    <t>11.4953046485916</t>
  </si>
  <si>
    <t>16.4528645451053</t>
  </si>
  <si>
    <t>5.49595949916622</t>
  </si>
  <si>
    <t>8.58718983031972</t>
  </si>
  <si>
    <t>10.0048853297543</t>
  </si>
  <si>
    <t>8.54810804647244</t>
  </si>
  <si>
    <t>4.97795460699444</t>
  </si>
  <si>
    <t>6.56097549698811</t>
  </si>
  <si>
    <t>4.12370037811434</t>
  </si>
  <si>
    <t>18.7797351038113</t>
  </si>
  <si>
    <t>41.4625927752496</t>
  </si>
  <si>
    <t>7.99853485175031</t>
  </si>
  <si>
    <t>11.6552979490679</t>
  </si>
  <si>
    <t>10.9088968745446</t>
  </si>
  <si>
    <t>40.5312590935109</t>
  </si>
  <si>
    <t>32.9750520555911</t>
  </si>
  <si>
    <t>8.86138482809405</t>
  </si>
  <si>
    <t>14.5043516282533</t>
  </si>
  <si>
    <t>11.7222782032805</t>
  </si>
  <si>
    <t>8.66781823897942</t>
  </si>
  <si>
    <t>8.25733951685741</t>
  </si>
  <si>
    <t>9.50243518490798</t>
  </si>
  <si>
    <t>5.04155798311092</t>
  </si>
  <si>
    <t>6.83011466821127</t>
  </si>
  <si>
    <t>-5.61014528351383</t>
  </si>
  <si>
    <t>6.4691750654456</t>
  </si>
  <si>
    <t>4.47123467160999</t>
  </si>
  <si>
    <t>6.02385881441585</t>
  </si>
  <si>
    <t>5.66843562624204</t>
  </si>
  <si>
    <t>4.98133297071131</t>
  </si>
  <si>
    <t>7.11535054335639</t>
  </si>
  <si>
    <t>9.4074918223814</t>
  </si>
  <si>
    <t>3.60017527305328</t>
  </si>
  <si>
    <t>5.13757298846622</t>
  </si>
  <si>
    <t>6.89464340316468</t>
  </si>
  <si>
    <t>3.37775084412593</t>
  </si>
  <si>
    <t>3.35844634594847</t>
  </si>
  <si>
    <t>2.86031160659735</t>
  </si>
  <si>
    <t>2.23162145989066</t>
  </si>
  <si>
    <t>2.70719129663175</t>
  </si>
  <si>
    <t>1.7479141087134</t>
  </si>
  <si>
    <t>1.27161217513023</t>
  </si>
  <si>
    <t>3.56578287211866</t>
  </si>
  <si>
    <t>2.87232203437225</t>
  </si>
  <si>
    <t>3.16642125173291</t>
  </si>
  <si>
    <t>6.31527590909438</t>
  </si>
  <si>
    <t>6.64227801635242</t>
  </si>
  <si>
    <t>4.23956469911589</t>
  </si>
  <si>
    <t>1.79534074166956</t>
  </si>
  <si>
    <t>5.0644082344359</t>
  </si>
  <si>
    <t>4.40688073216</t>
  </si>
  <si>
    <t>3.01294733451209</t>
  </si>
  <si>
    <t>3.82348519599265</t>
  </si>
  <si>
    <t>3.19692668414319</t>
  </si>
  <si>
    <t>0.237584677615857</t>
  </si>
  <si>
    <t>0.62907025079673</t>
  </si>
  <si>
    <t>3.43097913322632</t>
  </si>
  <si>
    <t>0.84049308927905</t>
  </si>
  <si>
    <t>2.07782277044168</t>
  </si>
  <si>
    <t>2.52246816503092</t>
  </si>
  <si>
    <t>1.57407577083902</t>
  </si>
  <si>
    <t>0.998991461381451</t>
  </si>
  <si>
    <t>1.47239079307833</t>
  </si>
  <si>
    <t>2.43881496389949</t>
  </si>
  <si>
    <t>4.03539008928644</t>
  </si>
  <si>
    <t>4.29350364903</t>
  </si>
  <si>
    <t>3.75006064804575</t>
  </si>
  <si>
    <t>2.77498341516986</t>
  </si>
  <si>
    <t>-0.485362841371426</t>
  </si>
  <si>
    <t>-1.78719178625894</t>
  </si>
  <si>
    <t>1.92134906094627</t>
  </si>
  <si>
    <t>4.86440616678965</t>
  </si>
  <si>
    <t>6.94537686460902</t>
  </si>
  <si>
    <t>1.4158336466819</t>
  </si>
  <si>
    <t>3.03612048731136</t>
  </si>
  <si>
    <t>2.14161892862323</t>
  </si>
  <si>
    <t>9.88567341211393</t>
  </si>
  <si>
    <t>6.26943467043036</t>
  </si>
  <si>
    <t>37.4721543662906</t>
  </si>
  <si>
    <t>14.6581480735867</t>
  </si>
  <si>
    <t>-5.77655371021707</t>
  </si>
  <si>
    <t>1.67956521026494</t>
  </si>
  <si>
    <t>14.7877857427903</t>
  </si>
  <si>
    <t>6.56294006878343</t>
  </si>
  <si>
    <t>11.7787932465481</t>
  </si>
  <si>
    <t>4.34073954664045</t>
  </si>
  <si>
    <t>4.30240455114837</t>
  </si>
  <si>
    <t>8.91968461045738</t>
  </si>
  <si>
    <t>19.2817521956953</t>
  </si>
  <si>
    <t>14.5100988981018</t>
  </si>
  <si>
    <t>12.2933626905493</t>
  </si>
  <si>
    <t>58.7108211163734</t>
  </si>
  <si>
    <t>23.6460377170686</t>
  </si>
  <si>
    <t>162.546009714862</t>
  </si>
  <si>
    <t>56.4446095646669</t>
  </si>
  <si>
    <t>134.53764412728</t>
  </si>
  <si>
    <t>11.3007436728124</t>
  </si>
  <si>
    <t>16.9508888014222</t>
  </si>
  <si>
    <t>16.5723972758262</t>
  </si>
  <si>
    <t>12.3517087490984</t>
  </si>
  <si>
    <t>3.9305797534646</t>
  </si>
  <si>
    <t>1.44325370621002</t>
  </si>
  <si>
    <t>2.97009281527207</t>
  </si>
  <si>
    <t>11.2105069504252</t>
  </si>
  <si>
    <t>6.58604372567883</t>
  </si>
  <si>
    <t>0.321971564083512</t>
  </si>
  <si>
    <t>2.61875157240041</t>
  </si>
  <si>
    <t>4.71856672944857</t>
  </si>
  <si>
    <t>6.77523783891412</t>
  </si>
  <si>
    <t>7.63242891934588</t>
  </si>
  <si>
    <t>174.857704742568</t>
  </si>
  <si>
    <t>8.21101038547327</t>
  </si>
  <si>
    <t>9.55474858618992</t>
  </si>
  <si>
    <t>1.15311395698279</t>
  </si>
  <si>
    <t>3.97225241927488</t>
  </si>
  <si>
    <t>2.40931982980719</t>
  </si>
  <si>
    <t>4.72761506665056</t>
  </si>
  <si>
    <t>-0.53668052810572</t>
  </si>
  <si>
    <t>-2.10540388667033</t>
  </si>
  <si>
    <t>3.00430951684523</t>
  </si>
  <si>
    <t>0.898175926516998</t>
  </si>
  <si>
    <t>2.10900787395214</t>
  </si>
  <si>
    <t>-2.88748792539391</t>
  </si>
  <si>
    <t>2.96118846307267</t>
  </si>
  <si>
    <t>-26.2960990745423</t>
  </si>
  <si>
    <t>22.4176933066434</t>
  </si>
  <si>
    <t>12.0604452530687</t>
  </si>
  <si>
    <t>-12.8675261337105</t>
  </si>
  <si>
    <t>3.93299824014244</t>
  </si>
  <si>
    <t>3.93665977559981</t>
  </si>
  <si>
    <t>4.43339870470074</t>
  </si>
  <si>
    <t>6.96137413694867</t>
  </si>
  <si>
    <t>9.92541322718788</t>
  </si>
  <si>
    <t>15.7572945774286</t>
  </si>
  <si>
    <t>9.29422775699883</t>
  </si>
  <si>
    <t>8.82204044828367</t>
  </si>
  <si>
    <t>6.97452049896358</t>
  </si>
  <si>
    <t>10.3553620838499</t>
  </si>
  <si>
    <t>10.6161901066231</t>
  </si>
  <si>
    <t>5.90072103686749</t>
  </si>
  <si>
    <t>5.3109801582431</t>
  </si>
  <si>
    <t>4.86704273009101</t>
  </si>
  <si>
    <t>4.81135461136319</t>
  </si>
  <si>
    <t>4.29757873944813</t>
  </si>
  <si>
    <t>5.43581136490045</t>
  </si>
  <si>
    <t>3.92482576997164</t>
  </si>
  <si>
    <t>3.71171269705057</t>
  </si>
  <si>
    <t>3.51794415236976</t>
  </si>
  <si>
    <t>3.03497912941238</t>
  </si>
  <si>
    <t>3.4022272661566</t>
  </si>
  <si>
    <t>2.6853480688176</t>
  </si>
  <si>
    <t>2.23254084072848</t>
  </si>
  <si>
    <t>2.06751622126389</t>
  </si>
  <si>
    <t>2.88433930020895</t>
  </si>
  <si>
    <t>2.58976943892402</t>
  </si>
  <si>
    <t>3.33382450937479</t>
  </si>
  <si>
    <t>4.02960288331762</t>
  </si>
  <si>
    <t>1.586850062683</t>
  </si>
  <si>
    <t>1.5047865386211</t>
  </si>
  <si>
    <t>1.99591508916262</t>
  </si>
  <si>
    <t>1.20095646597851</t>
  </si>
  <si>
    <t>1.32071091723995</t>
  </si>
  <si>
    <t>0.950322479212474</t>
  </si>
  <si>
    <t>1.95385298260793</t>
  </si>
  <si>
    <t>1.84430430326128</t>
  </si>
  <si>
    <t>1.32125719950292</t>
  </si>
  <si>
    <t>2.80128464647184</t>
  </si>
  <si>
    <t>5.9368968854381</t>
  </si>
  <si>
    <t>4.75854916721366</t>
  </si>
  <si>
    <t>1.95514461784867</t>
  </si>
  <si>
    <t>3.68515326998202</t>
  </si>
  <si>
    <t>4.9559884138576</t>
  </si>
  <si>
    <t>2.37997293470247</t>
  </si>
  <si>
    <t>0.553412047909461</t>
  </si>
  <si>
    <t>6.64309691016402</t>
  </si>
  <si>
    <t>3.32620357200506</t>
  </si>
  <si>
    <t>5.58773905145753</t>
  </si>
  <si>
    <t>8.85446140701163</t>
  </si>
  <si>
    <t>7.62338122251276</t>
  </si>
  <si>
    <t>9.1508326883297</t>
  </si>
  <si>
    <t>14.2618630703953</t>
  </si>
  <si>
    <t>11.6121394150855</t>
  </si>
  <si>
    <t>4.45850148602038</t>
  </si>
  <si>
    <t>9.6368312381081</t>
  </si>
  <si>
    <t>3.85827306657059</t>
  </si>
  <si>
    <t>8.1225159852502</t>
  </si>
  <si>
    <t>17.7597761964209</t>
  </si>
  <si>
    <t>15.7452199399122</t>
  </si>
  <si>
    <t>9.68499045625842</t>
  </si>
  <si>
    <t>4.60275336849104</t>
  </si>
  <si>
    <t>9.64210339352296</t>
  </si>
  <si>
    <t>5.36129875734916</t>
  </si>
  <si>
    <t>3.7707339021686</t>
  </si>
  <si>
    <t>8.61123594526019</t>
  </si>
  <si>
    <t>8.80201625562198</t>
  </si>
  <si>
    <t>12.5595279396317</t>
  </si>
  <si>
    <t>7.56488595878093</t>
  </si>
  <si>
    <t>9.14039095119379</t>
  </si>
  <si>
    <t>9.89935455503705</t>
  </si>
  <si>
    <t>8.61299983520128</t>
  </si>
  <si>
    <t>6.32133091880169</t>
  </si>
  <si>
    <t>4.1396380834922</t>
  </si>
  <si>
    <t>5.8836909215122</t>
  </si>
  <si>
    <t>5.76017748052651</t>
  </si>
  <si>
    <t>1.21987468723724</t>
  </si>
  <si>
    <t>-4.09566771051828</t>
  </si>
  <si>
    <t>-3.39416371132833</t>
  </si>
  <si>
    <t>-1.77403160610798</t>
  </si>
  <si>
    <t>-3.40188923853884</t>
  </si>
  <si>
    <t>-6.00769960516233</t>
  </si>
  <si>
    <t>-3.59081194875468</t>
  </si>
  <si>
    <t>-0.150061899138137</t>
  </si>
  <si>
    <t>-0.534803185177395</t>
  </si>
  <si>
    <t>3.13741749094942</t>
  </si>
  <si>
    <t>1.28148277791765</t>
  </si>
  <si>
    <t>-0.375418129080259</t>
  </si>
  <si>
    <t>0.270631981013935</t>
  </si>
  <si>
    <t>3.89786843894694</t>
  </si>
  <si>
    <t>3.54482583426005</t>
  </si>
  <si>
    <t>1.81248196706605</t>
  </si>
  <si>
    <t>2.85026459638024</t>
  </si>
  <si>
    <t>3.6435717873687</t>
  </si>
  <si>
    <t>1.6382712065802</t>
  </si>
  <si>
    <t>2.88058680368654</t>
  </si>
  <si>
    <t>3.65955345372002</t>
  </si>
  <si>
    <t>2.04491647121345</t>
  </si>
  <si>
    <t>0.638293116434753</t>
  </si>
  <si>
    <t>0.683636960252912</t>
  </si>
  <si>
    <t>1.68885829817785</t>
  </si>
  <si>
    <t>2.77774905222925</t>
  </si>
  <si>
    <t>4.18905506794871</t>
  </si>
  <si>
    <t>2.92397480604242</t>
  </si>
  <si>
    <t>2.1330054077134</t>
  </si>
  <si>
    <t>5.68451324107467</t>
  </si>
  <si>
    <t>2.07710192543846</t>
  </si>
  <si>
    <t>2.60566547152332</t>
  </si>
  <si>
    <t>2.6211199671049</t>
  </si>
  <si>
    <t>1.44868120969063</t>
  </si>
  <si>
    <t>2.60516830495155</t>
  </si>
  <si>
    <t>4.44557528281055</t>
  </si>
  <si>
    <t>-2.77754008864453</t>
  </si>
  <si>
    <t>3.86452383578926</t>
  </si>
  <si>
    <t>5.34580501259809</t>
  </si>
  <si>
    <t>14.7789434340134</t>
  </si>
  <si>
    <t>6.38480092295136</t>
  </si>
  <si>
    <t>8.53218912666507</t>
  </si>
  <si>
    <t>12.1994797188068</t>
  </si>
  <si>
    <t>75.0738706508897</t>
  </si>
  <si>
    <t>8.35485422380901</t>
  </si>
  <si>
    <t>11.2924547533385</t>
  </si>
  <si>
    <t>3.16932827722172</t>
  </si>
  <si>
    <t>7.74004861288542</t>
  </si>
  <si>
    <t>3.98481813114276</t>
  </si>
  <si>
    <t>3.26391570947062</t>
  </si>
  <si>
    <t>1.66148350126687</t>
  </si>
  <si>
    <t>2.12867790570674</t>
  </si>
  <si>
    <t>2.24250267912511</t>
  </si>
  <si>
    <t>9.17751045764341</t>
  </si>
  <si>
    <t>11.5036925338541</t>
  </si>
  <si>
    <t>25.0086874853778</t>
  </si>
  <si>
    <t>26.2836710300963</t>
  </si>
  <si>
    <t>3.67417388031402</t>
  </si>
  <si>
    <t>10.9086143487444</t>
  </si>
  <si>
    <t>21.3388006751817</t>
  </si>
  <si>
    <t>23.7139686839353</t>
  </si>
  <si>
    <t>18.1935778444514</t>
  </si>
  <si>
    <t>16.8116051387563</t>
  </si>
  <si>
    <t>10.2989949131436</t>
  </si>
  <si>
    <t>7.57572728281066</t>
  </si>
  <si>
    <t>7.99344674107078</t>
  </si>
  <si>
    <t>8.08434938014908</t>
  </si>
  <si>
    <t>5.13193992154596</t>
  </si>
  <si>
    <t>6.45198385160759</t>
  </si>
  <si>
    <t>7.27916415839877</t>
  </si>
  <si>
    <t>5.34866346521486</t>
  </si>
  <si>
    <t>6.62550716828601</t>
  </si>
  <si>
    <t>7.79051363926141</t>
  </si>
  <si>
    <t>7.65373242322937</t>
  </si>
  <si>
    <t>4.67604329499009</t>
  </si>
  <si>
    <t>7.8072052366428</t>
  </si>
  <si>
    <t>3.57978742613756</t>
  </si>
  <si>
    <t>1.37403051856492</t>
  </si>
  <si>
    <t>6.84935672480186</t>
  </si>
  <si>
    <t>6.9327703694637</t>
  </si>
  <si>
    <t>3.67806814426042</t>
  </si>
  <si>
    <t>4.5128429763521</t>
  </si>
  <si>
    <t>1.94721691531043</t>
  </si>
  <si>
    <t>3.35874088466439</t>
  </si>
  <si>
    <t>3.40198228348704</t>
  </si>
  <si>
    <t>4.60572808888793</t>
  </si>
  <si>
    <t>9.31239503002736</t>
  </si>
  <si>
    <t>6.1785877403702</t>
  </si>
  <si>
    <t>3.82995246658545</t>
  </si>
  <si>
    <t>2.05096693162303</t>
  </si>
  <si>
    <t>3.2355442198357</t>
  </si>
  <si>
    <t>4.03251283857818</t>
  </si>
  <si>
    <t>2.97431957760782</t>
  </si>
  <si>
    <t>3.4884716162054</t>
  </si>
  <si>
    <t>1.33299886735097</t>
  </si>
  <si>
    <t>2.28019225742944</t>
  </si>
  <si>
    <t>3.79167755182552</t>
  </si>
  <si>
    <t>3.78500364659838</t>
  </si>
  <si>
    <t>2.97053771045424</t>
  </si>
  <si>
    <t>8.56215117461163</t>
  </si>
  <si>
    <t>12.9883197516404</t>
  </si>
  <si>
    <t>10.8085073501478</t>
  </si>
  <si>
    <t>10.0000183961739</t>
  </si>
  <si>
    <t>10.9096938505005</t>
  </si>
  <si>
    <t>14.5698880888814</t>
  </si>
  <si>
    <t>10.4054880577224</t>
  </si>
  <si>
    <t>9.84281949751727</t>
  </si>
  <si>
    <t>12.5231608485536</t>
  </si>
  <si>
    <t>9.53403991183907</t>
  </si>
  <si>
    <t>12.1238763563495</t>
  </si>
  <si>
    <t>11.9801417375466</t>
  </si>
  <si>
    <t>16.3341883224958</t>
  </si>
  <si>
    <t>11.4107495542043</t>
  </si>
  <si>
    <t>25.616962532322</t>
  </si>
  <si>
    <t>13.0495263965768</t>
  </si>
  <si>
    <t>10.4490028967539</t>
  </si>
  <si>
    <t>5.64262059409572</t>
  </si>
  <si>
    <t>7.49572139802233</t>
  </si>
  <si>
    <t>7.38243511492881</t>
  </si>
  <si>
    <t>8.0972754941041</t>
  </si>
  <si>
    <t>5.82661895863355</t>
  </si>
  <si>
    <t>6.27947337751162</t>
  </si>
  <si>
    <t>9.05090240497574</t>
  </si>
  <si>
    <t>8.58488444144687</t>
  </si>
  <si>
    <t>3.58690582613154</t>
  </si>
  <si>
    <t>4.08186837702725</t>
  </si>
  <si>
    <t>4.12270412733761</t>
  </si>
  <si>
    <t>3.04136223867999</t>
  </si>
  <si>
    <t>3.00001181631713</t>
  </si>
  <si>
    <t>5.16433588592962</t>
  </si>
  <si>
    <t>8.66620854081535</t>
  </si>
  <si>
    <t>594.846712426455</t>
  </si>
  <si>
    <t>1466.78950777082</t>
  </si>
  <si>
    <t>111.758749841778</t>
  </si>
  <si>
    <t>23.4978305937769</t>
  </si>
  <si>
    <t>3.8344167423008</t>
  </si>
  <si>
    <t>6.89048752665468</t>
  </si>
  <si>
    <t>3.5134182816406</t>
  </si>
  <si>
    <t>4.35088461209688</t>
  </si>
  <si>
    <t>4.22808559680259</t>
  </si>
  <si>
    <t>3.84070455117511</t>
  </si>
  <si>
    <t>4.30049516603847</t>
  </si>
  <si>
    <t>3.62413483551181</t>
  </si>
  <si>
    <t>4.28626980768851</t>
  </si>
  <si>
    <t>2.98499874568037</t>
  </si>
  <si>
    <t>1.41145606381943</t>
  </si>
  <si>
    <t>0.73288886582057</t>
  </si>
  <si>
    <t>0.126544520072585</t>
  </si>
  <si>
    <t>0.12437215819854</t>
  </si>
  <si>
    <t>0.0151130697192627</t>
  </si>
  <si>
    <t>1.23163897621677</t>
  </si>
  <si>
    <t>2.02559756591751</t>
  </si>
  <si>
    <t>1.98838183285723</t>
  </si>
  <si>
    <t>0.803359807884533</t>
  </si>
  <si>
    <t>2.08111752959877</t>
  </si>
  <si>
    <t>8.01280669780672</t>
  </si>
  <si>
    <t>11.7403306343319</t>
  </si>
  <si>
    <t>2.2206246641594</t>
  </si>
  <si>
    <t>-3.60740687843058</t>
  </si>
  <si>
    <t>6.62505430580862</t>
  </si>
  <si>
    <t>12.1560239523543</t>
  </si>
  <si>
    <t>6.30088810429544</t>
  </si>
  <si>
    <t>5.0483705808166</t>
  </si>
  <si>
    <t>2.21212681089182</t>
  </si>
  <si>
    <t>-3.38687121639593</t>
  </si>
  <si>
    <t>2.57197701133911</t>
  </si>
  <si>
    <t>-16.0183260014754</t>
  </si>
  <si>
    <t>2.87440962006281</t>
  </si>
  <si>
    <t>1.54364161360957</t>
  </si>
  <si>
    <t>19.7875854535674</t>
  </si>
  <si>
    <t>14.5043139953154</t>
  </si>
  <si>
    <t>19.1783680523534</t>
  </si>
  <si>
    <t>18.9602589781071</t>
  </si>
  <si>
    <t>3.88389669512306</t>
  </si>
  <si>
    <t>-3.14157908924248</t>
  </si>
  <si>
    <t>3.12509055791705</t>
  </si>
  <si>
    <t>19.2631974142908</t>
  </si>
  <si>
    <t>3.33095824071361</t>
  </si>
  <si>
    <t>9.14309279925085</t>
  </si>
  <si>
    <t>11.5269242012741</t>
  </si>
  <si>
    <t>9.97375895388627</t>
  </si>
  <si>
    <t>15.9345984327886</t>
  </si>
  <si>
    <t>-10.9759466585695</t>
  </si>
  <si>
    <t>27.427621559444</t>
  </si>
  <si>
    <t>7.82070964861587</t>
  </si>
  <si>
    <t>11.9957500830468</t>
  </si>
  <si>
    <t>14.6102588137357</t>
  </si>
  <si>
    <t>20.9081659658449</t>
  </si>
  <si>
    <t>18.3366424469186</t>
  </si>
  <si>
    <t>56.7078918049329</t>
  </si>
  <si>
    <t>15.963377388462</t>
  </si>
  <si>
    <t>9.97659004101597</t>
  </si>
  <si>
    <t>12.7269915008058</t>
  </si>
  <si>
    <t>14.1574176285167</t>
  </si>
  <si>
    <t>91.3806637936128</t>
  </si>
  <si>
    <t>13.2483298704949</t>
  </si>
  <si>
    <t>10.2209698640329</t>
  </si>
  <si>
    <t>17.9855214217412</t>
  </si>
  <si>
    <t>19.3029246947154</t>
  </si>
  <si>
    <t>13.5183157532254</t>
  </si>
  <si>
    <t>4.11225632167309</t>
  </si>
  <si>
    <t>12.6749391714258</t>
  </si>
  <si>
    <t>11.6014672379655</t>
  </si>
  <si>
    <t>7.39382346704139</t>
  </si>
  <si>
    <t>4.32073061328364</t>
  </si>
  <si>
    <t>8.20779379091175</t>
  </si>
  <si>
    <t>8.07714884191483</t>
  </si>
  <si>
    <t>2.21898603934831</t>
  </si>
  <si>
    <t>5.20596329822199</t>
  </si>
  <si>
    <t>15.7032145295515</t>
  </si>
  <si>
    <t>13.7798773975934</t>
  </si>
  <si>
    <t>6.5357588755091</t>
  </si>
  <si>
    <t>19.8003879006213</t>
  </si>
  <si>
    <t>18.6851861283427</t>
  </si>
  <si>
    <t>18.9602364056386</t>
  </si>
  <si>
    <t>30.2012918564443</t>
  </si>
  <si>
    <t>31.5119631448975</t>
  </si>
  <si>
    <t>0.980850017531992</t>
  </si>
  <si>
    <t>-0.586487546821743</t>
  </si>
  <si>
    <t>-0.450355833225132</t>
  </si>
  <si>
    <t>0.399055313205807</t>
  </si>
  <si>
    <t>-30.1874927989251</t>
  </si>
  <si>
    <t>2.88012520063148</t>
  </si>
  <si>
    <t>0.58812948751978</t>
  </si>
  <si>
    <t>4.35832238818574</t>
  </si>
  <si>
    <t>3.95224539084447</t>
  </si>
  <si>
    <t>1.68716631447406</t>
  </si>
  <si>
    <t>2.17490505309273</t>
  </si>
  <si>
    <t>2.11600393785265</t>
  </si>
  <si>
    <t>2.6486739681028</t>
  </si>
  <si>
    <t>-1.18184762089251</t>
  </si>
  <si>
    <t>0.984560191076312</t>
  </si>
  <si>
    <t>5.76608843245137</t>
  </si>
  <si>
    <t>2.27554257391989</t>
  </si>
  <si>
    <t>3.66343928538041</t>
  </si>
  <si>
    <t>5.51245490418258</t>
  </si>
  <si>
    <t>5.68664848448492</t>
  </si>
  <si>
    <t>5.15179155003371</t>
  </si>
  <si>
    <t>5.7103501343877</t>
  </si>
  <si>
    <t>4.96090458128913</t>
  </si>
  <si>
    <t>6.33162430558534</t>
  </si>
  <si>
    <t>5.90976432501374</t>
  </si>
  <si>
    <t>3.74226138866254</t>
  </si>
  <si>
    <t>8.24957421262904</t>
  </si>
  <si>
    <t>17.5260765685418</t>
  </si>
  <si>
    <t>18.7365456340886</t>
  </si>
  <si>
    <t>25.666049673664</t>
  </si>
  <si>
    <t>35.71544123657</t>
  </si>
  <si>
    <t>21.5091796494696</t>
  </si>
  <si>
    <t>21.2784550856639</t>
  </si>
  <si>
    <t>19.4910605451918</t>
  </si>
  <si>
    <t>26.7327889444513</t>
  </si>
  <si>
    <t>21.930280736456</t>
  </si>
  <si>
    <t>20.2607985778717</t>
  </si>
  <si>
    <t>13.7672389258277</t>
  </si>
  <si>
    <t>8.12026432054157</t>
  </si>
  <si>
    <t>9.58348091637275</t>
  </si>
  <si>
    <t>11.0465639891595</t>
  </si>
  <si>
    <t>8.09150583095244</t>
  </si>
  <si>
    <t>5.43344610640528</t>
  </si>
  <si>
    <t>5.09107072516386</t>
  </si>
  <si>
    <t>2.62703094651735</t>
  </si>
  <si>
    <t>3.65668643970305</t>
  </si>
  <si>
    <t>4.80613866757824</t>
  </si>
  <si>
    <t>4.1990645514699</t>
  </si>
  <si>
    <t>2.53257045300049</t>
  </si>
  <si>
    <t>1.92872070289376</t>
  </si>
  <si>
    <t>2.89276167816158</t>
  </si>
  <si>
    <t>2.82053189026186</t>
  </si>
  <si>
    <t>3.6927260947232</t>
  </si>
  <si>
    <t>2.7757419080134</t>
  </si>
  <si>
    <t>1.3204719948326</t>
  </si>
  <si>
    <t>4.02970505144422</t>
  </si>
  <si>
    <t>4.847425391946</t>
  </si>
  <si>
    <t>4.78502518079389</t>
  </si>
  <si>
    <t>6.38947660567723</t>
  </si>
  <si>
    <t>6.43924810515087</t>
  </si>
  <si>
    <t>14.2313411581322</t>
  </si>
  <si>
    <t>14.7490051351556</t>
  </si>
  <si>
    <t>2.01373056169021</t>
  </si>
  <si>
    <t>2.79917876186334</t>
  </si>
  <si>
    <t>4.31042984290484</t>
  </si>
  <si>
    <t>2.75103434543911</t>
  </si>
  <si>
    <t>2.87390160019978</t>
  </si>
  <si>
    <t>2.97676738124157</t>
  </si>
  <si>
    <t>2.73481216062206</t>
  </si>
  <si>
    <t>3.33336993784386</t>
  </si>
  <si>
    <t>4.35296904922554</t>
  </si>
  <si>
    <t>5.94440692526648</t>
  </si>
  <si>
    <t>7.1294897747527</t>
  </si>
  <si>
    <t>15.4956509350934</t>
  </si>
  <si>
    <t>24.3947260867885</t>
  </si>
  <si>
    <t>9.89790713601153</t>
  </si>
  <si>
    <t>12.1325082792679</t>
  </si>
  <si>
    <t>9.02190675292902</t>
  </si>
  <si>
    <t>15.7324933955261</t>
  </si>
  <si>
    <t>22.1184902235648</t>
  </si>
  <si>
    <t>8.02318350006618</t>
  </si>
  <si>
    <t>8.49478154054747</t>
  </si>
  <si>
    <t>8.12372570854757</t>
  </si>
  <si>
    <t>8.09976323534119</t>
  </si>
  <si>
    <t>7.49074948646498</t>
  </si>
  <si>
    <t>9.32789330598244</t>
  </si>
  <si>
    <t>9.29248554309839</t>
  </si>
  <si>
    <t>15.4454404639221</t>
  </si>
  <si>
    <t>25.6171132056872</t>
  </si>
  <si>
    <t>16.9523160277603</t>
  </si>
  <si>
    <t>9.29387323537401</t>
  </si>
  <si>
    <t>7.93322816521219</t>
  </si>
  <si>
    <t>8.01016752456401</t>
  </si>
  <si>
    <t>6.33463973024264</t>
  </si>
  <si>
    <t>4.92118791987299</t>
  </si>
  <si>
    <t>5.62319259054456</t>
  </si>
  <si>
    <t>3.16159648072517</t>
  </si>
  <si>
    <t>2.1694364984367</t>
  </si>
  <si>
    <t>2.62804309696658</t>
  </si>
  <si>
    <t>4.20702850443691</t>
  </si>
  <si>
    <t>3.61211059645764</t>
  </si>
  <si>
    <t>2.37667415121405</t>
  </si>
  <si>
    <t>2.38848095642257</t>
  </si>
  <si>
    <t>6.19285088635113</t>
  </si>
  <si>
    <t>9.56630364653237</t>
  </si>
  <si>
    <t>5.25924289518227</t>
  </si>
  <si>
    <t>2.59514401228143</t>
  </si>
  <si>
    <t>2.01287304793861</t>
  </si>
  <si>
    <t>3.09441677748327</t>
  </si>
  <si>
    <t>2.86523159103073</t>
  </si>
  <si>
    <t>2.75282830307547</t>
  </si>
  <si>
    <t>3.59364082712355</t>
  </si>
  <si>
    <t>2.24496375356198</t>
  </si>
  <si>
    <t>2.41538358508238</t>
  </si>
  <si>
    <t>4.8012241622837</t>
  </si>
  <si>
    <t>6.35006210209588</t>
  </si>
  <si>
    <t>12.5618030639405</t>
  </si>
  <si>
    <t>18.8878440309372</t>
  </si>
  <si>
    <t>10.1912387553043</t>
  </si>
  <si>
    <t>9.17210947673549</t>
  </si>
  <si>
    <t>10.6450548190181</t>
  </si>
  <si>
    <t>8.48968222663765</t>
  </si>
  <si>
    <t>12.4714197175735</t>
  </si>
  <si>
    <t>13.9126652281184</t>
  </si>
  <si>
    <t>8.11308684183778</t>
  </si>
  <si>
    <t>8.52030774031029</t>
  </si>
  <si>
    <t>9.68701265304514</t>
  </si>
  <si>
    <t>6.55450968975859</t>
  </si>
  <si>
    <t>8.51092844314571</t>
  </si>
  <si>
    <t>10.7158851532271</t>
  </si>
  <si>
    <t>12.9000344835068</t>
  </si>
  <si>
    <t>11.2979738583905</t>
  </si>
  <si>
    <t>11.076427188031</t>
  </si>
  <si>
    <t>8.94219391896976</t>
  </si>
  <si>
    <t>6.99682218586011</t>
  </si>
  <si>
    <t>6.72821877248472</t>
  </si>
  <si>
    <t>5.69636400289016</t>
  </si>
  <si>
    <t>4.19252107522244</t>
  </si>
  <si>
    <t>5.61833211850035</t>
  </si>
  <si>
    <t>7.09980032947256</t>
  </si>
  <si>
    <t>7.05610348587702</t>
  </si>
  <si>
    <t>7.55679942246153</t>
  </si>
  <si>
    <t>7.20177940201813</t>
  </si>
  <si>
    <t>9.39011103900804</t>
  </si>
  <si>
    <t>3.13941322099926</t>
  </si>
  <si>
    <t>6.32809696031494</t>
  </si>
  <si>
    <t>7.83332804468386</t>
  </si>
  <si>
    <t>4.92959071322825</t>
  </si>
  <si>
    <t>3.36263549409656</t>
  </si>
  <si>
    <t>2.99107712093694</t>
  </si>
  <si>
    <t>2.96001569336683</t>
  </si>
  <si>
    <t>2.77395951681252</t>
  </si>
  <si>
    <t>4.15203958049391</t>
  </si>
  <si>
    <t>3.57593206720305</t>
  </si>
  <si>
    <t>2.82429576528958</t>
  </si>
  <si>
    <t>2.82883193883481</t>
  </si>
  <si>
    <t>5.8428798374009</t>
  </si>
  <si>
    <t>8.61824524701927</t>
  </si>
  <si>
    <t>5.14466745732078</t>
  </si>
  <si>
    <t>1.46855237439848</t>
  </si>
  <si>
    <t>2.73094126973137</t>
  </si>
  <si>
    <t>3.02346029827031</t>
  </si>
  <si>
    <t>3.94004059751826</t>
  </si>
  <si>
    <t>1.74808937624435</t>
  </si>
  <si>
    <t>3.72685146292707</t>
  </si>
  <si>
    <t>3.7094041172512</t>
  </si>
  <si>
    <t>10.4455348010364</t>
  </si>
  <si>
    <t>15.9069116078977</t>
  </si>
  <si>
    <t>8.40953801635904</t>
  </si>
  <si>
    <t>7.46235834810263</t>
  </si>
  <si>
    <t>10.655037150111</t>
  </si>
  <si>
    <t>8.74925303712048</t>
  </si>
  <si>
    <t>8.70372024441841</t>
  </si>
  <si>
    <t>10.1772044843492</t>
  </si>
  <si>
    <t>6.92776915568827</t>
  </si>
  <si>
    <t>5.92778510415164</t>
  </si>
  <si>
    <t>7.6890065862942</t>
  </si>
  <si>
    <t>9.01356781083626</t>
  </si>
  <si>
    <t>7.89841724708602</t>
  </si>
  <si>
    <t>7.99401392581226</t>
  </si>
  <si>
    <t>10.4459358533896</t>
  </si>
  <si>
    <t>9.9371554171951</t>
  </si>
  <si>
    <t>16.7944060315402</t>
  </si>
  <si>
    <t>9.85400810635205</t>
  </si>
  <si>
    <t>8.67899666150048</t>
  </si>
  <si>
    <t>5.31777188051445</t>
  </si>
  <si>
    <t>6.18421616396624</t>
  </si>
  <si>
    <t>7.10830184452789</t>
  </si>
  <si>
    <t>6.468815226824</t>
  </si>
  <si>
    <t>6.01279243381738</t>
  </si>
  <si>
    <t>3.92137857065688</t>
  </si>
  <si>
    <t>5.53933744651502</t>
  </si>
  <si>
    <t>6.79561761190055</t>
  </si>
  <si>
    <t>6.79728556994954</t>
  </si>
  <si>
    <t>9.11982488742804</t>
  </si>
  <si>
    <t>3.11722996127335</t>
  </si>
  <si>
    <t>3.58693538896726</t>
  </si>
  <si>
    <t>3.48482234984576</t>
  </si>
  <si>
    <t>3.69597694948588</t>
  </si>
  <si>
    <t>2.97683473353541</t>
  </si>
  <si>
    <t>4.10173894336428</t>
  </si>
  <si>
    <t>3.52803102290719</t>
  </si>
  <si>
    <t>3.34313691610601</t>
  </si>
  <si>
    <t>3.13798391090493</t>
  </si>
  <si>
    <t>5.56666402809906</t>
  </si>
  <si>
    <t>8.07767918224402</t>
  </si>
  <si>
    <t>3.12812401939357</t>
  </si>
  <si>
    <t>2.70414329554167</t>
  </si>
  <si>
    <t>4.60065831014529</t>
  </si>
  <si>
    <t>3.42936048192666</t>
  </si>
  <si>
    <t>5.65136294376352</t>
  </si>
  <si>
    <t>4.64378287496548</t>
  </si>
  <si>
    <t>6.95357078493331</t>
  </si>
  <si>
    <t>14.988872209868</t>
  </si>
  <si>
    <t>18.1538350293702</t>
  </si>
  <si>
    <t>10.0891056157046</t>
  </si>
  <si>
    <t>10.4763955408288</t>
  </si>
  <si>
    <t>7.45186898087206</t>
  </si>
  <si>
    <t>12.170764947367</t>
  </si>
  <si>
    <t>12.5802985849553</t>
  </si>
  <si>
    <t>6.97754029593261</t>
  </si>
  <si>
    <t>7.04805369547054</t>
  </si>
  <si>
    <t>6.57756343796486</t>
  </si>
  <si>
    <t>8.02456377201574</t>
  </si>
  <si>
    <t>4.49290561266191</t>
  </si>
  <si>
    <t>4.40928402828408</t>
  </si>
  <si>
    <t>7.07587323023934</t>
  </si>
  <si>
    <t>6.45562427885882</t>
  </si>
  <si>
    <t>3.94092336088616</t>
  </si>
  <si>
    <t>4.13823158649787</t>
  </si>
  <si>
    <t>6.33152064509527</t>
  </si>
  <si>
    <t>4.19922856102529</t>
  </si>
  <si>
    <t>5.99690992883194</t>
  </si>
  <si>
    <t>6.56778041472919</t>
  </si>
  <si>
    <t>5.17342643454008</t>
  </si>
  <si>
    <t>5.62381194728181</t>
  </si>
  <si>
    <t>3.08187889020277</t>
  </si>
  <si>
    <t>3.54389041654935</t>
  </si>
  <si>
    <t>6.29705356401369</t>
  </si>
  <si>
    <t>4.53937220050526</t>
  </si>
  <si>
    <t>4.20036560280634</t>
  </si>
  <si>
    <t>2.74372157214314</t>
  </si>
  <si>
    <t>5.38192737520464</t>
  </si>
  <si>
    <t>3.76961636384112</t>
  </si>
  <si>
    <t>5.34634143735731</t>
  </si>
  <si>
    <t>4.63617938906714</t>
  </si>
  <si>
    <t>5.71974957140439</t>
  </si>
  <si>
    <t>7.55224645311535</t>
  </si>
  <si>
    <t>1.85984206066762</t>
  </si>
  <si>
    <t>4.82630221569335</t>
  </si>
  <si>
    <t>7.08705667975752</t>
  </si>
  <si>
    <t>4.39104776358013</t>
  </si>
  <si>
    <t>3.57671112814791</t>
  </si>
  <si>
    <t>1.7989498941914</t>
  </si>
  <si>
    <t>2.81102859289464</t>
  </si>
  <si>
    <t>2.30606279951792</t>
  </si>
  <si>
    <t>3.74337042170357</t>
  </si>
  <si>
    <t>3.11334381483177</t>
  </si>
  <si>
    <t>2.93799665764543</t>
  </si>
  <si>
    <t>0.535866232026407</t>
  </si>
  <si>
    <t>7.23089062265045</t>
  </si>
  <si>
    <t>8.50917325062476</t>
  </si>
  <si>
    <t>4.06636025144491</t>
  </si>
  <si>
    <t>13.9360155113771</t>
  </si>
  <si>
    <t>178.866740354512</t>
  </si>
  <si>
    <t>145.841086266625</t>
  </si>
  <si>
    <t>114.731159309575</t>
  </si>
  <si>
    <t>228.818940763081</t>
  </si>
  <si>
    <t>-98.7038313429157</t>
  </si>
  <si>
    <t>164.721840659326</t>
  </si>
  <si>
    <t>122.972806488692</t>
  </si>
  <si>
    <t>21.3532019257833</t>
  </si>
  <si>
    <t>14.2530718766209</t>
  </si>
  <si>
    <t>2.72473710516689</t>
  </si>
  <si>
    <t>16.1198390331289</t>
  </si>
  <si>
    <t>36.8784795094045</t>
  </si>
  <si>
    <t>47.3104966295127</t>
  </si>
  <si>
    <t>12.4680583694691</t>
  </si>
  <si>
    <t>14.456794601306</t>
  </si>
  <si>
    <t>13.0123626584209</t>
  </si>
  <si>
    <t>12.0648985566186</t>
  </si>
  <si>
    <t>31.1871886076168</t>
  </si>
  <si>
    <t>29.1454997737451</t>
  </si>
  <si>
    <t>10.1507146481633</t>
  </si>
  <si>
    <t>7.9505038995089</t>
  </si>
  <si>
    <t>18.6127003508106</t>
  </si>
  <si>
    <t>10.4218296841676</t>
  </si>
  <si>
    <t>6.19136369122812</t>
  </si>
  <si>
    <t>2.25377148401233</t>
  </si>
  <si>
    <t>16.0038157135078</t>
  </si>
  <si>
    <t>7.62910933335303</t>
  </si>
  <si>
    <t>9.4850296359315</t>
  </si>
  <si>
    <t>9.09394969768371</t>
  </si>
  <si>
    <t>8.76703888583599</t>
  </si>
  <si>
    <t>7.28885625784123</t>
  </si>
  <si>
    <t>19.1525782553043</t>
  </si>
  <si>
    <t>7.77657280267769</t>
  </si>
  <si>
    <t>9.88204513093129</t>
  </si>
  <si>
    <t>8.6765097553662</t>
  </si>
  <si>
    <t>12.5713762956895</t>
  </si>
  <si>
    <t>75.2711687734718</t>
  </si>
  <si>
    <t>14.1611959857791</t>
  </si>
  <si>
    <t>20.4474568521459</t>
  </si>
  <si>
    <t>14.2957154362836</t>
  </si>
  <si>
    <t>5.89605169318483</t>
  </si>
  <si>
    <t>8.55072703186366</t>
  </si>
  <si>
    <t>14.3317870842712</t>
  </si>
  <si>
    <t>14.087424416793</t>
  </si>
  <si>
    <t>11.2585785308968</t>
  </si>
  <si>
    <t>18.1497512494668</t>
  </si>
  <si>
    <t>8.27475243172917</t>
  </si>
  <si>
    <t>15.2642936576449</t>
  </si>
  <si>
    <t>7.46594303367513</t>
  </si>
  <si>
    <t>3.75387875323653</t>
  </si>
  <si>
    <t>4.96599029131677</t>
  </si>
  <si>
    <t>5.44317454935612</t>
  </si>
  <si>
    <t>3.98024266013961</t>
  </si>
  <si>
    <t>2.43892408688207</t>
  </si>
  <si>
    <t>4.29267812199525</t>
  </si>
  <si>
    <t>1.59848849984144</t>
  </si>
  <si>
    <t>-0.401651435218994</t>
  </si>
  <si>
    <t>9.56668684525337</t>
  </si>
  <si>
    <t>1.5330736733459</t>
  </si>
  <si>
    <t>1.59305467682391</t>
  </si>
  <si>
    <t>3.31096996147278</t>
  </si>
  <si>
    <t>3.73700225815232</t>
  </si>
  <si>
    <t>1.24704475172592</t>
  </si>
  <si>
    <t>3.8643468368338</t>
  </si>
  <si>
    <t>3.17217614161606</t>
  </si>
  <si>
    <t>5.30431107357161</t>
  </si>
  <si>
    <t>10.1819588439986</t>
  </si>
  <si>
    <t>15.4390860383829</t>
  </si>
  <si>
    <t>9.46098936676918</t>
  </si>
  <si>
    <t>8.32686719831565</t>
  </si>
  <si>
    <t>9.63321376962262</t>
  </si>
  <si>
    <t>7.96615594950893</t>
  </si>
  <si>
    <t>10.3172575918564</t>
  </si>
  <si>
    <t>9.50260832065329</t>
  </si>
  <si>
    <t>9.10715260219285</t>
  </si>
  <si>
    <t>11.3967204922577</t>
  </si>
  <si>
    <t>8.93083000559061</t>
  </si>
  <si>
    <t>7.2228447686637</t>
  </si>
  <si>
    <t>11.306944056869</t>
  </si>
  <si>
    <t>11.8587057699314</t>
  </si>
  <si>
    <t>12.7581993007494</t>
  </si>
  <si>
    <t>10.8417618101674</t>
  </si>
  <si>
    <t>22.147259018823</t>
  </si>
  <si>
    <t>11.0640001040792</t>
  </si>
  <si>
    <t>10.0738348648313</t>
  </si>
  <si>
    <t>6.49837857785635</t>
  </si>
  <si>
    <t>7.34486242985634</t>
  </si>
  <si>
    <t>7.31566985986627</t>
  </si>
  <si>
    <t>6.69302183966732</t>
  </si>
  <si>
    <t>7.0727591038912</t>
  </si>
  <si>
    <t>7.43627840440044</t>
  </si>
  <si>
    <t>9.21371767444133</t>
  </si>
  <si>
    <t>4.03530386157287</t>
  </si>
  <si>
    <t>3.63300945054496</t>
  </si>
  <si>
    <t>3.79025038594511</t>
  </si>
  <si>
    <t>4.23801100733569</t>
  </si>
  <si>
    <t>3.64687311981158</t>
  </si>
  <si>
    <t>4.23616904362789</t>
  </si>
  <si>
    <t>3.80584978003358</t>
  </si>
  <si>
    <t>3.46709767699252</t>
  </si>
  <si>
    <t>3.30969230794909</t>
  </si>
  <si>
    <t>2.17153669267903</t>
  </si>
  <si>
    <t>5.37077589225051</t>
  </si>
  <si>
    <t>4.43718609712469</t>
  </si>
  <si>
    <t>7.47887278135218</t>
  </si>
  <si>
    <t>9.0493596759454</t>
  </si>
  <si>
    <t>6.89045247166862</t>
  </si>
  <si>
    <t>3.74245550165119</t>
  </si>
  <si>
    <t>2.15636686258742</t>
  </si>
  <si>
    <t>2.54138760337173</t>
  </si>
  <si>
    <t>2.92003206566251</t>
  </si>
  <si>
    <t>2.56971675250178</t>
  </si>
  <si>
    <t>2.64422861089284</t>
  </si>
  <si>
    <t>2.38711477002045</t>
  </si>
  <si>
    <t>2.29396839491729</t>
  </si>
  <si>
    <t>3.30467642451447</t>
  </si>
  <si>
    <t>3.94179410350442</t>
  </si>
  <si>
    <t>2.48308532818655</t>
  </si>
  <si>
    <t>3.16682314898067</t>
  </si>
  <si>
    <t>5.4488670166636</t>
  </si>
  <si>
    <t>2.89669891422825</t>
  </si>
  <si>
    <t>3.56126163688073</t>
  </si>
  <si>
    <t>11.6230960809632</t>
  </si>
  <si>
    <t>37.7329037032917</t>
  </si>
  <si>
    <t>6.96588300576593</t>
  </si>
  <si>
    <t>5.20678784279833</t>
  </si>
  <si>
    <t>4.85475952954853</t>
  </si>
  <si>
    <t>-3.68368421655127</t>
  </si>
  <si>
    <t>1.53566217535929</t>
  </si>
  <si>
    <t>-0.522056397610342</t>
  </si>
  <si>
    <t>-0.627042047072379</t>
  </si>
  <si>
    <t>2.2367860662342</t>
  </si>
  <si>
    <t>3.99999709759626</t>
  </si>
  <si>
    <t>1.29998718635152</t>
  </si>
  <si>
    <t>1.80000342483409</t>
  </si>
  <si>
    <t>-0.205802426208734</t>
  </si>
  <si>
    <t>6.5149168978037</t>
  </si>
  <si>
    <t>2.14542764709287</t>
  </si>
  <si>
    <t>4.40561672938829</t>
  </si>
  <si>
    <t>8.35362388701878</t>
  </si>
  <si>
    <t>8.55167696512851</t>
  </si>
  <si>
    <t>8.30036940764349</t>
  </si>
  <si>
    <t>13.2707065585617</t>
  </si>
  <si>
    <t>8.61620471048464</t>
  </si>
  <si>
    <t>3.34336433815</t>
  </si>
  <si>
    <t>1.56224348305101</t>
  </si>
  <si>
    <t>5.32484105974427</t>
  </si>
  <si>
    <t>10.8396026933477</t>
  </si>
  <si>
    <t>17.8297156461391</t>
  </si>
  <si>
    <t>16.6675157342338</t>
  </si>
  <si>
    <t>-1.64868155114249</t>
  </si>
  <si>
    <t>5.98185934107545</t>
  </si>
  <si>
    <t>5.63722933776643</t>
  </si>
  <si>
    <t>2.46028232008</t>
  </si>
  <si>
    <t>15.7280432071614</t>
  </si>
  <si>
    <t>11.508320807462</t>
  </si>
  <si>
    <t>10.8275819794853</t>
  </si>
  <si>
    <t>8.09586310062346</t>
  </si>
  <si>
    <t>8.55285960224113</t>
  </si>
  <si>
    <t>7.92323284822739</t>
  </si>
  <si>
    <t>7.19378544452942</t>
  </si>
  <si>
    <t>6.78940045356175</t>
  </si>
  <si>
    <t>8.23251536870477</t>
  </si>
  <si>
    <t>8.43680886909797</t>
  </si>
  <si>
    <t>10.6683038500875</t>
  </si>
  <si>
    <t>13.7518189408817</t>
  </si>
  <si>
    <t>8.96515236173758</t>
  </si>
  <si>
    <t>9.8617828547541</t>
  </si>
  <si>
    <t>9.98004476893246</t>
  </si>
  <si>
    <t>9.06270222432151</t>
  </si>
  <si>
    <t>7.57501828948823</t>
  </si>
  <si>
    <t>6.4762712593954</t>
  </si>
  <si>
    <t>3.06839552293496</t>
  </si>
  <si>
    <t>3.64497015989629</t>
  </si>
  <si>
    <t>3.21561601727176</t>
  </si>
  <si>
    <t>3.71568377761413</t>
  </si>
  <si>
    <t>3.8677980853483</t>
  </si>
  <si>
    <t>5.72541322793228</t>
  </si>
  <si>
    <t>5.6219032632798</t>
  </si>
  <si>
    <t>6.9444182524999</t>
  </si>
  <si>
    <t>9.19396962637209</t>
  </si>
  <si>
    <t>7.04036543564477</t>
  </si>
  <si>
    <t>10.5260308551661</t>
  </si>
  <si>
    <t>8.73357890618065</t>
  </si>
  <si>
    <t>7.9343874779296</t>
  </si>
  <si>
    <t>6.18650400083453</t>
  </si>
  <si>
    <t>3.33175691706154</t>
  </si>
  <si>
    <t>2.27958810849833</t>
  </si>
  <si>
    <t>3.23797495080767</t>
  </si>
  <si>
    <t>3.96925793352338</t>
  </si>
  <si>
    <t>3.88424027196663</t>
  </si>
  <si>
    <t>2.40551716106513</t>
  </si>
  <si>
    <t>4.81485791893405</t>
  </si>
  <si>
    <t>8.35490771481598</t>
  </si>
  <si>
    <t>6.74751308321969</t>
  </si>
  <si>
    <t>1.33405065563208</t>
  </si>
  <si>
    <t>2.52392209617712</t>
  </si>
  <si>
    <t>4.88024367528598</t>
  </si>
  <si>
    <t>2.67143491745317</t>
  </si>
  <si>
    <t>9.66097835485678</t>
  </si>
  <si>
    <t>4.45389166433992</t>
  </si>
  <si>
    <t>4.23662923575195</t>
  </si>
  <si>
    <t>9.11139075397966</t>
  </si>
  <si>
    <t>9.72879654891312</t>
  </si>
  <si>
    <t>10.5391927193614</t>
  </si>
  <si>
    <t>13.3851200429848</t>
  </si>
  <si>
    <t>15.2725815664868</t>
  </si>
  <si>
    <t>6.08761597282013</t>
  </si>
  <si>
    <t>20.1333435142507</t>
  </si>
  <si>
    <t>21.022925399889</t>
  </si>
  <si>
    <t>13.2686011477664</t>
  </si>
  <si>
    <t>10.5264452201489</t>
  </si>
  <si>
    <t>13.6760606373206</t>
  </si>
  <si>
    <t>14.7047953275889</t>
  </si>
  <si>
    <t>17.4425505628307</t>
  </si>
  <si>
    <t>15.1821596864189</t>
  </si>
  <si>
    <t>10.7088743022632</t>
  </si>
  <si>
    <t>6.3792713822954</t>
  </si>
  <si>
    <t>5.1863295287353</t>
  </si>
  <si>
    <t>6.54969692643084</t>
  </si>
  <si>
    <t>2.19740891185252</t>
  </si>
  <si>
    <t>3.24631387353251</t>
  </si>
  <si>
    <t>5.52176374761521</t>
  </si>
  <si>
    <t>-0.729184582594556</t>
  </si>
  <si>
    <t>1.80139764380618</t>
  </si>
  <si>
    <t>2.81221870481201</t>
  </si>
  <si>
    <t>5.17575296318068</t>
  </si>
  <si>
    <t>1.69453043614732</t>
  </si>
  <si>
    <t>3.03399542755764</t>
  </si>
  <si>
    <t>2.29225380025899</t>
  </si>
  <si>
    <t>3.92926382303858</t>
  </si>
  <si>
    <t>6.55277671633789</t>
  </si>
  <si>
    <t>4.37619462487442</t>
  </si>
  <si>
    <t>6.87495036290895</t>
  </si>
  <si>
    <t>6.85968606420811</t>
  </si>
  <si>
    <t>5.18690228016905</t>
  </si>
  <si>
    <t>3.91173002963818</t>
  </si>
  <si>
    <t>0.515337991145543</t>
  </si>
  <si>
    <t>3.07321051112383</t>
  </si>
  <si>
    <t>3.41989682157653</t>
  </si>
  <si>
    <t>1.19848938400241</t>
  </si>
  <si>
    <t>-0.504526540606662</t>
  </si>
  <si>
    <t>-4.62459909075902</t>
  </si>
  <si>
    <t>-2.85830318555095</t>
  </si>
  <si>
    <t>1.8645376125239</t>
  </si>
  <si>
    <t>2.43515097679379</t>
  </si>
  <si>
    <t>1.33941394529278</t>
  </si>
  <si>
    <t>0.260925717324383</t>
  </si>
  <si>
    <t>8.90845059884661</t>
  </si>
  <si>
    <t>0.119373685791231</t>
  </si>
  <si>
    <t>0.92433709655964</t>
  </si>
  <si>
    <t>3.39169553046668</t>
  </si>
  <si>
    <t>-1.92433938965517</t>
  </si>
  <si>
    <t>1.09810305153333</t>
  </si>
  <si>
    <t>6.76287565719737</t>
  </si>
  <si>
    <t>3.62187153658782</t>
  </si>
  <si>
    <t>-4.49823287156678</t>
  </si>
  <si>
    <t>-1.74838598489812</t>
  </si>
  <si>
    <t>-1.90010248784309</t>
  </si>
  <si>
    <t>0.626693254235562</t>
  </si>
  <si>
    <t>-1.57267068623553</t>
  </si>
  <si>
    <t>-1.73978924479823</t>
  </si>
  <si>
    <t>0.0183557038063924</t>
  </si>
  <si>
    <t>-0.237190765881209</t>
  </si>
  <si>
    <t>-2.18961228846885</t>
  </si>
  <si>
    <t>1.55878076289126</t>
  </si>
  <si>
    <t>10.0290110109024</t>
  </si>
  <si>
    <t>9.09944569497871</t>
  </si>
  <si>
    <t>33.6208998922457</t>
  </si>
  <si>
    <t>58.3299552849175</t>
  </si>
  <si>
    <t>13.313723899842</t>
  </si>
  <si>
    <t>15.0082371809564</t>
  </si>
  <si>
    <t>21.8878191407871</t>
  </si>
  <si>
    <t>10.8597474859574</t>
  </si>
  <si>
    <t>31.7304708879396</t>
  </si>
  <si>
    <t>35.2313134939615</t>
  </si>
  <si>
    <t>26.2738370953389</t>
  </si>
  <si>
    <t>7.37294405365276</t>
  </si>
  <si>
    <t>15.4329899143157</t>
  </si>
  <si>
    <t>17.7486479901708</t>
  </si>
  <si>
    <t>4.05448814800522</t>
  </si>
  <si>
    <t>12.2355433967148</t>
  </si>
  <si>
    <t>21.5334190145801</t>
  </si>
  <si>
    <t>20.080299327401</t>
  </si>
  <si>
    <t>17.1600078824801</t>
  </si>
  <si>
    <t>22.7971969560292</t>
  </si>
  <si>
    <t>29.3415325636948</t>
  </si>
  <si>
    <t>49.8968148656193</t>
  </si>
  <si>
    <t>33.9314865991286</t>
  </si>
  <si>
    <t>37.9374945080193</t>
  </si>
  <si>
    <t>28.8336457238958</t>
  </si>
  <si>
    <t>15.5280864957216</t>
  </si>
  <si>
    <t>9.38151715778559</t>
  </si>
  <si>
    <t>31.7078471448764</t>
  </si>
  <si>
    <t>24.9292605173053</t>
  </si>
  <si>
    <t>14.8054189526999</t>
  </si>
  <si>
    <t>28.2796940893818</t>
  </si>
  <si>
    <t>13.1363946157608</t>
  </si>
  <si>
    <t>24.7082423900547</t>
  </si>
  <si>
    <t>20.1661916084688</t>
  </si>
  <si>
    <t>14.5825930244323</t>
  </si>
  <si>
    <t>22.9390613586981</t>
  </si>
  <si>
    <t>19.4219808649055</t>
  </si>
  <si>
    <t>4.59851691322106</t>
  </si>
  <si>
    <t>15.882625978134</t>
  </si>
  <si>
    <t>33.4095331541239</t>
  </si>
  <si>
    <t>18.9538841448282</t>
  </si>
  <si>
    <t>36.775631886208</t>
  </si>
  <si>
    <t>9.75876873256327</t>
  </si>
  <si>
    <t>0.197001678736839</t>
  </si>
  <si>
    <t>9.39978461338336</t>
  </si>
  <si>
    <t>13.0353311671579</t>
  </si>
  <si>
    <t>31.6411842965085</t>
  </si>
  <si>
    <t>30.5348662272656</t>
  </si>
  <si>
    <t>44.2649836337424</t>
  </si>
  <si>
    <t>56.3196546439665</t>
  </si>
  <si>
    <t>50.585248062505</t>
  </si>
  <si>
    <t>30.4931401221187</t>
  </si>
  <si>
    <t>1.33909170745096</t>
  </si>
  <si>
    <t>-1.20055600892776</t>
  </si>
  <si>
    <t>3.02627391432738</t>
  </si>
  <si>
    <t>-1.29240684635646</t>
  </si>
  <si>
    <t>3.20586497895756</t>
  </si>
  <si>
    <t>10.6374528185591</t>
  </si>
  <si>
    <t>-5.01018430021941</t>
  </si>
  <si>
    <t>0.574769646959481</t>
  </si>
  <si>
    <t>10.6500350052637</t>
  </si>
  <si>
    <t>-3.38209859381261</t>
  </si>
  <si>
    <t>8.75411481809741</t>
  </si>
  <si>
    <t>88.3325533887105</t>
  </si>
  <si>
    <t>3.88439184209133</t>
  </si>
  <si>
    <t>12.5858638209318</t>
  </si>
  <si>
    <t>9.6504266429434</t>
  </si>
  <si>
    <t>2.32694858460147</t>
  </si>
  <si>
    <t>31.6670092509863</t>
  </si>
  <si>
    <t>13.2017518235783</t>
  </si>
  <si>
    <t>-27.5225895161954</t>
  </si>
  <si>
    <t>8.33422038348918</t>
  </si>
  <si>
    <t>14.1916947086977</t>
  </si>
  <si>
    <t>17.0293500697688</t>
  </si>
  <si>
    <t>1.68904839225117</t>
  </si>
  <si>
    <t>-6.73151836015177</t>
  </si>
  <si>
    <t>9.89415935932439</t>
  </si>
  <si>
    <t>10.4312500000001</t>
  </si>
  <si>
    <t>8.40158927452173</t>
  </si>
  <si>
    <t>73.645391038802</t>
  </si>
  <si>
    <t>111.126418152206</t>
  </si>
  <si>
    <t>104.500766711271</t>
  </si>
  <si>
    <t>114.467671710136</t>
  </si>
  <si>
    <t>396.438017397365</t>
  </si>
  <si>
    <t>295.367667143229</t>
  </si>
  <si>
    <t>-12.544137451324</t>
  </si>
  <si>
    <t>91.4987978380229</t>
  </si>
  <si>
    <t>-15.9504339359416</t>
  </si>
  <si>
    <t>71.151095297895</t>
  </si>
  <si>
    <t>24.7463688646904</t>
  </si>
  <si>
    <t>-19.1508057512295</t>
  </si>
  <si>
    <t>8.16786888651433</t>
  </si>
  <si>
    <t>13.8561168354067</t>
  </si>
  <si>
    <t>17.3093408876534</t>
  </si>
  <si>
    <t>35.8533892833561</t>
  </si>
  <si>
    <t>23.0540605913159</t>
  </si>
  <si>
    <t>14.4390436314681</t>
  </si>
  <si>
    <t>30.17540867057</t>
  </si>
  <si>
    <t>-19.521200513663</t>
  </si>
  <si>
    <t>16.5867407502258</t>
  </si>
  <si>
    <t>24.6894374235643</t>
  </si>
  <si>
    <t>2.66976938276827</t>
  </si>
  <si>
    <t>-0.0113328650677573</t>
  </si>
  <si>
    <t>-4.80663703991596</t>
  </si>
  <si>
    <t>-28.7601353853759</t>
  </si>
  <si>
    <t>-11.1041709203303</t>
  </si>
  <si>
    <t>14.6503597888451</t>
  </si>
  <si>
    <t>18.2039920993937</t>
  </si>
  <si>
    <t>-2.6744400357903</t>
  </si>
  <si>
    <t>-11.2201963874445</t>
  </si>
  <si>
    <t>38.8998331529519</t>
  </si>
  <si>
    <t>26.9938337592464</t>
  </si>
  <si>
    <t>-18.1894127218862</t>
  </si>
  <si>
    <t>13.270846893902</t>
  </si>
  <si>
    <t>11.1467442824616</t>
  </si>
  <si>
    <t>8.22791211895127</t>
  </si>
  <si>
    <t>16.2181321099472</t>
  </si>
  <si>
    <t>12.392038892393</t>
  </si>
  <si>
    <t>10.4248181042121</t>
  </si>
  <si>
    <t>2.75595676618737</t>
  </si>
  <si>
    <t>13.7412170020208</t>
  </si>
  <si>
    <t>20.8561468613894</t>
  </si>
  <si>
    <t>16.4400087960378</t>
  </si>
  <si>
    <t>12.5533158336815</t>
  </si>
  <si>
    <t>18.334474189226</t>
  </si>
  <si>
    <t>31.4564220966954</t>
  </si>
  <si>
    <t>37.6918999521292</t>
  </si>
  <si>
    <t>41.8672506303336</t>
  </si>
  <si>
    <t>32.7368476786664</t>
  </si>
  <si>
    <t>32.7059485933294</t>
  </si>
  <si>
    <t>46.2488024909409</t>
  </si>
  <si>
    <t>40.8973783715344</t>
  </si>
  <si>
    <t>52.4757997107137</t>
  </si>
  <si>
    <t>49.1854060622537</t>
  </si>
  <si>
    <t>53.6463829356984</t>
  </si>
  <si>
    <t>77.3050671475892</t>
  </si>
  <si>
    <t>26.8807599397568</t>
  </si>
  <si>
    <t>32.0845439785882</t>
  </si>
  <si>
    <t>24.5862251250752</t>
  </si>
  <si>
    <t>19.9464890827253</t>
  </si>
  <si>
    <t>23.1352927533174</t>
  </si>
  <si>
    <t>22.8684132849288</t>
  </si>
  <si>
    <t>15.1715522321592</t>
  </si>
  <si>
    <t>8.36534209630861</t>
  </si>
  <si>
    <t>3.44928953098689</t>
  </si>
  <si>
    <t>1.83184754250638</t>
  </si>
  <si>
    <t>2.60337704602247</t>
  </si>
  <si>
    <t>2.99756956463735</t>
  </si>
  <si>
    <t>2.47929131349356</t>
  </si>
  <si>
    <t>2.75410052366642</t>
  </si>
  <si>
    <t>4.71460493246096</t>
  </si>
  <si>
    <t>3.4988933721487</t>
  </si>
  <si>
    <t>4.02479334126352</t>
  </si>
  <si>
    <t>8.70374978605457</t>
  </si>
  <si>
    <t>5.87213784679803</t>
  </si>
  <si>
    <t>0.491863235904162</t>
  </si>
  <si>
    <t>2.6750133342794</t>
  </si>
  <si>
    <t>3.06586110573276</t>
  </si>
  <si>
    <t>8.61668451093136</t>
  </si>
  <si>
    <t>4.33314563453666</t>
  </si>
  <si>
    <t>12.1352814872696</t>
  </si>
  <si>
    <t>10.8047085143171</t>
  </si>
  <si>
    <t>6.36885446534224</t>
  </si>
  <si>
    <t>3.09666958205543</t>
  </si>
  <si>
    <t>3.44088030034162</t>
  </si>
  <si>
    <t>2.12454183861854</t>
  </si>
  <si>
    <t>4.14165194460018</t>
  </si>
  <si>
    <t>6.0545203480569</t>
  </si>
  <si>
    <t>2.260860866933</t>
  </si>
  <si>
    <t>0.936992856331969</t>
  </si>
  <si>
    <t>2.63161215080015</t>
  </si>
  <si>
    <t>4.4567758015221</t>
  </si>
  <si>
    <t>4.01588811980919</t>
  </si>
  <si>
    <t>6.37202614559868</t>
  </si>
  <si>
    <t>8.88519456670855</t>
  </si>
  <si>
    <t>5.69949212718926</t>
  </si>
  <si>
    <t>8.60934375923013</t>
  </si>
  <si>
    <t>8.91004308852743</t>
  </si>
  <si>
    <t>7.69150877930645</t>
  </si>
  <si>
    <t>5.44308224852034</t>
  </si>
  <si>
    <t>-1.30786440112604</t>
  </si>
  <si>
    <t>8.73082288465234</t>
  </si>
  <si>
    <t>-1.68818351341629</t>
  </si>
  <si>
    <t>-1.39929452148753</t>
  </si>
  <si>
    <t>1.59626266238079</t>
  </si>
  <si>
    <t>9.59824380631598</t>
  </si>
  <si>
    <t>14.4563565447729</t>
  </si>
  <si>
    <t>16.5862222787831</t>
  </si>
  <si>
    <t>22.2405655268034</t>
  </si>
  <si>
    <t>35.4946680615359</t>
  </si>
  <si>
    <t>36.5722275477481</t>
  </si>
  <si>
    <t>31.3687164427247</t>
  </si>
  <si>
    <t>41.5582506128943</t>
  </si>
  <si>
    <t>56.1424841770239</t>
  </si>
  <si>
    <t>76.8639693463192</t>
  </si>
  <si>
    <t>125.366828287196</t>
  </si>
  <si>
    <t>124.622033667382</t>
  </si>
  <si>
    <t>127.243902674219</t>
  </si>
  <si>
    <t>149.921100804494</t>
  </si>
  <si>
    <t>384.770447334312</t>
  </si>
  <si>
    <t>264.536699286956</t>
  </si>
  <si>
    <t>50.159930858711</t>
  </si>
  <si>
    <t>20.1788723781878</t>
  </si>
  <si>
    <t>19.1652277793368</t>
  </si>
  <si>
    <t>18.7028664597274</t>
  </si>
  <si>
    <t>15.9320665348553</t>
  </si>
  <si>
    <t>20.1297692526475</t>
  </si>
  <si>
    <t>12.0581280453927</t>
  </si>
  <si>
    <t>11.09024722797</t>
  </si>
  <si>
    <t>12.5379299057478</t>
  </si>
  <si>
    <t>9.06923905216939</t>
  </si>
  <si>
    <t>9.20335402128943</t>
  </si>
  <si>
    <t>8.13472675459697</t>
  </si>
  <si>
    <t>6.14104986390853</t>
  </si>
  <si>
    <t>1.93992992965086</t>
  </si>
  <si>
    <t>1.76189715486676</t>
  </si>
  <si>
    <t>-0.523467068815407</t>
  </si>
  <si>
    <t>0.163590346310571</t>
  </si>
  <si>
    <t>1.02444525792463</t>
  </si>
  <si>
    <t>1.46892302709307</t>
  </si>
  <si>
    <t>0.845336075657514</t>
  </si>
  <si>
    <t>1.32168903097873</t>
  </si>
  <si>
    <t>4.41430871491701</t>
  </si>
  <si>
    <t>1.22335517674681</t>
  </si>
  <si>
    <t>1.46699975880868</t>
  </si>
  <si>
    <t>3.32947036626514</t>
  </si>
  <si>
    <t>1.70388527748064</t>
  </si>
  <si>
    <t>0.658477266941688</t>
  </si>
  <si>
    <t>2.33451238274172</t>
  </si>
  <si>
    <t>0.378235722738012</t>
  </si>
  <si>
    <t>0.0402732589144676</t>
  </si>
  <si>
    <t>0.653516850568892</t>
  </si>
  <si>
    <t>1.90166538221106</t>
  </si>
  <si>
    <t>0.971284967965317</t>
  </si>
  <si>
    <t>2.07020211665778</t>
  </si>
  <si>
    <t>4.72579800556809</t>
  </si>
  <si>
    <t>4.26608944082265</t>
  </si>
  <si>
    <t>5.7937299159065</t>
  </si>
  <si>
    <t>8.45785990027885</t>
  </si>
  <si>
    <t>6.48980793678631</t>
  </si>
  <si>
    <t>2.23239628591649</t>
  </si>
  <si>
    <t>2.77525898114057</t>
  </si>
  <si>
    <t>1.73445112915131</t>
  </si>
  <si>
    <t>4.0513166602358</t>
  </si>
  <si>
    <t>6.86503492441047</t>
  </si>
  <si>
    <t>7.17883961908063</t>
  </si>
  <si>
    <t>5.63297175398039</t>
  </si>
  <si>
    <t>12.7386324483844</t>
  </si>
  <si>
    <t>20.2463799048596</t>
  </si>
  <si>
    <t>16.9830893989026</t>
  </si>
  <si>
    <t>17.45427593012</t>
  </si>
  <si>
    <t>18.4771575988454</t>
  </si>
  <si>
    <t>13.9449743338747</t>
  </si>
  <si>
    <t>15.4510271387037</t>
  </si>
  <si>
    <t>20.8157943877915</t>
  </si>
  <si>
    <t>18.7872261420774</t>
  </si>
  <si>
    <t>17.5409500759917</t>
  </si>
  <si>
    <t>15.0967393712732</t>
  </si>
  <si>
    <t>10.7618450370307</t>
  </si>
  <si>
    <t>9.17464256146215</t>
  </si>
  <si>
    <t>7.48841786337925</t>
  </si>
  <si>
    <t>6.00928292855897</t>
  </si>
  <si>
    <t>6.6504024702075</t>
  </si>
  <si>
    <t>6.19738799959993</t>
  </si>
  <si>
    <t>8.91406329130466</t>
  </si>
  <si>
    <t>7.58132868886494</t>
  </si>
  <si>
    <t>4.36811561346255</t>
  </si>
  <si>
    <t>3.88595180871008</t>
  </si>
  <si>
    <t>3.54247356426008</t>
  </si>
  <si>
    <t>4.92524450449126</t>
  </si>
  <si>
    <t>4.37278843162272</t>
  </si>
  <si>
    <t>2.54415050750461</t>
  </si>
  <si>
    <t>2.36853682972524</t>
  </si>
  <si>
    <t>1.47730124350487</t>
  </si>
  <si>
    <t>1.75602880972008</t>
  </si>
  <si>
    <t>3.063979740947</t>
  </si>
  <si>
    <t>3.30500766954664</t>
  </si>
  <si>
    <t>3.16726431769459</t>
  </si>
  <si>
    <t>2.62976046181673</t>
  </si>
  <si>
    <t>2.08420448729447</t>
  </si>
  <si>
    <t>2.21589144511496</t>
  </si>
  <si>
    <t>2.46674494868053</t>
  </si>
  <si>
    <t>2.40459493235909</t>
  </si>
  <si>
    <t>1.7725353756538</t>
  </si>
  <si>
    <t>0.597839678325897</t>
  </si>
  <si>
    <t>1.72878373434861</t>
  </si>
  <si>
    <t>1.12578398838561</t>
  </si>
  <si>
    <t>0.782776474937791</t>
  </si>
  <si>
    <t>1.24817181951231</t>
  </si>
  <si>
    <t>0.709821721481291</t>
  </si>
  <si>
    <t>1.07058153142322</t>
  </si>
  <si>
    <t>1.04700690370913</t>
  </si>
  <si>
    <t>1.57740277527265</t>
  </si>
  <si>
    <t>1.28332191197099</t>
  </si>
  <si>
    <t>3.56016140243167</t>
  </si>
  <si>
    <t>5.81875394007432</t>
  </si>
  <si>
    <t>4.24178110994305</t>
  </si>
  <si>
    <t>4.10566063066081</t>
  </si>
  <si>
    <t>5.22592582093631</t>
  </si>
  <si>
    <t>6.92243514850112</t>
  </si>
  <si>
    <t>-4.90581290550041</t>
  </si>
  <si>
    <t>26.4485413535411</t>
  </si>
  <si>
    <t>31.0861588853674</t>
  </si>
  <si>
    <t>20.7427019658034</t>
  </si>
  <si>
    <t>11.131130100211</t>
  </si>
  <si>
    <t>12.4864965386383</t>
  </si>
  <si>
    <t>26.5751041037205</t>
  </si>
  <si>
    <t>15.7369435838908</t>
  </si>
  <si>
    <t>18.2880107849128</t>
  </si>
  <si>
    <t>8.3243428784801</t>
  </si>
  <si>
    <t>8.31478842761319</t>
  </si>
  <si>
    <t>16.9605968125082</t>
  </si>
  <si>
    <t>35.9191957218216</t>
  </si>
  <si>
    <t>28.5288463899539</t>
  </si>
  <si>
    <t>26.861122180827</t>
  </si>
  <si>
    <t>10.8225945755829</t>
  </si>
  <si>
    <t>12.0555766552987</t>
  </si>
  <si>
    <t>12.3692212815603</t>
  </si>
  <si>
    <t>25.1171058836009</t>
  </si>
  <si>
    <t>43.8422876390486</t>
  </si>
  <si>
    <t>60.0357338849959</t>
  </si>
  <si>
    <t>52.806399666526</t>
  </si>
  <si>
    <t>31.1072465288465</t>
  </si>
  <si>
    <t>25.1868524028902</t>
  </si>
  <si>
    <t>18.8721078285238</t>
  </si>
  <si>
    <t>9.6086992002076</t>
  </si>
  <si>
    <t>10.5750724482558</t>
  </si>
  <si>
    <t>6.91606081241565</t>
  </si>
  <si>
    <t>10.5870802513251</t>
  </si>
  <si>
    <t>7.80736940095173</t>
  </si>
  <si>
    <t>9.08384842898865</t>
  </si>
  <si>
    <t>11.6240551108509</t>
  </si>
  <si>
    <t>12.8585995341944</t>
  </si>
  <si>
    <t>11.4687438682087</t>
  </si>
  <si>
    <t>8.84819293265961</t>
  </si>
  <si>
    <t>11.3208103797352</t>
  </si>
  <si>
    <t>13.54680952549</t>
  </si>
  <si>
    <t>11.6565049802064</t>
  </si>
  <si>
    <t>9.81023516820396</t>
  </si>
  <si>
    <t>5.79618847204975</t>
  </si>
  <si>
    <t>6.57190361388207</t>
  </si>
  <si>
    <t>8.41581565660749</t>
  </si>
  <si>
    <t>6.92994589148002</t>
  </si>
  <si>
    <t>6.65540782392959</t>
  </si>
  <si>
    <t>4.66411175576692</t>
  </si>
  <si>
    <t>6.54982735214614</t>
  </si>
  <si>
    <t>4.99324114976486</t>
  </si>
  <si>
    <t>3.18250309465809</t>
  </si>
  <si>
    <t>3.46419204267427</t>
  </si>
  <si>
    <t>7.42596071258264</t>
  </si>
  <si>
    <t>12.7978003859778</t>
  </si>
  <si>
    <t>11.6865531940529</t>
  </si>
  <si>
    <t>12.3938335895359</t>
  </si>
  <si>
    <t>0.448662637372735</t>
  </si>
  <si>
    <t>2.26433137301889</t>
  </si>
  <si>
    <t>6.63763027888631</t>
  </si>
  <si>
    <t>6.12338530533319</t>
  </si>
  <si>
    <t>6.43212145274833</t>
  </si>
  <si>
    <t>10.7301456603332</t>
  </si>
  <si>
    <t>2.49156453400215</t>
  </si>
  <si>
    <t>6.05996991063435</t>
  </si>
  <si>
    <t>7.76430529168408</t>
  </si>
  <si>
    <t>-0.255303258488595</t>
  </si>
  <si>
    <t>1.26995012150029</t>
  </si>
  <si>
    <t>15.6373185566697</t>
  </si>
  <si>
    <t>14.1512702228617</t>
  </si>
  <si>
    <t>5.43525695025883</t>
  </si>
  <si>
    <t>6.7386811523716</t>
  </si>
  <si>
    <t>2.96897921969565</t>
  </si>
  <si>
    <t>6.8617322590588</t>
  </si>
  <si>
    <t>1.88459153084248</t>
  </si>
  <si>
    <t>2.04656660644706</t>
  </si>
  <si>
    <t>1.24555949988834</t>
  </si>
  <si>
    <t>6.00440267503002</t>
  </si>
  <si>
    <t>-0.373208627520512</t>
  </si>
  <si>
    <t>-0.413869577569187</t>
  </si>
  <si>
    <t>0.773909402226451</t>
  </si>
  <si>
    <t>0.924509731059914</t>
  </si>
  <si>
    <t>2.14726310376403</t>
  </si>
  <si>
    <t>3.09507950152911</t>
  </si>
  <si>
    <t>2.00647430326822</t>
  </si>
  <si>
    <t>10.6494515467628</t>
  </si>
  <si>
    <t>5.04891837327762</t>
  </si>
  <si>
    <t>23.6246844255135</t>
  </si>
  <si>
    <t>8.07745609713074</t>
  </si>
  <si>
    <t>5.91051095801734</t>
  </si>
  <si>
    <t>4.60681522593885</t>
  </si>
  <si>
    <t>6.1436238894444</t>
  </si>
  <si>
    <t>3.44532356315609</t>
  </si>
  <si>
    <t>2.16975211695323</t>
  </si>
  <si>
    <t>1.36200664175068</t>
  </si>
  <si>
    <t>1.78355010971296</t>
  </si>
  <si>
    <t>2.27304680591043</t>
  </si>
  <si>
    <t>0.844355656854063</t>
  </si>
  <si>
    <t>-0.708587970279524</t>
  </si>
  <si>
    <t>2.20360600532175</t>
  </si>
  <si>
    <t>2.61607218645355</t>
  </si>
  <si>
    <t>1.79036458654697</t>
  </si>
  <si>
    <t>7.78571761614077</t>
  </si>
  <si>
    <t>4.19957756961354</t>
  </si>
  <si>
    <t>5.51046905914619</t>
  </si>
  <si>
    <t>5.32870588356637</t>
  </si>
  <si>
    <t>5.13685728463929</t>
  </si>
  <si>
    <t>4.97086914705424</t>
  </si>
  <si>
    <t>5.49539007608537</t>
  </si>
  <si>
    <t>4.91886318178774</t>
  </si>
  <si>
    <t>17.3964329633351</t>
  </si>
  <si>
    <t>5.09135193700088</t>
  </si>
  <si>
    <t>5.60442161992518</t>
  </si>
  <si>
    <t>12.7053961601652</t>
  </si>
  <si>
    <t>20.810050423844</t>
  </si>
  <si>
    <t>7.17744085284626</t>
  </si>
  <si>
    <t>8.00788648534625</t>
  </si>
  <si>
    <t>6.7491066304332</t>
  </si>
  <si>
    <t>4.60375829046535</t>
  </si>
  <si>
    <t>2.75163102987214</t>
  </si>
  <si>
    <t>5.43798389632954</t>
  </si>
  <si>
    <t>2.85766219221588</t>
  </si>
  <si>
    <t>1.75952305495717</t>
  </si>
  <si>
    <t>0.920750584420688</t>
  </si>
  <si>
    <t>1.42960589072376</t>
  </si>
  <si>
    <t>1.26062059864257</t>
  </si>
  <si>
    <t>1.61202686008863</t>
  </si>
  <si>
    <t>-0.163785679662894</t>
  </si>
  <si>
    <t>0.609789282975953</t>
  </si>
  <si>
    <t>2.06904024648344</t>
  </si>
  <si>
    <t>2.56440413901143</t>
  </si>
  <si>
    <t>2.90457098674266</t>
  </si>
  <si>
    <t>1.67726959120064</t>
  </si>
  <si>
    <t>0.528410642290368</t>
  </si>
  <si>
    <t>0.186808629280137</t>
  </si>
  <si>
    <t>-0.523458983689423</t>
  </si>
  <si>
    <t>-0.445775393242101</t>
  </si>
  <si>
    <t>0.504460814273827</t>
  </si>
  <si>
    <t>-0.0266802470249985</t>
  </si>
  <si>
    <t>-1.24105134726258</t>
  </si>
  <si>
    <t>-1.33626008998714</t>
  </si>
  <si>
    <t>-1.08487984815201</t>
  </si>
  <si>
    <t>-1.39097861535799</t>
  </si>
  <si>
    <t>-1.60770370751224</t>
  </si>
  <si>
    <t>-1.12476639985243</t>
  </si>
  <si>
    <t>-1.19401768056427</t>
  </si>
  <si>
    <t>-0.862018389228027</t>
  </si>
  <si>
    <t>-0.705243547499791</t>
  </si>
  <si>
    <t>-0.911530288285164</t>
  </si>
  <si>
    <t>-0.569564924624345</t>
  </si>
  <si>
    <t>-1.88074194993916</t>
  </si>
  <si>
    <t>-1.62208025009267</t>
  </si>
  <si>
    <t>-0.75609311955516</t>
  </si>
  <si>
    <t>-0.354375054330276</t>
  </si>
  <si>
    <t>1.68629478626674</t>
  </si>
  <si>
    <t>2.111298993275</t>
  </si>
  <si>
    <t>0.419944376057273</t>
  </si>
  <si>
    <t>-0.0743495037290671</t>
  </si>
  <si>
    <t>-0.00023750638760589</t>
  </si>
  <si>
    <t>0.63480316569607</t>
  </si>
  <si>
    <t>0.941449700794308</t>
  </si>
  <si>
    <t>-0.19006062486126</t>
  </si>
  <si>
    <t>0.333979877221765</t>
  </si>
  <si>
    <t>3.79301783489684</t>
  </si>
  <si>
    <t>96.3564961311478</t>
  </si>
  <si>
    <t>1472.2163557256</t>
  </si>
  <si>
    <t>1243.46165650541</t>
  </si>
  <si>
    <t>1546.72681598429</t>
  </si>
  <si>
    <t>160.888673519863</t>
  </si>
  <si>
    <t>38.8996311465469</t>
  </si>
  <si>
    <t>16.1357299796042</t>
  </si>
  <si>
    <t>5.66284472304086</t>
  </si>
  <si>
    <t>13.2801406207938</t>
  </si>
  <si>
    <t>17.4264026783762</t>
  </si>
  <si>
    <t>10.1564326382591</t>
  </si>
  <si>
    <t>11.7385246474223</t>
  </si>
  <si>
    <t>16.1316269947904</t>
  </si>
  <si>
    <t>17.8748272505452</t>
  </si>
  <si>
    <t>21.5517089095579</t>
  </si>
  <si>
    <t>15.5270972952622</t>
  </si>
  <si>
    <t>20.9365382117877</t>
  </si>
  <si>
    <t>4.69108507403161</t>
  </si>
  <si>
    <t>19.5422853937296</t>
  </si>
  <si>
    <t>20.5429582655299</t>
  </si>
  <si>
    <t>4.78556981066754</t>
  </si>
  <si>
    <t>9.49908144359215</t>
  </si>
  <si>
    <t>5.77123952478276</t>
  </si>
  <si>
    <t>1.82354987628641</t>
  </si>
  <si>
    <t>13.6384336176426</t>
  </si>
  <si>
    <t>11.211105653729</t>
  </si>
  <si>
    <t>9.20560599766662</t>
  </si>
  <si>
    <t>7.63328623733945</t>
  </si>
  <si>
    <t>4.21085829258907</t>
  </si>
  <si>
    <t>13.9300750551614</t>
  </si>
  <si>
    <t>19.7690064802492</t>
  </si>
  <si>
    <t>9.85761932391583</t>
  </si>
  <si>
    <t>8.6621766402076</t>
  </si>
  <si>
    <t>0.0183081363800852</t>
  </si>
  <si>
    <t>-1.87731665934527</t>
  </si>
  <si>
    <t>2.69073005412181</t>
  </si>
  <si>
    <t>-2.05197379851083</t>
  </si>
  <si>
    <t>1.71378886704562</t>
  </si>
  <si>
    <t>2.40080913829186</t>
  </si>
  <si>
    <t>1.67884084901533</t>
  </si>
  <si>
    <t>-0.179866673006771</t>
  </si>
  <si>
    <t>15.3156610773873</t>
  </si>
  <si>
    <t>-9.21915791457236</t>
  </si>
  <si>
    <t>1.20524585346172</t>
  </si>
  <si>
    <t>10.2038414811637</t>
  </si>
  <si>
    <t>16.049272207671</t>
  </si>
  <si>
    <t>11.8351086252531</t>
  </si>
  <si>
    <t>18.9061718629036</t>
  </si>
  <si>
    <t>16.8998206192357</t>
  </si>
  <si>
    <t>3.080995548347</t>
  </si>
  <si>
    <t>5.63864406355114</t>
  </si>
  <si>
    <t>9.55072003641222</t>
  </si>
  <si>
    <t>10.8530772679157</t>
  </si>
  <si>
    <t>11.5925537512913</t>
  </si>
  <si>
    <t>11.8380374880106</t>
  </si>
  <si>
    <t>10.1907199754761</t>
  </si>
  <si>
    <t>8.30578269594497</t>
  </si>
  <si>
    <t>8.71172359110277</t>
  </si>
  <si>
    <t>5.40195208383581</t>
  </si>
  <si>
    <t>9.76900937253662</t>
  </si>
  <si>
    <t>10.6371987367347</t>
  </si>
  <si>
    <t>12.5319618961838</t>
  </si>
  <si>
    <t>18.8972340828787</t>
  </si>
  <si>
    <t>25.698483612532</t>
  </si>
  <si>
    <t>11.2210708426678</t>
  </si>
  <si>
    <t>41.9887739085188</t>
  </si>
  <si>
    <t>11.4352163318294</t>
  </si>
  <si>
    <t>6.93140266888905</t>
  </si>
  <si>
    <t>4.19393904906435</t>
  </si>
  <si>
    <t>6.07984848923864</t>
  </si>
  <si>
    <t>1.57312029702597</t>
  </si>
  <si>
    <t>0.93320555589554</t>
  </si>
  <si>
    <t>6.19731323900996</t>
  </si>
  <si>
    <t>7.12684155505391</t>
  </si>
  <si>
    <t>4.89964972058961</t>
  </si>
  <si>
    <t>23.5301332510109</t>
  </si>
  <si>
    <t>8.12948559613378</t>
  </si>
  <si>
    <t>15.1511749642626</t>
  </si>
  <si>
    <t>27.6968163767013</t>
  </si>
  <si>
    <t>1.63919964802533</t>
  </si>
  <si>
    <t>10.0650129672316</t>
  </si>
  <si>
    <t>9.52297221154848</t>
  </si>
  <si>
    <t>7.3375622336044</t>
  </si>
  <si>
    <t>7.63503190149002</t>
  </si>
  <si>
    <t>9.23865468396285</t>
  </si>
  <si>
    <t>5.84962894648808</t>
  </si>
  <si>
    <t>7.58193402820181</t>
  </si>
  <si>
    <t>4.21502841459056</t>
  </si>
  <si>
    <t>4.2752342393575</t>
  </si>
  <si>
    <t>4.94885283291357</t>
  </si>
  <si>
    <t>4.3307475585662</t>
  </si>
  <si>
    <t>6.95705445631218</t>
  </si>
  <si>
    <t>6.10780209189015</t>
  </si>
  <si>
    <t>-1.87730647067559</t>
  </si>
  <si>
    <t>6.98603069124559</t>
  </si>
  <si>
    <t>7.97569881673905</t>
  </si>
  <si>
    <t>134.771573614477</t>
  </si>
  <si>
    <t>830.112923037667</t>
  </si>
  <si>
    <t>754.427956132085</t>
  </si>
  <si>
    <t>180.874929917678</t>
  </si>
  <si>
    <t>42.0310892328294</t>
  </si>
  <si>
    <t>35.3429079067887</t>
  </si>
  <si>
    <t>19.3095484121193</t>
  </si>
  <si>
    <t>9.07750628375146</t>
  </si>
  <si>
    <t>37.574440469953</t>
  </si>
  <si>
    <t>7.33297415426459</t>
  </si>
  <si>
    <t>2.02529559228444</t>
  </si>
  <si>
    <t>3.97456242996095</t>
  </si>
  <si>
    <t>5.10869478075887</t>
  </si>
  <si>
    <t>7.12862226955437</t>
  </si>
  <si>
    <t>9.39161779468316</t>
  </si>
  <si>
    <t>14.8765522207783</t>
  </si>
  <si>
    <t>22.2159884113739</t>
  </si>
  <si>
    <t>10.0339035419669</t>
  </si>
  <si>
    <t>22.4818422448936</t>
  </si>
  <si>
    <t>8.65631680881187</t>
  </si>
  <si>
    <t>3.17518813604272</t>
  </si>
  <si>
    <t>8.41522543621389</t>
  </si>
  <si>
    <t>3.42728750288953</t>
  </si>
  <si>
    <t>6.05056427055605</t>
  </si>
  <si>
    <t>6.32714586262388</t>
  </si>
  <si>
    <t>3.44744511589256</t>
  </si>
  <si>
    <t>9.81131194747459</t>
  </si>
  <si>
    <t>5.34018553508729</t>
  </si>
  <si>
    <t>15.992797923604</t>
  </si>
  <si>
    <t>19.6572842421774</t>
  </si>
  <si>
    <t>13.4157414075184</t>
  </si>
  <si>
    <t>-1.19850187060966</t>
  </si>
  <si>
    <t>15.6014728085327</t>
  </si>
  <si>
    <t>-1.56290033341314</t>
  </si>
  <si>
    <t>13.7012862566708</t>
  </si>
  <si>
    <t>6.00902193380462</t>
  </si>
  <si>
    <t>1.21891122559123</t>
  </si>
  <si>
    <t>-3.5269709510986</t>
  </si>
  <si>
    <t>20.3112736726045</t>
  </si>
  <si>
    <t>65.3370992033915</t>
  </si>
  <si>
    <t>-9.3394528114658</t>
  </si>
  <si>
    <t>157.290386336782</t>
  </si>
  <si>
    <t>79.5916478780445</t>
  </si>
  <si>
    <t>76.621714711108</t>
  </si>
  <si>
    <t>19.0183974050262</t>
  </si>
  <si>
    <t>145.629862256248</t>
  </si>
  <si>
    <t>107.440046569452</t>
  </si>
  <si>
    <t>75.4217452006766</t>
  </si>
  <si>
    <t>107.400000001692</t>
  </si>
  <si>
    <t>59.9652933950224</t>
  </si>
  <si>
    <t>8.00418016102444</t>
  </si>
  <si>
    <t>3.03250199287608</t>
  </si>
  <si>
    <t>6.00507583216428</t>
  </si>
  <si>
    <t>10.3577373382149</t>
  </si>
  <si>
    <t>1.26155228240599</t>
  </si>
  <si>
    <t>-3.23183761782212</t>
  </si>
  <si>
    <t>6.39768180690317</t>
  </si>
  <si>
    <t>1.99307788083713</t>
  </si>
  <si>
    <t>3.27258919409623</t>
  </si>
  <si>
    <t>7.50279728095273</t>
  </si>
  <si>
    <t>8.0167045733216</t>
  </si>
  <si>
    <t>8.60024943029427</t>
  </si>
  <si>
    <t>11.7884320279306</t>
  </si>
  <si>
    <t>0.751138640296162</t>
  </si>
  <si>
    <t>4.95076723151411</t>
  </si>
  <si>
    <t>2.63843608534771</t>
  </si>
  <si>
    <t>3.06935934141643</t>
  </si>
  <si>
    <t>1.58007480575829</t>
  </si>
  <si>
    <t>2.07650709154852</t>
  </si>
  <si>
    <t>3.81658094506807</t>
  </si>
  <si>
    <t>2.79255741070172</t>
  </si>
  <si>
    <t>-0.824281402832511</t>
  </si>
  <si>
    <t>2.64573403501885</t>
  </si>
  <si>
    <t>3.51502483143302</t>
  </si>
  <si>
    <t>1.06309607242758</t>
  </si>
  <si>
    <t>7.11338229255179</t>
  </si>
  <si>
    <t>5.22769783035733</t>
  </si>
  <si>
    <t>16.255284639578</t>
  </si>
  <si>
    <t>12.9896620320748</t>
  </si>
  <si>
    <t>8.89635036300112</t>
  </si>
  <si>
    <t>11.856019453333</t>
  </si>
  <si>
    <t>9.17443409141487</t>
  </si>
  <si>
    <t>-4.52913974427868</t>
  </si>
  <si>
    <t>-0.689539821395897</t>
  </si>
  <si>
    <t>6.33851278203579</t>
  </si>
  <si>
    <t>18.1555789328943</t>
  </si>
  <si>
    <t>-0.0198072627327122</t>
  </si>
  <si>
    <t>10.0193375254948</t>
  </si>
  <si>
    <t>6.56853881719603</t>
  </si>
  <si>
    <t>7.16337570754011</t>
  </si>
  <si>
    <t>-4.89344770072843</t>
  </si>
  <si>
    <t>4.81195035186872</t>
  </si>
  <si>
    <t>5.01761740706553</t>
  </si>
  <si>
    <t>19.9128861716048</t>
  </si>
  <si>
    <t>27.5607909563087</t>
  </si>
  <si>
    <t>3.64922491610788</t>
  </si>
  <si>
    <t>3.67033547679696</t>
  </si>
  <si>
    <t>-1.80441473513395</t>
  </si>
  <si>
    <t>12.5418879742614</t>
  </si>
  <si>
    <t>2.61279760607339</t>
  </si>
  <si>
    <t>5.64259142940367</t>
  </si>
  <si>
    <t>4.60720539435981</t>
  </si>
  <si>
    <t>0.999410501910305</t>
  </si>
  <si>
    <t>0.323139353024771</t>
  </si>
  <si>
    <t>8.01171384518935</t>
  </si>
  <si>
    <t>9.44077098782279</t>
  </si>
  <si>
    <t>-3.90622574937444</t>
  </si>
  <si>
    <t>4.03382900497181</t>
  </si>
  <si>
    <t>-5.43651943832718</t>
  </si>
  <si>
    <t>1.9984618347907</t>
  </si>
  <si>
    <t>-0.858149904545002</t>
  </si>
  <si>
    <t>1.99862599481449</t>
  </si>
  <si>
    <t>-0.542030495756194</t>
  </si>
  <si>
    <t>-2.97924613794956</t>
  </si>
  <si>
    <t>5.00430936891283</t>
  </si>
  <si>
    <t>1.71663114660052</t>
  </si>
  <si>
    <t>0.91703742395508</t>
  </si>
  <si>
    <t>3.86213659037344</t>
  </si>
  <si>
    <t>-3.28622635523891</t>
  </si>
  <si>
    <t>4.45803262864328</t>
  </si>
  <si>
    <t>9.47162129039607</t>
  </si>
  <si>
    <t>-2.43745796327806</t>
  </si>
  <si>
    <t>3.36844589533216</t>
  </si>
  <si>
    <t>6.91511034230714</t>
  </si>
  <si>
    <t>10.625525795504</t>
  </si>
  <si>
    <t>7.29119208424707</t>
  </si>
  <si>
    <t>16.3563233341415</t>
  </si>
  <si>
    <t>5.76682868672047</t>
  </si>
  <si>
    <t>-0.194146962278353</t>
  </si>
  <si>
    <t>4.25851652009244</t>
  </si>
  <si>
    <t>3.71190961041509</t>
  </si>
  <si>
    <t>6.19676818536649</t>
  </si>
  <si>
    <t>6.10621614011968</t>
  </si>
  <si>
    <t>7.01092521196738</t>
  </si>
  <si>
    <t>7.60302634203465</t>
  </si>
  <si>
    <t>3.43921877652862</t>
  </si>
  <si>
    <t>5.29731458386074</t>
  </si>
  <si>
    <t>6.27211761970925</t>
  </si>
  <si>
    <t>0.783506444546504</t>
  </si>
  <si>
    <t>0.645815916917087</t>
  </si>
  <si>
    <t>4.91515472666765</t>
  </si>
  <si>
    <t>2.7800211954283</t>
  </si>
  <si>
    <t>-5.75137393409402</t>
  </si>
  <si>
    <t>3.3332218722913</t>
  </si>
  <si>
    <t>3.47602085514819</t>
  </si>
  <si>
    <t>1.66939097961971</t>
  </si>
  <si>
    <t>3.83914963846918</t>
  </si>
  <si>
    <t>-1.62376578076149</t>
  </si>
  <si>
    <t>14.1683305695624</t>
  </si>
  <si>
    <t>6.32437713169216</t>
  </si>
  <si>
    <t>1.35551501481876</t>
  </si>
  <si>
    <t>3.06968292788258</t>
  </si>
  <si>
    <t>0.628549213284927</t>
  </si>
  <si>
    <t>5.65965351498537</t>
  </si>
  <si>
    <t>-0.643441223095877</t>
  </si>
  <si>
    <t>0.313904254767678</t>
  </si>
  <si>
    <t>-0.156232298668698</t>
  </si>
  <si>
    <t>4.75051936491064</t>
  </si>
  <si>
    <t>-0.14899986700226</t>
  </si>
  <si>
    <t>0.0747452453393862</t>
  </si>
  <si>
    <t>-5.74014001963613</t>
  </si>
  <si>
    <t>-3.32596719351518</t>
  </si>
  <si>
    <t>3.42010359088465</t>
  </si>
  <si>
    <t>12.8977141579778</t>
  </si>
  <si>
    <t>16.7323725948615</t>
  </si>
  <si>
    <t>29.9804121522406</t>
  </si>
  <si>
    <t>30.3156475927126</t>
  </si>
  <si>
    <t>4.73216382282351</t>
  </si>
  <si>
    <t>14.4967963501225</t>
  </si>
  <si>
    <t>12.9592066792061</t>
  </si>
  <si>
    <t>13.881476434028</t>
  </si>
  <si>
    <t>14.0914355919656</t>
  </si>
  <si>
    <t>14.8436476979975</t>
  </si>
  <si>
    <t>11.2075818733564</t>
  </si>
  <si>
    <t>15.7804011989787</t>
  </si>
  <si>
    <t>12.7211641620903</t>
  </si>
  <si>
    <t>30.5953697699091</t>
  </si>
  <si>
    <t>23.6822668576014</t>
  </si>
  <si>
    <t>21.2369312962486</t>
  </si>
  <si>
    <t>14.4538968450507</t>
  </si>
  <si>
    <t>21.8357285205065</t>
  </si>
  <si>
    <t>18.5347204867413</t>
  </si>
  <si>
    <t>24.6509963131763</t>
  </si>
  <si>
    <t>16.585783368217</t>
  </si>
  <si>
    <t>6.45829566849075</t>
  </si>
  <si>
    <t>4.82028558506012</t>
  </si>
  <si>
    <t>4.42130022868379</t>
  </si>
  <si>
    <t>3.98543544625214</t>
  </si>
  <si>
    <t>4.96718010956681</t>
  </si>
  <si>
    <t>4.83110780905717</t>
  </si>
  <si>
    <t>7.12330844241802</t>
  </si>
  <si>
    <t>6.06512584651017</t>
  </si>
  <si>
    <t>10.0874657380898</t>
  </si>
  <si>
    <t>9.14103327577023</t>
  </si>
  <si>
    <t>7.77796412307066</t>
  </si>
  <si>
    <t>6.25452282376592</t>
  </si>
  <si>
    <t>8.15895865164057</t>
  </si>
  <si>
    <t>7.02456165565981</t>
  </si>
  <si>
    <t>4.11067476454059</t>
  </si>
  <si>
    <t>4.00328576264543</t>
  </si>
  <si>
    <t>4.47592317611709</t>
  </si>
  <si>
    <t>-1.22983539023988</t>
  </si>
  <si>
    <t>1.02176500548737</t>
  </si>
  <si>
    <t>3.47849914716076</t>
  </si>
  <si>
    <t>3.03313964628073</t>
  </si>
  <si>
    <t>3.44999346268816</t>
  </si>
  <si>
    <t>3.12788028772735</t>
  </si>
  <si>
    <t>1.041401491649</t>
  </si>
  <si>
    <t>-0.223195612442552</t>
  </si>
  <si>
    <t>2.41919594427836</t>
  </si>
  <si>
    <t>2.8263023010858</t>
  </si>
  <si>
    <t>3.60864412572843</t>
  </si>
  <si>
    <t>2.73749683726491</t>
  </si>
  <si>
    <t>1.2818638059201</t>
  </si>
  <si>
    <t>1.2518081696316</t>
  </si>
  <si>
    <t>1.01854380505277</t>
  </si>
  <si>
    <t>0.906896750615815</t>
  </si>
  <si>
    <t>3.18559596664953</t>
  </si>
  <si>
    <t>1.98603850545349</t>
  </si>
  <si>
    <t>2.22278138152841</t>
  </si>
  <si>
    <t>0.482948983102617</t>
  </si>
  <si>
    <t>-0.839325308149668</t>
  </si>
  <si>
    <t>1.56374685675343</t>
  </si>
  <si>
    <t>2.76293194144772</t>
  </si>
  <si>
    <t>1.27552257409207</t>
  </si>
  <si>
    <t>2.06407396162432</t>
  </si>
  <si>
    <t>25.7794794622782</t>
  </si>
  <si>
    <t>1.97110536893167</t>
  </si>
  <si>
    <t>17.2747080856275</t>
  </si>
  <si>
    <t>173.195016617387</t>
  </si>
  <si>
    <t>4.24587085949966</t>
  </si>
  <si>
    <t>3.29110748510455</t>
  </si>
  <si>
    <t>9.732862124867</t>
  </si>
  <si>
    <t>-1.95352776793767</t>
  </si>
  <si>
    <t>40.8234326907511</t>
  </si>
  <si>
    <t>40.4353848635587</t>
  </si>
  <si>
    <t>11.3091033468676</t>
  </si>
  <si>
    <t>0.766718699068207</t>
  </si>
  <si>
    <t>-9.27633997463528</t>
  </si>
  <si>
    <t>0.347685207436726</t>
  </si>
  <si>
    <t>-25.7012348871573</t>
  </si>
  <si>
    <t>10.7824858787997</t>
  </si>
  <si>
    <t>2.96934017410395</t>
  </si>
  <si>
    <t>-1.72186716472906</t>
  </si>
  <si>
    <t>0.717414522228538</t>
  </si>
  <si>
    <t>-0.0330465775887347</t>
  </si>
  <si>
    <t>1.83400662216739</t>
  </si>
  <si>
    <t>-7.38642077946965</t>
  </si>
  <si>
    <t>-5.87047602737918</t>
  </si>
  <si>
    <t>4.85050595520289</t>
  </si>
  <si>
    <t>15.5102373952987</t>
  </si>
  <si>
    <t>-4.71535484673295</t>
  </si>
  <si>
    <t>-17.1561124601976</t>
  </si>
  <si>
    <t>18.0893573873241</t>
  </si>
  <si>
    <t>20.521710179026</t>
  </si>
  <si>
    <t>-7.71871077505772</t>
  </si>
  <si>
    <t>5.14828982462735</t>
  </si>
  <si>
    <t>4.92065019374949</t>
  </si>
  <si>
    <t>11.3712679311342</t>
  </si>
  <si>
    <t>21.7710117887694</t>
  </si>
  <si>
    <t>16.1763628454097</t>
  </si>
  <si>
    <t>4.30736220673592</t>
  </si>
  <si>
    <t>18.6629427337913</t>
  </si>
  <si>
    <t>-17.1665374455073</t>
  </si>
  <si>
    <t>11.1033505813839</t>
  </si>
  <si>
    <t>17.2275372444238</t>
  </si>
  <si>
    <t>7.4872520591001</t>
  </si>
  <si>
    <t>0.223023775634857</t>
  </si>
  <si>
    <t>-6.75796305451594</t>
  </si>
  <si>
    <t>-25.9583314682208</t>
  </si>
  <si>
    <t>-6.83784137377464</t>
  </si>
  <si>
    <t>16.2308738354507</t>
  </si>
  <si>
    <t>11.2991701085752</t>
  </si>
  <si>
    <t>-0.110446099385726</t>
  </si>
  <si>
    <t>-16.4586799927762</t>
  </si>
  <si>
    <t>28.7770836845713</t>
  </si>
  <si>
    <t>18.8292916806594</t>
  </si>
  <si>
    <t>-7.35671016267938</t>
  </si>
  <si>
    <t>3.10333433194559</t>
  </si>
  <si>
    <t>3.01285531533597</t>
  </si>
  <si>
    <t>2.40619685290086</t>
  </si>
  <si>
    <t>3.62735381584439</t>
  </si>
  <si>
    <t>6.4761524225658</t>
  </si>
  <si>
    <t>14.7583460113752</t>
  </si>
  <si>
    <t>22.4620672114539</t>
  </si>
  <si>
    <t>15.5258703533194</t>
  </si>
  <si>
    <t>10.7825662835281</t>
  </si>
  <si>
    <t>15.8054047740062</t>
  </si>
  <si>
    <t>10.8125848990026</t>
  </si>
  <si>
    <t>15.088434073145</t>
  </si>
  <si>
    <t>19.0463889113015</t>
  </si>
  <si>
    <t>7.43698791306828</t>
  </si>
  <si>
    <t>12.1294932421936</t>
  </si>
  <si>
    <t>23.7132575125834</t>
  </si>
  <si>
    <t>12.5733704419943</t>
  </si>
  <si>
    <t>9.60681288753851</t>
  </si>
  <si>
    <t>6.119229850114</t>
  </si>
  <si>
    <t>5.5023241130699</t>
  </si>
  <si>
    <t>3.64796491881232</t>
  </si>
  <si>
    <t>5.95334315490372</t>
  </si>
  <si>
    <t>4.54221493776905</t>
  </si>
  <si>
    <t>2.85700648471038</t>
  </si>
  <si>
    <t>3.22542892692515</t>
  </si>
  <si>
    <t>2.27741531762133</t>
  </si>
  <si>
    <t>5.41879124953701</t>
  </si>
  <si>
    <t>64.8146877854015</t>
  </si>
  <si>
    <t>51.1154587374666</t>
  </si>
  <si>
    <t>14.4277167046219</t>
  </si>
  <si>
    <t>25.8491486658893</t>
  </si>
  <si>
    <t>55.2665211235225</t>
  </si>
  <si>
    <t>37.907380761807</t>
  </si>
  <si>
    <t>12.9717603920705</t>
  </si>
  <si>
    <t>5.99384147677743</t>
  </si>
  <si>
    <t>11.1825793452992</t>
  </si>
  <si>
    <t>19.6853644196947</t>
  </si>
  <si>
    <t>13.7252122556336</t>
  </si>
  <si>
    <t>19.3528167277303</t>
  </si>
  <si>
    <t>84.5044589007367</t>
  </si>
  <si>
    <t>127.97396639694</t>
  </si>
  <si>
    <t>24.7977766095657</t>
  </si>
  <si>
    <t>8.86807380365211</t>
  </si>
  <si>
    <t>6.31846474098954</t>
  </si>
  <si>
    <t>13.450089840918</t>
  </si>
  <si>
    <t>10.6904285437007</t>
  </si>
  <si>
    <t>8.64032248095118</t>
  </si>
  <si>
    <t>10.8051012263872</t>
  </si>
  <si>
    <t>7.43828600469452</t>
  </si>
  <si>
    <t>8.86345063797221</t>
  </si>
  <si>
    <t>-2.93207353184403</t>
  </si>
  <si>
    <t>9.19657111138675</t>
  </si>
  <si>
    <t>10.4687175993928</t>
  </si>
  <si>
    <t>7.52885930495688</t>
  </si>
  <si>
    <t>6.47397208343337</t>
  </si>
  <si>
    <t>5.72655918174564</t>
  </si>
  <si>
    <t>2.34849600685918</t>
  </si>
  <si>
    <t>3.02230644256338</t>
  </si>
  <si>
    <t>1.85209676121123</t>
  </si>
  <si>
    <t>1.91988919391754</t>
  </si>
  <si>
    <t>1.19742392109292</t>
  </si>
  <si>
    <t>5.03450412544517</t>
  </si>
  <si>
    <t>15.7739459226011</t>
  </si>
  <si>
    <t>24.4217202066692</t>
  </si>
  <si>
    <t>72.9964555217472</t>
  </si>
  <si>
    <t>15.5018483856034</t>
  </si>
  <si>
    <t>47.6556598595665</t>
  </si>
  <si>
    <t>97.4338199086854</t>
  </si>
  <si>
    <t>24.7430178138061</t>
  </si>
  <si>
    <t>7.87371706042556</t>
  </si>
  <si>
    <t>10.6790055674445</t>
  </si>
  <si>
    <t>1.73810973618646</t>
  </si>
  <si>
    <t>11.5467672117432</t>
  </si>
  <si>
    <t>4.01791826450849</t>
  </si>
  <si>
    <t>0.812850465455782</t>
  </si>
  <si>
    <t>-2.08798314732812</t>
  </si>
  <si>
    <t>-1.52515154552069</t>
  </si>
  <si>
    <t>1.58125248896708</t>
  </si>
  <si>
    <t>-1.2346616322255</t>
  </si>
  <si>
    <t>-1.06220705635945</t>
  </si>
  <si>
    <t>0.880737586375261</t>
  </si>
  <si>
    <t>3.13292372272159</t>
  </si>
  <si>
    <t>7.53328390625055</t>
  </si>
  <si>
    <t>10.2845410020847</t>
  </si>
  <si>
    <t>0.578606723263135</t>
  </si>
  <si>
    <t>2.96508062083976</t>
  </si>
  <si>
    <t>7.48605187549234</t>
  </si>
  <si>
    <t>2.57845109226618</t>
  </si>
  <si>
    <t>0.105278623259466</t>
  </si>
  <si>
    <t>3.33578444902192</t>
  </si>
  <si>
    <t>0.87129520217637</t>
  </si>
  <si>
    <t>2.7485363221939</t>
  </si>
  <si>
    <t>5.52248710107466</t>
  </si>
  <si>
    <t>4.09482315573024</t>
  </si>
  <si>
    <t>85.5420423400206</t>
  </si>
  <si>
    <t>150.000716803737</t>
  </si>
  <si>
    <t>112.149478998819</t>
  </si>
  <si>
    <t>-5.75102700812056</t>
  </si>
  <si>
    <t>2.93351234585369</t>
  </si>
  <si>
    <t>2.0404974950855</t>
  </si>
  <si>
    <t>3.98192049017435</t>
  </si>
  <si>
    <t>-0.0711752427931316</t>
  </si>
  <si>
    <t>-0.996464871529469</t>
  </si>
  <si>
    <t>0.0283860331695536</t>
  </si>
  <si>
    <t>1.22443373162953</t>
  </si>
  <si>
    <t>3.35528912320706</t>
  </si>
  <si>
    <t>-1.31806816825541</t>
  </si>
  <si>
    <t>0.7658739015816</t>
  </si>
  <si>
    <t>3.4899796539606</t>
  </si>
  <si>
    <t>7.55279815759292</t>
  </si>
  <si>
    <t>20.1285236835633</t>
  </si>
  <si>
    <t>22.8659605383095</t>
  </si>
  <si>
    <t>-1.89827377755729</t>
  </si>
  <si>
    <t>11.0302221983718</t>
  </si>
  <si>
    <t>1.67503798617574</t>
  </si>
  <si>
    <t>9.91159113864998</t>
  </si>
  <si>
    <t>9.47952427977854</t>
  </si>
  <si>
    <t>1.20342730356739</t>
  </si>
  <si>
    <t>4.60261250257095</t>
  </si>
  <si>
    <t>-2.8518532860636</t>
  </si>
  <si>
    <t>5.26715327312898</t>
  </si>
  <si>
    <t>1.18541540464065</t>
  </si>
  <si>
    <t>0.472892541338069</t>
  </si>
  <si>
    <t>16.8470569176321</t>
  </si>
  <si>
    <t>8.95795186633018</t>
  </si>
  <si>
    <t>3.27008939773434</t>
  </si>
  <si>
    <t>-0.167333709077994</t>
  </si>
  <si>
    <t>5.54464950008735</t>
  </si>
  <si>
    <t>-1.06322322403601</t>
  </si>
  <si>
    <t>7.07610747991372</t>
  </si>
  <si>
    <t>5.34435624144021</t>
  </si>
  <si>
    <t>6.51068108696143</t>
  </si>
  <si>
    <t>5.46556253380952</t>
  </si>
  <si>
    <t>-10.008826322699</t>
  </si>
  <si>
    <t>-6.66669927646055</t>
  </si>
  <si>
    <t>0.917752457711245</t>
  </si>
  <si>
    <t>53.8122567933531</t>
  </si>
  <si>
    <t>0.720025735561336</t>
  </si>
  <si>
    <t>-1.39272821423994</t>
  </si>
  <si>
    <t>15.5114915940543</t>
  </si>
  <si>
    <t>16.8582781254993</t>
  </si>
  <si>
    <t>0.490010500603105</t>
  </si>
  <si>
    <t>9.13488162981633</t>
  </si>
  <si>
    <t>12.0176471387966</t>
  </si>
  <si>
    <t>17.3263455514491</t>
  </si>
  <si>
    <t>-2.72284314110513</t>
  </si>
  <si>
    <t>6.51200368905668</t>
  </si>
  <si>
    <t>10.9234453589782</t>
  </si>
  <si>
    <t>7.79715716365929</t>
  </si>
  <si>
    <t>4.71530813283255</t>
  </si>
  <si>
    <t>0.817921326764434</t>
  </si>
  <si>
    <t>0.062713425558087</t>
  </si>
  <si>
    <t>6.97295697153928</t>
  </si>
  <si>
    <t>-2.61793415299387</t>
  </si>
  <si>
    <t>-0.209872797387817</t>
  </si>
  <si>
    <t>-0.560426634044902</t>
  </si>
  <si>
    <t>-1.38060188980627</t>
  </si>
  <si>
    <t>5.35427604467455</t>
  </si>
  <si>
    <t>1.23085463416679</t>
  </si>
  <si>
    <t>0.569889386613113</t>
  </si>
  <si>
    <t>5.3446038203175</t>
  </si>
  <si>
    <t>6.6413405190743</t>
  </si>
  <si>
    <t>3.6214489060585</t>
  </si>
  <si>
    <t>5.00275311569196</t>
  </si>
  <si>
    <t>8.02938109244052</t>
  </si>
  <si>
    <t>6.13518178314088</t>
  </si>
  <si>
    <t>5.48347649914098</t>
  </si>
  <si>
    <t>0.606235009802575</t>
  </si>
  <si>
    <t>0.0820004098746523</t>
  </si>
  <si>
    <t>20.4036993165453</t>
  </si>
  <si>
    <t>1.30914858930022</t>
  </si>
  <si>
    <t>22.5202126576379</t>
  </si>
  <si>
    <t>41.4794762030237</t>
  </si>
  <si>
    <t>-6.42697471645167</t>
  </si>
  <si>
    <t>5.64274382213941</t>
  </si>
  <si>
    <t>7.89297342503647</t>
  </si>
  <si>
    <t>-4.45892208893788</t>
  </si>
  <si>
    <t>26.6051161837491</t>
  </si>
  <si>
    <t>33.2021670219916</t>
  </si>
  <si>
    <t>9.90997003298553</t>
  </si>
  <si>
    <t>-9.71994677382469</t>
  </si>
  <si>
    <t>0.835220576199063</t>
  </si>
  <si>
    <t>-6.50406915528214</t>
  </si>
  <si>
    <t>-1.25257319060262</t>
  </si>
  <si>
    <t>-7.83798100876484</t>
  </si>
  <si>
    <t>20.9059497421778</t>
  </si>
  <si>
    <t>-17.7752665638337</t>
  </si>
  <si>
    <t>1.05785830194884</t>
  </si>
  <si>
    <t>4.70251390471344</t>
  </si>
  <si>
    <t>-5.12733390102106</t>
  </si>
  <si>
    <t>9.19711074483953</t>
  </si>
  <si>
    <t>1.63414250962724</t>
  </si>
  <si>
    <t>4.7773256999434</t>
  </si>
  <si>
    <t>11.6619404433266</t>
  </si>
  <si>
    <t>10.4105090393626</t>
  </si>
  <si>
    <t>-6.62734026445655</t>
  </si>
  <si>
    <t>29.9783598620093</t>
  </si>
  <si>
    <t>13.3068623002662</t>
  </si>
  <si>
    <t>7.1848746565278</t>
  </si>
  <si>
    <t>27.247302775382</t>
  </si>
  <si>
    <t>14.3625652729747</t>
  </si>
  <si>
    <t>22.6053424951582</t>
  </si>
  <si>
    <t>28.5685039972063</t>
  </si>
  <si>
    <t>19.6795130437458</t>
  </si>
  <si>
    <t>2.43938616827511</t>
  </si>
  <si>
    <t>23.7093714962272</t>
  </si>
  <si>
    <t>-24.8472677473776</t>
  </si>
  <si>
    <t>19.278545342939</t>
  </si>
  <si>
    <t>24.3427533511905</t>
  </si>
  <si>
    <t>5.98193050372183</t>
  </si>
  <si>
    <t>0.0853923422682783</t>
  </si>
  <si>
    <t>-1.00660401665242</t>
  </si>
  <si>
    <t>-7.04070727195378</t>
  </si>
  <si>
    <t>4.69231431810404</t>
  </si>
  <si>
    <t>1.80666382178316</t>
  </si>
  <si>
    <t>3.59757389264269</t>
  </si>
  <si>
    <t>4.17567264236536</t>
  </si>
  <si>
    <t>-4.75412381683802</t>
  </si>
  <si>
    <t>90.405606412238</t>
  </si>
  <si>
    <t>42.6971019985904</t>
  </si>
  <si>
    <t>-5.34146995735976</t>
  </si>
  <si>
    <t>-7.64120612037067</t>
  </si>
  <si>
    <t>2.39065813359022</t>
  </si>
  <si>
    <t>18.9865253150556</t>
  </si>
  <si>
    <t>4.48351415018449</t>
  </si>
  <si>
    <t>6.28709619300014</t>
  </si>
  <si>
    <t>0.437892653099041</t>
  </si>
  <si>
    <t>8.38221709722349</t>
  </si>
  <si>
    <t>5.48232034078922</t>
  </si>
  <si>
    <t>1.74518377711135</t>
  </si>
  <si>
    <t>1.00434947149506</t>
  </si>
  <si>
    <t>2.57871402738749</t>
  </si>
  <si>
    <t>5.06514405944434</t>
  </si>
  <si>
    <t>0.461968849055452</t>
  </si>
  <si>
    <t>2.87370178549085</t>
  </si>
  <si>
    <t>2.43023787455614</t>
  </si>
  <si>
    <t>2.33253225134298</t>
  </si>
  <si>
    <t>1.11583405037081</t>
  </si>
  <si>
    <t>-0.912140725343306</t>
  </si>
  <si>
    <t>0.41171045540753</t>
  </si>
  <si>
    <t>5.22451730389426</t>
  </si>
  <si>
    <t>0.708134828409769</t>
  </si>
  <si>
    <t>6.89693651611844</t>
  </si>
  <si>
    <t>5.17561350784197</t>
  </si>
  <si>
    <t>3.59090008384686</t>
  </si>
  <si>
    <t>5.42281943230741</t>
  </si>
  <si>
    <t>1.41240495830502</t>
  </si>
  <si>
    <t>2.01336870760498</t>
  </si>
  <si>
    <t>6.00571366566349</t>
  </si>
  <si>
    <t>3.78013189217974</t>
  </si>
  <si>
    <t>3.23704301796657</t>
  </si>
  <si>
    <t>-0.0557002574800691</t>
  </si>
  <si>
    <t>3.45699485015136</t>
  </si>
  <si>
    <t>0.23165307635287</t>
  </si>
  <si>
    <t>-5.4020373519996</t>
  </si>
  <si>
    <t>11.593212114006</t>
  </si>
  <si>
    <t>1.48963461512095</t>
  </si>
  <si>
    <t>2.74368011526142</t>
  </si>
  <si>
    <t>3.03018263268706</t>
  </si>
  <si>
    <t>2.99333780096787</t>
  </si>
  <si>
    <t>3.36777228765735</t>
  </si>
  <si>
    <t>2.36231212081415</t>
  </si>
  <si>
    <t>3.29968039124107</t>
  </si>
  <si>
    <t>3.6715761525883</t>
  </si>
  <si>
    <t>3.59283694624261</t>
  </si>
  <si>
    <t>4.27286690750125</t>
  </si>
  <si>
    <t>15.4691434997764</t>
  </si>
  <si>
    <t>10.8083556394613</t>
  </si>
  <si>
    <t>7.08276256204344</t>
  </si>
  <si>
    <t>7.02793656865914</t>
  </si>
  <si>
    <t>10.0688794185579</t>
  </si>
  <si>
    <t>9.36092206016864</t>
  </si>
  <si>
    <t>7.26304117277021</t>
  </si>
  <si>
    <t>8.68422935247909</t>
  </si>
  <si>
    <t>8.81178502260418</t>
  </si>
  <si>
    <t>5.37109035742958</t>
  </si>
  <si>
    <t>3.32342676371552</t>
  </si>
  <si>
    <t>3.7182475900851</t>
  </si>
  <si>
    <t>6.1071543478173</t>
  </si>
  <si>
    <t>6.22608464333572</t>
  </si>
  <si>
    <t>7.57692782562298</t>
  </si>
  <si>
    <t>3.53797080152426</t>
  </si>
  <si>
    <t>5.48770339491702</t>
  </si>
  <si>
    <t>3.59822124441102</t>
  </si>
  <si>
    <t>2.52167569370495</t>
  </si>
  <si>
    <t>2.50461004026867</t>
  </si>
  <si>
    <t>2.18440361611209</t>
  </si>
  <si>
    <t>4.48797277024499</t>
  </si>
  <si>
    <t>4.45991367594138</t>
  </si>
  <si>
    <t>2.57828873036816</t>
  </si>
  <si>
    <t>1.5638173186197</t>
  </si>
  <si>
    <t>3.62339192274091</t>
  </si>
  <si>
    <t>3.16913432768087</t>
  </si>
  <si>
    <t>3.88869201325998</t>
  </si>
  <si>
    <t>4.30924499265368</t>
  </si>
  <si>
    <t>0.673724706280694</t>
  </si>
  <si>
    <t>1.86215426476691</t>
  </si>
  <si>
    <t>5.10022041534319</t>
  </si>
  <si>
    <t>3.69002391357971</t>
  </si>
  <si>
    <t>3.08699222943633</t>
  </si>
  <si>
    <t>5.10104664529684</t>
  </si>
  <si>
    <t>8.8242322380154</t>
  </si>
  <si>
    <t>14.3325629663086</t>
  </si>
  <si>
    <t>12.6570020257335</t>
  </si>
  <si>
    <t>8.28418384243783</t>
  </si>
  <si>
    <t>9.15991019287219</t>
  </si>
  <si>
    <t>10.0375718116892</t>
  </si>
  <si>
    <t>8.69831224790944</t>
  </si>
  <si>
    <t>9.66325843162483</t>
  </si>
  <si>
    <t>10.9601408150368</t>
  </si>
  <si>
    <t>10.3165387696737</t>
  </si>
  <si>
    <t>10.2449257882707</t>
  </si>
  <si>
    <t>11.4942569451185</t>
  </si>
  <si>
    <t>9.89266494319662</t>
  </si>
  <si>
    <t>13.6077075898356</t>
  </si>
  <si>
    <t>22.2143675430414</t>
  </si>
  <si>
    <t>10.9214157524918</t>
  </si>
  <si>
    <t>7.18914294704696</t>
  </si>
  <si>
    <t>6.35158672796916</t>
  </si>
  <si>
    <t>6.69630850135437</t>
  </si>
  <si>
    <t>5.2099466383829</t>
  </si>
  <si>
    <t>8.11271175819826</t>
  </si>
  <si>
    <t>7.19421020570365</t>
  </si>
  <si>
    <t>8.30079450738424</t>
  </si>
  <si>
    <t>7.27989528597466</t>
  </si>
  <si>
    <t>7.31798124511916</t>
  </si>
  <si>
    <t>9.18675905596604</t>
  </si>
  <si>
    <t>6.3911950513067</t>
  </si>
  <si>
    <t>9.39165549203732</t>
  </si>
  <si>
    <t>4.37807084310651</t>
  </si>
  <si>
    <t>3.43012694628284</t>
  </si>
  <si>
    <t>3.74723484932397</t>
  </si>
  <si>
    <t>3.84877323619499</t>
  </si>
  <si>
    <t>3.45044480320301</t>
  </si>
  <si>
    <t>4.39962186985303</t>
  </si>
  <si>
    <t>3.93362175985635</t>
  </si>
  <si>
    <t>3.87130647826277</t>
  </si>
  <si>
    <t>6.27372553968799</t>
  </si>
  <si>
    <t>7.42356642322508</t>
  </si>
  <si>
    <t>4.93690356074202</t>
  </si>
  <si>
    <t>4.01443455551561</t>
  </si>
  <si>
    <t>0.715476636259353</t>
  </si>
  <si>
    <t>3.90597768880619</t>
  </si>
  <si>
    <t>4.34504835283016</t>
  </si>
  <si>
    <t>4.95788513775463</t>
  </si>
  <si>
    <t>0.805728082620163</t>
  </si>
  <si>
    <t>4.83856099574945</t>
  </si>
  <si>
    <t>3.48282187913128</t>
  </si>
  <si>
    <t>4.4675235302125</t>
  </si>
  <si>
    <t>7.13319622817382</t>
  </si>
  <si>
    <t>14.7999489878424</t>
  </si>
  <si>
    <t>10.2955021574641</t>
  </si>
  <si>
    <t>8.36685466048122</t>
  </si>
  <si>
    <t>12.4419645606128</t>
  </si>
  <si>
    <t>9.14335100246169</t>
  </si>
  <si>
    <t>10.819882452659</t>
  </si>
  <si>
    <t>13.0192443420455</t>
  </si>
  <si>
    <t>11.4999913527617</t>
  </si>
  <si>
    <t>12.2447741133382</t>
  </si>
  <si>
    <t>9.7484401663824</t>
  </si>
  <si>
    <t>9.55204206562716</t>
  </si>
  <si>
    <t>16.0923496029511</t>
  </si>
  <si>
    <t>11.3766803966195</t>
  </si>
  <si>
    <t>11.9116195809889</t>
  </si>
  <si>
    <t>10.6923141622086</t>
  </si>
  <si>
    <t>10.2275142531787</t>
  </si>
  <si>
    <t>9.98991652376216</t>
  </si>
  <si>
    <t>15.8089838973553</t>
  </si>
  <si>
    <t>4.49197342415518</t>
  </si>
  <si>
    <t>6.74940882900434</t>
  </si>
  <si>
    <t>7.44219677268558</t>
  </si>
  <si>
    <t>9.8531369204179</t>
  </si>
  <si>
    <t>4.84544150767007</t>
  </si>
  <si>
    <t>3.44363247387027</t>
  </si>
  <si>
    <t>8.80333248847226</t>
  </si>
  <si>
    <t>10.7106399206208</t>
  </si>
  <si>
    <t>9.45315922975922</t>
  </si>
  <si>
    <t>7.33054791629083</t>
  </si>
  <si>
    <t>7.30472778918162</t>
  </si>
  <si>
    <t>10.3861871358875</t>
  </si>
  <si>
    <t>1.79536377351708</t>
  </si>
  <si>
    <t>6.5037166915161</t>
  </si>
  <si>
    <t>4.44338527166425</t>
  </si>
  <si>
    <t>4.67764534705535</t>
  </si>
  <si>
    <t>6.64074341609775</t>
  </si>
  <si>
    <t>9.15161419934587</t>
  </si>
  <si>
    <t>6.0692040169944</t>
  </si>
  <si>
    <t>8.2437051827085</t>
  </si>
  <si>
    <t>8.24372589275724</t>
  </si>
  <si>
    <t>8.24371114019915</t>
  </si>
  <si>
    <t>8.24370709171764</t>
  </si>
  <si>
    <t>8.2436997153211</t>
  </si>
  <si>
    <t>2.23042512371055</t>
  </si>
  <si>
    <t>2.23043780662513</t>
  </si>
  <si>
    <t>2.23041630949865</t>
  </si>
  <si>
    <t>2.2304415869109</t>
  </si>
  <si>
    <t>2.230427607572</t>
  </si>
  <si>
    <t>7.01270900324123</t>
  </si>
  <si>
    <t>7.17686350251816</t>
  </si>
  <si>
    <t>3.21765465492794</t>
  </si>
  <si>
    <t>2.95143691854962</t>
  </si>
  <si>
    <t>2.85520121349667</t>
  </si>
  <si>
    <t>3.69822480831714</t>
  </si>
  <si>
    <t>2.51954068651507</t>
  </si>
  <si>
    <t>2.50531223225421</t>
  </si>
  <si>
    <t>3.14382399738243</t>
  </si>
  <si>
    <t>5.40244440000993</t>
  </si>
  <si>
    <t>5.87012986174227</t>
  </si>
  <si>
    <t>4.02355414884856</t>
  </si>
  <si>
    <t>3.30188453106945</t>
  </si>
  <si>
    <t>0.852360816018248</t>
  </si>
  <si>
    <t>1.79595371006631</t>
  </si>
  <si>
    <t>0.815420354165212</t>
  </si>
  <si>
    <t>0.514706284993991</t>
  </si>
  <si>
    <t>0.0146296875332581</t>
  </si>
  <si>
    <t>0.819192785901677</t>
  </si>
  <si>
    <t>1.55252192703072</t>
  </si>
  <si>
    <t>0.985855937188077</t>
  </si>
  <si>
    <t>0.650821388246285</t>
  </si>
  <si>
    <t>0.632556289875552</t>
  </si>
  <si>
    <t>0.810168671611081</t>
  </si>
  <si>
    <t>1.19056787026008</t>
  </si>
  <si>
    <t>1.31488166385525</t>
  </si>
  <si>
    <t>6.58173780950284</t>
  </si>
  <si>
    <t>-2.11669284164925</t>
  </si>
  <si>
    <t>-9.90066262743474</t>
  </si>
  <si>
    <t>-2.34660744506223</t>
  </si>
  <si>
    <t>1.5987104542955</t>
  </si>
  <si>
    <t>1.16754671114469</t>
  </si>
  <si>
    <t>-1.80354437387193</t>
  </si>
  <si>
    <t>1.8388755588425</t>
  </si>
  <si>
    <t>12.0983735353411</t>
  </si>
  <si>
    <t>1.2984852011726</t>
  </si>
  <si>
    <t>12.5084703962389</t>
  </si>
  <si>
    <t>1.49845269631929</t>
  </si>
  <si>
    <t>8.9668600238453</t>
  </si>
  <si>
    <t>12.748594492614</t>
  </si>
  <si>
    <t>24.378742627687</t>
  </si>
  <si>
    <t>5.35029466940327</t>
  </si>
  <si>
    <t>9.97557315176998</t>
  </si>
  <si>
    <t>14.691083615889</t>
  </si>
  <si>
    <t>10.9178858054526</t>
  </si>
  <si>
    <t>15.3972960658955</t>
  </si>
  <si>
    <t>19.9775120060433</t>
  </si>
  <si>
    <t>20.8853013323643</t>
  </si>
  <si>
    <t>12.1010603605335</t>
  </si>
  <si>
    <t>16.9068302725532</t>
  </si>
  <si>
    <t>20.3005158881179</t>
  </si>
  <si>
    <t>0.583905559480783</t>
  </si>
  <si>
    <t>5.91728493274381</t>
  </si>
  <si>
    <t>7.75149159406698</t>
  </si>
  <si>
    <t>10.1170340331887</t>
  </si>
  <si>
    <t>10.9231572567662</t>
  </si>
  <si>
    <t>20.0632752884754</t>
  </si>
  <si>
    <t>10.6240231643767</t>
  </si>
  <si>
    <t>9.40370611580596</t>
  </si>
  <si>
    <t>9.88439431062804</t>
  </si>
  <si>
    <t>9.77058482007504</t>
  </si>
  <si>
    <t>9.3034396278523</t>
  </si>
  <si>
    <t>10.8174557970975</t>
  </si>
  <si>
    <t>8.92446881960332</t>
  </si>
  <si>
    <t>9.21416012598122</t>
  </si>
  <si>
    <t>4.16270115884763</t>
  </si>
  <si>
    <t>7.27743020932476</t>
  </si>
  <si>
    <t>13.6648001624429</t>
  </si>
  <si>
    <t>8.11157025730627</t>
  </si>
  <si>
    <t>8.74866439756123</t>
  </si>
  <si>
    <t>8.80149246131563</t>
  </si>
  <si>
    <t>10.4187267516516</t>
  </si>
  <si>
    <t>11.2770294472601</t>
  </si>
  <si>
    <t>14.0284428247112</t>
  </si>
  <si>
    <t>16.3270160248281</t>
  </si>
  <si>
    <t>5.87988263586622</t>
  </si>
  <si>
    <t>26.9348761761573</t>
  </si>
  <si>
    <t>3.97992934293185</t>
  </si>
  <si>
    <t>10.4634471767858</t>
  </si>
  <si>
    <t>6.25288525916727</t>
  </si>
  <si>
    <t>1.92062881101653</t>
  </si>
  <si>
    <t>3.01438079835941</t>
  </si>
  <si>
    <t>5.44322171526078</t>
  </si>
  <si>
    <t>5.47284529470402</t>
  </si>
  <si>
    <t>4.29530620201848</t>
  </si>
  <si>
    <t>3.8705276117724</t>
  </si>
  <si>
    <t>3.1043067536519</t>
  </si>
  <si>
    <t>8.02109017405199</t>
  </si>
  <si>
    <t>47.4637415221157</t>
  </si>
  <si>
    <t>17.5191628455588</t>
  </si>
  <si>
    <t>2.09156229282105</t>
  </si>
  <si>
    <t>3.66106680456524</t>
  </si>
  <si>
    <t>2.16625623022186</t>
  </si>
  <si>
    <t>2.10840736922133</t>
  </si>
  <si>
    <t>3.00252386645151</t>
  </si>
  <si>
    <t>3.61442438423254</t>
  </si>
  <si>
    <t>8.63733610491278</t>
  </si>
  <si>
    <t>6.77263191828155</t>
  </si>
  <si>
    <t>12.6290563516766</t>
  </si>
  <si>
    <t>9.73633274806463</t>
  </si>
  <si>
    <t>8.99545887412767</t>
  </si>
  <si>
    <t>10.6469818860553</t>
  </si>
  <si>
    <t>9.90862172279605</t>
  </si>
  <si>
    <t>7.26025166236013</t>
  </si>
  <si>
    <t>9.61756064978023</t>
  </si>
  <si>
    <t>8.70716566224924</t>
  </si>
  <si>
    <t>10.6527512934111</t>
  </si>
  <si>
    <t>13.4924162537224</t>
  </si>
  <si>
    <t>10.7749092715904</t>
  </si>
  <si>
    <t>11.0926013773151</t>
  </si>
  <si>
    <t>10.108912422964</t>
  </si>
  <si>
    <t>8.26685042367154</t>
  </si>
  <si>
    <t>8.44979201209553</t>
  </si>
  <si>
    <t>7.46565744418</t>
  </si>
  <si>
    <t>6.01627267072652</t>
  </si>
  <si>
    <t>5.6879986769014</t>
  </si>
  <si>
    <t>5.91970569622546</t>
  </si>
  <si>
    <t>4.20087386528236</t>
  </si>
  <si>
    <t>5.43520732201227</t>
  </si>
  <si>
    <t>6.17137119283856</t>
  </si>
  <si>
    <t>6.16605995706006</t>
  </si>
  <si>
    <t>7.36000850480916</t>
  </si>
  <si>
    <t>7.20722308299256</t>
  </si>
  <si>
    <t>10.4033789256351</t>
  </si>
  <si>
    <t>3.81940952287738</t>
  </si>
  <si>
    <t>7.73563978208606</t>
  </si>
  <si>
    <t>8.78337356520268</t>
  </si>
  <si>
    <t>7.04625137507636</t>
  </si>
  <si>
    <t>4.36412567990576</t>
  </si>
  <si>
    <t>3.67222811544951</t>
  </si>
  <si>
    <t>3.57545446932066</t>
  </si>
  <si>
    <t>2.83903172734495</t>
  </si>
  <si>
    <t>3.00892533198562</t>
  </si>
  <si>
    <t>2.96622593260019</t>
  </si>
  <si>
    <t>2.95886602606011</t>
  </si>
  <si>
    <t>1.9796306041972</t>
  </si>
  <si>
    <t>5.95036646868721</t>
  </si>
  <si>
    <t>12.5755321386108</t>
  </si>
  <si>
    <t>17.7278983638143</t>
  </si>
  <si>
    <t>9.61862176631874</t>
  </si>
  <si>
    <t>9.3329115366452</t>
  </si>
  <si>
    <t>8.9823456958795</t>
  </si>
  <si>
    <t>12.2349181427924</t>
  </si>
  <si>
    <t>13.8985348254353</t>
  </si>
  <si>
    <t>8.8961336531046</t>
  </si>
  <si>
    <t>9.06918375534235</t>
  </si>
  <si>
    <t>8.71587422051068</t>
  </si>
  <si>
    <t>10.6645946835037</t>
  </si>
  <si>
    <t>11.9156332507612</t>
  </si>
  <si>
    <t>17.1913029061585</t>
  </si>
  <si>
    <t>10.9864119611362</t>
  </si>
  <si>
    <t>6.84040574894669</t>
  </si>
  <si>
    <t>6.90244745682154</t>
  </si>
  <si>
    <t>7.87758076554194</t>
  </si>
  <si>
    <t>7.25134298416322</t>
  </si>
  <si>
    <t>7.08541612916396</t>
  </si>
  <si>
    <t>7.09973099343016</t>
  </si>
  <si>
    <t>9.49838537981331</t>
  </si>
  <si>
    <t>3.02304497058495</t>
  </si>
  <si>
    <t>8.19079859862242</t>
  </si>
  <si>
    <t>3.31556301878459</t>
  </si>
  <si>
    <t>2.99333284892845</t>
  </si>
  <si>
    <t>4.11814751425023</t>
  </si>
  <si>
    <t>3.68365056557123</t>
  </si>
  <si>
    <t>3.08494392719523</t>
  </si>
  <si>
    <t>6.05975657609514</t>
  </si>
  <si>
    <t>8.69703734830544</t>
  </si>
  <si>
    <t>4.73199714247384</t>
  </si>
  <si>
    <t>1.3489167049038</t>
  </si>
  <si>
    <t>1.66743897610179</t>
  </si>
  <si>
    <t>1.59066208702379</t>
  </si>
  <si>
    <t>2.00048603963722</t>
  </si>
  <si>
    <t>3.43233567368981</t>
  </si>
  <si>
    <t>-5.76451552837381</t>
  </si>
  <si>
    <t>4.06738176268901</t>
  </si>
  <si>
    <t>5.7232020251156</t>
  </si>
  <si>
    <t>1.9818205402252</t>
  </si>
  <si>
    <t>5.98549623537153</t>
  </si>
  <si>
    <t>13.9421219323893</t>
  </si>
  <si>
    <t>6.96501754008038</t>
  </si>
  <si>
    <t>9.82034432345058</t>
  </si>
  <si>
    <t>24.7621720978576</t>
  </si>
  <si>
    <t>4.54294727962319</t>
  </si>
  <si>
    <t>7.47889361646475</t>
  </si>
  <si>
    <t>16.5464442803348</t>
  </si>
  <si>
    <t>2.42838552611413</t>
  </si>
  <si>
    <t>41.4595008992247</t>
  </si>
  <si>
    <t>12.5771157360152</t>
  </si>
  <si>
    <t>-4.85264394342288</t>
  </si>
  <si>
    <t>8.1029499817689</t>
  </si>
  <si>
    <t>18.7077794745272</t>
  </si>
  <si>
    <t>16.2532723595929</t>
  </si>
  <si>
    <t>11.735783503833</t>
  </si>
  <si>
    <t>20.0811009269777</t>
  </si>
  <si>
    <t>17.8272220387083</t>
  </si>
  <si>
    <t>13.9389902100661</t>
  </si>
  <si>
    <t>7.76663619434275</t>
  </si>
  <si>
    <t>12.8165188933691</t>
  </si>
  <si>
    <t>6.0020440622212</t>
  </si>
  <si>
    <t>9.01894091385059</t>
  </si>
  <si>
    <t>9.92223369840188</t>
  </si>
  <si>
    <t>8.13125258324258</t>
  </si>
  <si>
    <t>6.30021825194582</t>
  </si>
  <si>
    <t>11.4730549205663</t>
  </si>
  <si>
    <t>14.2069324429006</t>
  </si>
  <si>
    <t>2.43881282672922</t>
  </si>
  <si>
    <t>5.92284320097511</t>
  </si>
  <si>
    <t>9.31098848080705</t>
  </si>
  <si>
    <t>-6.68245430736991</t>
  </si>
  <si>
    <t>16.7198204134298</t>
  </si>
  <si>
    <t>2.34503086791631</t>
  </si>
  <si>
    <t>5.33711013720971</t>
  </si>
  <si>
    <t>9.42640700324388</t>
  </si>
  <si>
    <t>2.18204801752952</t>
  </si>
  <si>
    <t>10.2798956437383</t>
  </si>
  <si>
    <t>14.0351521545479</t>
  </si>
  <si>
    <t>10.2030391854904</t>
  </si>
  <si>
    <t>-0.292451232749613</t>
  </si>
  <si>
    <t>2.01891023820184</t>
  </si>
  <si>
    <t>11.7230687269439</t>
  </si>
  <si>
    <t>6.54820559883913</t>
  </si>
  <si>
    <t>3.12378106466741</t>
  </si>
  <si>
    <t>5.53005469308407</t>
  </si>
  <si>
    <t>-0.368097835928623</t>
  </si>
  <si>
    <t>5.4455441847912</t>
  </si>
  <si>
    <t>12.0818073481252</t>
  </si>
  <si>
    <t>7.99564765490605</t>
  </si>
  <si>
    <t>9.65330909167452</t>
  </si>
  <si>
    <t>6.69382834444571</t>
  </si>
  <si>
    <t>6.15081990188678</t>
  </si>
  <si>
    <t>6.10593028959641</t>
  </si>
  <si>
    <t>5.02668612941316</t>
  </si>
  <si>
    <t>6.96317901916622</t>
  </si>
  <si>
    <t>3.92875254794336</t>
  </si>
  <si>
    <t>5.81925341734425</t>
  </si>
  <si>
    <t>9.70274861328167</t>
  </si>
  <si>
    <t>13.2678024515459</t>
  </si>
  <si>
    <t>6.58214408316431</t>
  </si>
  <si>
    <t>4.92504737273674</t>
  </si>
  <si>
    <t>6.36014257640234</t>
  </si>
  <si>
    <t>5.73470282940465</t>
  </si>
  <si>
    <t>5.96172044816086</t>
  </si>
  <si>
    <t>4.15255823169378</t>
  </si>
  <si>
    <t>4.00335524246969</t>
  </si>
  <si>
    <t>5.21157630348554</t>
  </si>
  <si>
    <t>6.81034379963114</t>
  </si>
  <si>
    <t>6.77106124878316</t>
  </si>
  <si>
    <t>7.09433662444179</t>
  </si>
  <si>
    <t>6.88272507590736</t>
  </si>
  <si>
    <t>8.28694938032876</t>
  </si>
  <si>
    <t>1.76499206607248</t>
  </si>
  <si>
    <t>5.50170840316412</t>
  </si>
  <si>
    <t>4.58216960070549</t>
  </si>
  <si>
    <t>3.50869691063986</t>
  </si>
  <si>
    <t>2.07869893633868</t>
  </si>
  <si>
    <t>1.99922579072911</t>
  </si>
  <si>
    <t>2.08627086285129</t>
  </si>
  <si>
    <t>1.73889794711164</t>
  </si>
  <si>
    <t>3.56418968145086</t>
  </si>
  <si>
    <t>3.22610640466073</t>
  </si>
  <si>
    <t>2.42322694229267</t>
  </si>
  <si>
    <t>1.46747814810814</t>
  </si>
  <si>
    <t>5.61025509902417</t>
  </si>
  <si>
    <t>8.87368732523663</t>
  </si>
  <si>
    <t>228.336781766384</t>
  </si>
  <si>
    <t>942.306569115405</t>
  </si>
  <si>
    <t>306.194445078922</t>
  </si>
  <si>
    <t>61.635254009529</t>
  </si>
  <si>
    <t>38.0457423260523</t>
  </si>
  <si>
    <t>18.9994424090562</t>
  </si>
  <si>
    <t>11.372487970942</t>
  </si>
  <si>
    <t>-1.28275457003294</t>
  </si>
  <si>
    <t>1.33167621912604</t>
  </si>
  <si>
    <t>-0.316236551517079</t>
  </si>
  <si>
    <t>0.315155103323477</t>
  </si>
  <si>
    <t>-0.812342276678237</t>
  </si>
  <si>
    <t>3.12114478204633</t>
  </si>
  <si>
    <t>6.37315253722043</t>
  </si>
  <si>
    <t>6.48506988948763</t>
  </si>
  <si>
    <t>8.91210452796503</t>
  </si>
  <si>
    <t>9.71608112190816</t>
  </si>
  <si>
    <t>-3.08953351557271</t>
  </si>
  <si>
    <t>2.12172204937997</t>
  </si>
  <si>
    <t>5.62227829514424</t>
  </si>
  <si>
    <t>2.50518117512286</t>
  </si>
  <si>
    <t>0.833826421712175</t>
  </si>
  <si>
    <t>0.609193063395622</t>
  </si>
  <si>
    <t>-0.00225486704538014</t>
  </si>
  <si>
    <t>4.09579148864047</t>
  </si>
  <si>
    <t>2.3758604116648</t>
  </si>
  <si>
    <t>5.99976586948216</t>
  </si>
  <si>
    <t>16.0665436484411</t>
  </si>
  <si>
    <t>9.02175581692678</t>
  </si>
  <si>
    <t>-3.65861057046043</t>
  </si>
  <si>
    <t>3.89466767618612</t>
  </si>
  <si>
    <t>3.14595299038115</t>
  </si>
  <si>
    <t>5.83432416678427</t>
  </si>
  <si>
    <t>2.79743538848471</t>
  </si>
  <si>
    <t>0.430967186305949</t>
  </si>
  <si>
    <t>5.01665276864152</t>
  </si>
  <si>
    <t>5.29301380246514</t>
  </si>
  <si>
    <t>15.0277729399615</t>
  </si>
  <si>
    <t>-0.8142075241513</t>
  </si>
  <si>
    <t>5.78879970953214</t>
  </si>
  <si>
    <t>12.2022733700069</t>
  </si>
  <si>
    <t>16.9807046604843</t>
  </si>
  <si>
    <t>-0.85529895483954</t>
  </si>
  <si>
    <t>12.2156941239688</t>
  </si>
  <si>
    <t>1.17219803964235</t>
  </si>
  <si>
    <t>5.12999167217987</t>
  </si>
  <si>
    <t>6.35441267305565</t>
  </si>
  <si>
    <t>7.92135284789185</t>
  </si>
  <si>
    <t>7.18202430149813</t>
  </si>
  <si>
    <t>10.8113729301027</t>
  </si>
  <si>
    <t>6.81868790892469</t>
  </si>
  <si>
    <t>4.40749200116784</t>
  </si>
  <si>
    <t>3.09248753290503</t>
  </si>
  <si>
    <t>-0.0837771552214548</t>
  </si>
  <si>
    <t>0.0630386263660938</t>
  </si>
  <si>
    <t>2.77642630547237</t>
  </si>
  <si>
    <t>4.02098262746891</t>
  </si>
  <si>
    <t>2.51339456630137</t>
  </si>
  <si>
    <t>1.82284159066207</t>
  </si>
  <si>
    <t>3.72907157121564</t>
  </si>
  <si>
    <t>3.54237732722473</t>
  </si>
  <si>
    <t>2.3320697783624</t>
  </si>
  <si>
    <t>2.61954368325136</t>
  </si>
  <si>
    <t>-2.03254645964208</t>
  </si>
  <si>
    <t>4.76461985998604</t>
  </si>
  <si>
    <t>4.60847302260945</t>
  </si>
  <si>
    <t>0.790074314583535</t>
  </si>
  <si>
    <t>1.46441111905192</t>
  </si>
  <si>
    <t>2.1859765845399</t>
  </si>
  <si>
    <t>3.11732659571314</t>
  </si>
  <si>
    <t>4.8173272087173</t>
  </si>
  <si>
    <t>6.45467522017813</t>
  </si>
  <si>
    <t>1.89248054012752</t>
  </si>
  <si>
    <t>6.60996540521124</t>
  </si>
  <si>
    <t>0.870687903518032</t>
  </si>
  <si>
    <t>4.64841846238745</t>
  </si>
  <si>
    <t>3.44946167967612</t>
  </si>
  <si>
    <t>3.26597731840673</t>
  </si>
  <si>
    <t>2.27602449452651</t>
  </si>
  <si>
    <t>2.79670220085781</t>
  </si>
  <si>
    <t>2.21918065733098</t>
  </si>
  <si>
    <t>-1.1076169264046</t>
  </si>
  <si>
    <t>2.14290399690169</t>
  </si>
  <si>
    <t>2.11133910459871</t>
  </si>
  <si>
    <t>0.900736076793322</t>
  </si>
  <si>
    <t>4.3010148081047</t>
  </si>
  <si>
    <t>4.64389231812459</t>
  </si>
  <si>
    <t>5.68354663317177</t>
  </si>
  <si>
    <t>3.43002456230172</t>
  </si>
  <si>
    <t>162.584739635361</t>
  </si>
  <si>
    <t>932.494627906884</t>
  </si>
  <si>
    <t>53.6936062320558</t>
  </si>
  <si>
    <t>36.2517852107678</t>
  </si>
  <si>
    <t>29.3227114561007</t>
  </si>
  <si>
    <t>12.9642070965245</t>
  </si>
  <si>
    <t>5.78937028820177</t>
  </si>
  <si>
    <t>4.66925175057951</t>
  </si>
  <si>
    <t>1.32558668162675</t>
  </si>
  <si>
    <t>3.77491290115435</t>
  </si>
  <si>
    <t>2.62320135848017</t>
  </si>
  <si>
    <t>3.25900288165981</t>
  </si>
  <si>
    <t>3.64549482865991</t>
  </si>
  <si>
    <t>6.92499299785744</t>
  </si>
  <si>
    <t>10.445339749165</t>
  </si>
  <si>
    <t>10.226384829924</t>
  </si>
  <si>
    <t>19.55048559966</t>
  </si>
  <si>
    <t>12.3743974846733</t>
  </si>
  <si>
    <t>-5.7316246222066</t>
  </si>
  <si>
    <t>-0.483860816729177</t>
  </si>
  <si>
    <t>4.7081060032657</t>
  </si>
  <si>
    <t>2.87856740673018</t>
  </si>
  <si>
    <t>1.90052883350897</t>
  </si>
  <si>
    <t>1.66994936442666</t>
  </si>
  <si>
    <t>0.386889189160144</t>
  </si>
  <si>
    <t>0.607930746358676</t>
  </si>
  <si>
    <t>3.74028070418355</t>
  </si>
  <si>
    <t>4.31637930930459</t>
  </si>
  <si>
    <t>2.39332868457409</t>
  </si>
  <si>
    <t>3.29767842276085</t>
  </si>
  <si>
    <t>9.83594135273617</t>
  </si>
  <si>
    <t>8.06502681876616</t>
  </si>
  <si>
    <t>14.2656855868583</t>
  </si>
  <si>
    <t>3.19425680553171</t>
  </si>
  <si>
    <t>5.61433104262514</t>
  </si>
  <si>
    <t>11.7537855943564</t>
  </si>
  <si>
    <t>8.85490953076588</t>
  </si>
  <si>
    <t>12.4663038703686</t>
  </si>
  <si>
    <t>10.941874529126</t>
  </si>
  <si>
    <t>11.6521364395168</t>
  </si>
  <si>
    <t>14.739444766652</t>
  </si>
  <si>
    <t>9.53598153345618</t>
  </si>
  <si>
    <t>6.75348861804524</t>
  </si>
  <si>
    <t>8.18428751894358</t>
  </si>
  <si>
    <t>2.26671829119907</t>
  </si>
  <si>
    <t>1.66028703662863</t>
  </si>
  <si>
    <t>-1.94056771810325</t>
  </si>
  <si>
    <t>-1.19161378063738</t>
  </si>
  <si>
    <t>-1.74553981476264</t>
  </si>
  <si>
    <t>-1.4794711288782</t>
  </si>
  <si>
    <t>-1.33710684864512</t>
  </si>
  <si>
    <t>0.0502595004943771</t>
  </si>
  <si>
    <t>1.93393682908227</t>
  </si>
  <si>
    <t>5.56788512526749</t>
  </si>
  <si>
    <t>7.74441590826855</t>
  </si>
  <si>
    <t>8.76239078773118</t>
  </si>
  <si>
    <t>10.072808806366</t>
  </si>
  <si>
    <t>0.922510712536578</t>
  </si>
  <si>
    <t>4.7905562312904</t>
  </si>
  <si>
    <t>7.49060388153396</t>
  </si>
  <si>
    <t>6.92096918438956</t>
  </si>
  <si>
    <t>7.73261911978639</t>
  </si>
  <si>
    <t>8.73070232803828</t>
  </si>
  <si>
    <t>4.51399333539446</t>
  </si>
  <si>
    <t>0.86178191435755</t>
  </si>
  <si>
    <t>2.14882373928637</t>
  </si>
  <si>
    <t>3.54276529954534</t>
  </si>
  <si>
    <t>2.40354630876251</t>
  </si>
  <si>
    <t>-0.257671744441836</t>
  </si>
  <si>
    <t>-0.878982907915272</t>
  </si>
  <si>
    <t>1.16083024773521</t>
  </si>
  <si>
    <t>4.63616686120965</t>
  </si>
  <si>
    <t>-3.74504063248415</t>
  </si>
  <si>
    <t>-2.27797986896232</t>
  </si>
  <si>
    <t>3.008154311181</t>
  </si>
  <si>
    <t>3.46769842579022</t>
  </si>
  <si>
    <t>4.06519746462519</t>
  </si>
  <si>
    <t>3.58421994209242</t>
  </si>
  <si>
    <t>6.03939299478238</t>
  </si>
  <si>
    <t>23.8982358439654</t>
  </si>
  <si>
    <t>0.931315958903184</t>
  </si>
  <si>
    <t>4.97659389252536</t>
  </si>
  <si>
    <t>10.7709665319711</t>
  </si>
  <si>
    <t>8.41721327866367</t>
  </si>
  <si>
    <t>7.34460906362158</t>
  </si>
  <si>
    <t>33.0231314376209</t>
  </si>
  <si>
    <t>9.47047691422051</t>
  </si>
  <si>
    <t>6.29835250305084</t>
  </si>
  <si>
    <t>6.97019803473043</t>
  </si>
  <si>
    <t>6.20115343816923</t>
  </si>
  <si>
    <t>8.95364431973331</t>
  </si>
  <si>
    <t>3.01480842258006</t>
  </si>
  <si>
    <t>3.67059655165944</t>
  </si>
  <si>
    <t>2.91997905557209</t>
  </si>
  <si>
    <t>7.69435962226169</t>
  </si>
  <si>
    <t>5.39631618672981</t>
  </si>
  <si>
    <t>4.58787832075566</t>
  </si>
  <si>
    <t>3.03498246332101</t>
  </si>
  <si>
    <t>0.65534023011287</t>
  </si>
  <si>
    <t>7.53840293949897</t>
  </si>
  <si>
    <t>0.435488567247717</t>
  </si>
  <si>
    <t>0.713391642504391</t>
  </si>
  <si>
    <t>11.6571702137998</t>
  </si>
  <si>
    <t>-0.120156156475602</t>
  </si>
  <si>
    <t>-1.76759868448363</t>
  </si>
  <si>
    <t>0.614522911755344</t>
  </si>
  <si>
    <t>0.959559339434833</t>
  </si>
  <si>
    <t>0.860408255313928</t>
  </si>
  <si>
    <t>0.913545179131802</t>
  </si>
  <si>
    <t>0.886221376375332</t>
  </si>
  <si>
    <t>1.44536678457565</t>
  </si>
  <si>
    <t>3.17154412342092</t>
  </si>
  <si>
    <t>4.8303863930626</t>
  </si>
  <si>
    <t>-0.452558780552764</t>
  </si>
  <si>
    <t>0.647501047462967</t>
  </si>
  <si>
    <t>-0.598844907171141</t>
  </si>
  <si>
    <t>0.533172461926384</t>
  </si>
  <si>
    <t>0.215437762428678</t>
  </si>
  <si>
    <t>3.17293530967125</t>
  </si>
  <si>
    <t>0.969883868049919</t>
  </si>
  <si>
    <t>-0.0608910142931904</t>
  </si>
  <si>
    <t>0.939181637531973</t>
  </si>
  <si>
    <t>0.816805456485284</t>
  </si>
  <si>
    <t>0.142417962079094</t>
  </si>
  <si>
    <t>2.41520355664963</t>
  </si>
  <si>
    <t>2.66186120617975</t>
  </si>
  <si>
    <t>6.36094888191869</t>
  </si>
  <si>
    <t>5.98215468961487</t>
  </si>
  <si>
    <t>6.84700423686932</t>
  </si>
  <si>
    <t>7.76754781352058</t>
  </si>
  <si>
    <t>11.3646425499135</t>
  </si>
  <si>
    <t>13.6568598021056</t>
  </si>
  <si>
    <t>10.7974592802799</t>
  </si>
  <si>
    <t>8.80119852038368</t>
  </si>
  <si>
    <t>9.16894798535996</t>
  </si>
  <si>
    <t>10.0978753685722</t>
  </si>
  <si>
    <t>11.2634805473198</t>
  </si>
  <si>
    <t>11.4411158120726</t>
  </si>
  <si>
    <t>11.9880817872694</t>
  </si>
  <si>
    <t>9.51721086261755</t>
  </si>
  <si>
    <t>7.27777707141712</t>
  </si>
  <si>
    <t>5.52682014282678</t>
  </si>
  <si>
    <t>5.2790251732862</t>
  </si>
  <si>
    <t>2.77798788412527</t>
  </si>
  <si>
    <t>3.07508380638224</t>
  </si>
  <si>
    <t>3.30509046816645</t>
  </si>
  <si>
    <t>2.64193235512174</t>
  </si>
  <si>
    <t>2.54193904724325</t>
  </si>
  <si>
    <t>2.13345024311162</t>
  </si>
  <si>
    <t>1.55285693569343</t>
  </si>
  <si>
    <t>1.34480798288207</t>
  </si>
  <si>
    <t>1.30792493544602</t>
  </si>
  <si>
    <t>1.60444460738813</t>
  </si>
  <si>
    <t>1.01334196553269</t>
  </si>
  <si>
    <t>0.900911823943943</t>
  </si>
  <si>
    <t>0.0472736583660094</t>
  </si>
  <si>
    <t>1.39857560337128</t>
  </si>
  <si>
    <t>1.64884532198116</t>
  </si>
  <si>
    <t>2.37922080722839</t>
  </si>
  <si>
    <t>1.8812838497411</t>
  </si>
  <si>
    <t>-0.241252074216831</t>
  </si>
  <si>
    <t>2.03440159856663</t>
  </si>
  <si>
    <t>2.14692627628688</t>
  </si>
  <si>
    <t>2.55669727394962</t>
  </si>
  <si>
    <t>2.3632481088528</t>
  </si>
  <si>
    <t>0.118994429817221</t>
  </si>
  <si>
    <t>1.06946196046083</t>
  </si>
  <si>
    <t>0.948018995559892</t>
  </si>
  <si>
    <t>1.16156649694202</t>
  </si>
  <si>
    <t>0.778354745078474</t>
  </si>
  <si>
    <t>0.58684116777053</t>
  </si>
  <si>
    <t>1.13341345923507</t>
  </si>
  <si>
    <t>0.516331732930951</t>
  </si>
  <si>
    <t>0.587452398663714</t>
  </si>
  <si>
    <t>1.1147767446366</t>
  </si>
  <si>
    <t>1.20921163106718</t>
  </si>
  <si>
    <t>2.97930407095748</t>
  </si>
  <si>
    <t>1.22173013647281</t>
  </si>
  <si>
    <t>3.22095286767355</t>
  </si>
  <si>
    <t>5.30290144286643</t>
  </si>
  <si>
    <t>139.82680693032</t>
  </si>
  <si>
    <t>945.030521954821</t>
  </si>
  <si>
    <t>860.457221291034</t>
  </si>
  <si>
    <t>276.441127471841</t>
  </si>
  <si>
    <t>38.7375203768224</t>
  </si>
  <si>
    <t>27.8519773445647</t>
  </si>
  <si>
    <t>12.5029398170542</t>
  </si>
  <si>
    <t>39.7816660136116</t>
  </si>
  <si>
    <t>27.328751985976</t>
  </si>
  <si>
    <t>12.0892509733681</t>
  </si>
  <si>
    <t>9.82740206371066</t>
  </si>
  <si>
    <t>14.8659724616995</t>
  </si>
  <si>
    <t>7.9870868570528</t>
  </si>
  <si>
    <t>9.34414407593009</t>
  </si>
  <si>
    <t>13.4181412403617</t>
  </si>
  <si>
    <t>15.9087149618352</t>
  </si>
  <si>
    <t>9.2442488257698</t>
  </si>
  <si>
    <t>2.16939170451238</t>
  </si>
  <si>
    <t>33.3049320977984</t>
  </si>
  <si>
    <t>7.42422201997522</t>
  </si>
  <si>
    <t>3.92385122182326</t>
  </si>
  <si>
    <t>5.14320721702923</t>
  </si>
  <si>
    <t>11.5743149591168</t>
  </si>
  <si>
    <t>3.5508738308871</t>
  </si>
  <si>
    <t>6.25246649143298</t>
  </si>
  <si>
    <t>3.21103213223728</t>
  </si>
  <si>
    <t>5.35171200346649</t>
  </si>
  <si>
    <t>5.57500940096507</t>
  </si>
  <si>
    <t>6.38172855134019</t>
  </si>
  <si>
    <t>19.2532036308322</t>
  </si>
  <si>
    <t>8.70839048786753</t>
  </si>
  <si>
    <t>1.78945574498451</t>
  </si>
  <si>
    <t>3.39092839540686</t>
  </si>
  <si>
    <t>3.67685878158819</t>
  </si>
  <si>
    <t>1.65271309261479</t>
  </si>
  <si>
    <t>5.81727051278811</t>
  </si>
  <si>
    <t>0.970851321893122</t>
  </si>
  <si>
    <t>6.90456285039905</t>
  </si>
  <si>
    <t>3.58816843269342</t>
  </si>
  <si>
    <t>3.02433495107741</t>
  </si>
  <si>
    <t>11.9008758075883</t>
  </si>
  <si>
    <t>22.8044350698986</t>
  </si>
  <si>
    <t>4.69104614922122</t>
  </si>
  <si>
    <t>9.92709445297837</t>
  </si>
  <si>
    <t>8.59390754936784</t>
  </si>
  <si>
    <t>6.79486762407042</t>
  </si>
  <si>
    <t>11.3265227896614</t>
  </si>
  <si>
    <t>47.7609079556026</t>
  </si>
  <si>
    <t>30.4568527944805</t>
  </si>
  <si>
    <t>31.9066147853204</t>
  </si>
  <si>
    <t>19.469026551055</t>
  </si>
  <si>
    <t>9.72047085372046</t>
  </si>
  <si>
    <t>10.5660503271742</t>
  </si>
  <si>
    <t>14.4923243761961</t>
  </si>
  <si>
    <t>15.460832553855</t>
  </si>
  <si>
    <t>26.3375571405737</t>
  </si>
  <si>
    <t>9.01678837253515</t>
  </si>
  <si>
    <t>8.54018289662375</t>
  </si>
  <si>
    <t>14.5672851392356</t>
  </si>
  <si>
    <t>38.9921305701247</t>
  </si>
  <si>
    <t>49.0361191268476</t>
  </si>
  <si>
    <t>19.7608163868213</t>
  </si>
  <si>
    <t>6.2099695419688</t>
  </si>
  <si>
    <t>11.5703529669413</t>
  </si>
  <si>
    <t>7.9169448389373</t>
  </si>
  <si>
    <t>16.498525534897</t>
  </si>
  <si>
    <t>-1.70400479873007</t>
  </si>
  <si>
    <t>13.9558018033899</t>
  </si>
  <si>
    <t>18.3638246481935</t>
  </si>
  <si>
    <t>10.7656371604386</t>
  </si>
  <si>
    <t>10.287966315995</t>
  </si>
  <si>
    <t>7.48630027641002</t>
  </si>
  <si>
    <t>6.929159085308</t>
  </si>
  <si>
    <t>10.2185410293303</t>
  </si>
  <si>
    <t>5.46617486333369</t>
  </si>
  <si>
    <t>5.4523024549118</t>
  </si>
  <si>
    <t>6.7317708095171</t>
  </si>
  <si>
    <t>8.96008072992041</t>
  </si>
  <si>
    <t>4.96153975601543</t>
  </si>
  <si>
    <t>8.29799331094843</t>
  </si>
  <si>
    <t>6.52209064077279</t>
  </si>
  <si>
    <t>4.31114513583488</t>
  </si>
  <si>
    <t>6.93296643519818</t>
  </si>
  <si>
    <t>8.69367544716614</t>
  </si>
  <si>
    <t>5.61167215075969</t>
  </si>
  <si>
    <t>18.0878171030072</t>
  </si>
  <si>
    <t>-0.0737859596172257</t>
  </si>
  <si>
    <t>31.6856890091496</t>
  </si>
  <si>
    <t>-12.2127611648618</t>
  </si>
  <si>
    <t>4.21781516534503</t>
  </si>
  <si>
    <t>19.2797599920395</t>
  </si>
  <si>
    <t>-6.29296337282545</t>
  </si>
  <si>
    <t>-5.64238106732829</t>
  </si>
  <si>
    <t>4.81351976717966</t>
  </si>
  <si>
    <t>2.03394994342932</t>
  </si>
  <si>
    <t>49.1506509195042</t>
  </si>
  <si>
    <t>1.32300635715686</t>
  </si>
  <si>
    <t>2.76434691938796</t>
  </si>
  <si>
    <t>17.960774156012</t>
  </si>
  <si>
    <t>4.5323204783563</t>
  </si>
  <si>
    <t>5.86514984488163</t>
  </si>
  <si>
    <t>2.50712718211383</t>
  </si>
  <si>
    <t>20.2552482807193</t>
  </si>
  <si>
    <t>12.6430163629807</t>
  </si>
  <si>
    <t>11.153806148174</t>
  </si>
  <si>
    <t>8.36035028307822</t>
  </si>
  <si>
    <t>0.767657765082319</t>
  </si>
  <si>
    <t>4.65632948783248</t>
  </si>
  <si>
    <t>4.10041409895274</t>
  </si>
  <si>
    <t>-1.13798307782147</t>
  </si>
  <si>
    <t>2.75330661293813</t>
  </si>
  <si>
    <t>2.03241260876266</t>
  </si>
  <si>
    <t>50.8928274402156</t>
  </si>
  <si>
    <t>0.497535125844891</t>
  </si>
  <si>
    <t>3.11136682753414</t>
  </si>
  <si>
    <t>10.1959604079309</t>
  </si>
  <si>
    <t>6.81473142832525</t>
  </si>
  <si>
    <t>9.54231878924602</t>
  </si>
  <si>
    <t>10.7250137594501</t>
  </si>
  <si>
    <t>11.5651624727837</t>
  </si>
  <si>
    <t>12.41242379451</t>
  </si>
  <si>
    <t>3.29537815566177</t>
  </si>
  <si>
    <t>12.628798047821</t>
  </si>
  <si>
    <t>6.9372127595247</t>
  </si>
  <si>
    <t>6.74659962921251</t>
  </si>
  <si>
    <t>4.18319658900101</t>
  </si>
  <si>
    <t>7.32344910852898</t>
  </si>
  <si>
    <t>0.218876276141572</t>
  </si>
  <si>
    <t>2.14358292337704</t>
  </si>
  <si>
    <t>3.28221513262272</t>
  </si>
  <si>
    <t>-1.30973757371325</t>
  </si>
  <si>
    <t>-3.36532461650745</t>
  </si>
  <si>
    <t>2.82866184194621</t>
  </si>
  <si>
    <t>3.41292623420735</t>
  </si>
  <si>
    <t>1.88425407158763</t>
  </si>
  <si>
    <t>1.01667233212719</t>
  </si>
  <si>
    <t>10.3395230080831</t>
  </si>
  <si>
    <t>2.68384906656291</t>
  </si>
  <si>
    <t>15.6274038945887</t>
  </si>
  <si>
    <t>45.1880333132519</t>
  </si>
  <si>
    <t>5.63863283820208</t>
  </si>
  <si>
    <t>10.5814822977027</t>
  </si>
  <si>
    <t>3.44169146691686</t>
  </si>
  <si>
    <t>4.13002926296977</t>
  </si>
  <si>
    <t>7.99326059145494</t>
  </si>
  <si>
    <t>13.4487939705185</t>
  </si>
  <si>
    <t>5.69154486496357</t>
  </si>
  <si>
    <t>7.77628827501962</t>
  </si>
  <si>
    <t>6.88261248973102</t>
  </si>
  <si>
    <t>2.33055643947434</t>
  </si>
  <si>
    <t>-3.69276700598913</t>
  </si>
  <si>
    <t>7.94278711644308</t>
  </si>
  <si>
    <t>11.6843301569808</t>
  </si>
  <si>
    <t>1.2679032785466</t>
  </si>
  <si>
    <t>3.548888898987</t>
  </si>
  <si>
    <t>4.78193195205354</t>
  </si>
  <si>
    <t>10.6799608126398</t>
  </si>
  <si>
    <t>13.0482805836339</t>
  </si>
  <si>
    <t>9.87297893528463</t>
  </si>
  <si>
    <t>7.57105088120657</t>
  </si>
  <si>
    <t>17.3556030903553</t>
  </si>
  <si>
    <t>-5.07698560760964</t>
  </si>
  <si>
    <t>11.5551506397598</t>
  </si>
  <si>
    <t>12.4150978636564</t>
  </si>
  <si>
    <t>4.67076794931934</t>
  </si>
  <si>
    <t>1.48207388002049</t>
  </si>
  <si>
    <t>7.92466367014788</t>
  </si>
  <si>
    <t>13.3007001530628</t>
  </si>
  <si>
    <t>16.9897185502658</t>
  </si>
  <si>
    <t>-0.0234347412947429</t>
  </si>
  <si>
    <t>3.41805433758755</t>
  </si>
  <si>
    <t>2.56077302320567</t>
  </si>
  <si>
    <t>3.21169218676589</t>
  </si>
  <si>
    <t>5.800203533277</t>
  </si>
  <si>
    <t>1.55456605192474</t>
  </si>
  <si>
    <t>4.95698720737268</t>
  </si>
  <si>
    <t>3.17000030055547</t>
  </si>
  <si>
    <t>1.0225336587083</t>
  </si>
  <si>
    <t>6.96981159885812</t>
  </si>
  <si>
    <t>2.68268097456064</t>
  </si>
  <si>
    <t>6.35865050495489</t>
  </si>
  <si>
    <t>13.3873680467746</t>
  </si>
  <si>
    <t>23.1328483478074</t>
  </si>
  <si>
    <t>15.5825972068624</t>
  </si>
  <si>
    <t>19.3635456865892</t>
  </si>
  <si>
    <t>30.4422357587688</t>
  </si>
  <si>
    <t>16.0023785290038</t>
  </si>
  <si>
    <t>19.6732980079181</t>
  </si>
  <si>
    <t>41.4051371566321</t>
  </si>
  <si>
    <t>25.075547620241</t>
  </si>
  <si>
    <t>61.0811184729891</t>
  </si>
  <si>
    <t>88.859881167231</t>
  </si>
  <si>
    <t>59.2646312286776</t>
  </si>
  <si>
    <t>59.1495162299007</t>
  </si>
  <si>
    <t>70.8510172712463</t>
  </si>
  <si>
    <t>142.025338723878</t>
  </si>
  <si>
    <t>100.575986321826</t>
  </si>
  <si>
    <t>27.3944004414714</t>
  </si>
  <si>
    <t>28.105912393932</t>
  </si>
  <si>
    <t>14.8138855781018</t>
  </si>
  <si>
    <t>42.8676233155078</t>
  </si>
  <si>
    <t>8.36062722142472</t>
  </si>
  <si>
    <t>38.8092293997712</t>
  </si>
  <si>
    <t>26.6967739975906</t>
  </si>
  <si>
    <t>17.733691153468</t>
  </si>
  <si>
    <t>15.7160554430069</t>
  </si>
  <si>
    <t>15.3190813355821</t>
  </si>
  <si>
    <t>10.6979645310047</t>
  </si>
  <si>
    <t>6.47300917877192</t>
  </si>
  <si>
    <t>4.27966722239654</t>
  </si>
  <si>
    <t>8.11744317174407</t>
  </si>
  <si>
    <t>5.88498274459207</t>
  </si>
  <si>
    <t>6.12779215497929</t>
  </si>
  <si>
    <t>6.31038161981667</t>
  </si>
  <si>
    <t>5.24348244015189</t>
  </si>
  <si>
    <t>4.37296440049234</t>
  </si>
  <si>
    <t>5.66963367375268</t>
  </si>
  <si>
    <t>1.70388278647849</t>
  </si>
  <si>
    <t>4.36836891312464</t>
  </si>
  <si>
    <t>6.07758782303863</t>
  </si>
  <si>
    <t>6.56759492961866</t>
  </si>
  <si>
    <t>5.20449997011548</t>
  </si>
  <si>
    <t>4.31901022867262</t>
  </si>
  <si>
    <t>4.61979011759097</t>
  </si>
  <si>
    <t>6.49719200406193</t>
  </si>
  <si>
    <t>8.22763260507158</t>
  </si>
  <si>
    <t>-13.0989393140367</t>
  </si>
  <si>
    <t>13.6826213141264</t>
  </si>
  <si>
    <t>8.36955055419347</t>
  </si>
  <si>
    <t>4.04140944609404</t>
  </si>
  <si>
    <t>12.6158605676235</t>
  </si>
  <si>
    <t>9.11052632939737</t>
  </si>
  <si>
    <t>7.37839052604537</t>
  </si>
  <si>
    <t>3.51055516897469</t>
  </si>
  <si>
    <t>4.10712382476071</t>
  </si>
  <si>
    <t>2.86016652017345</t>
  </si>
  <si>
    <t>4.12325129887783</t>
  </si>
  <si>
    <t>4.7570268608403</t>
  </si>
  <si>
    <t>4.9898768786237</t>
  </si>
  <si>
    <t>5.04437403552917</t>
  </si>
  <si>
    <t>3.01392706066088</t>
  </si>
  <si>
    <t>3.03372401956675</t>
  </si>
  <si>
    <t>2.62469056467263</t>
  </si>
  <si>
    <t>2.80708815380007</t>
  </si>
  <si>
    <t>2.79596467885315</t>
  </si>
  <si>
    <t>2.680980274186</t>
  </si>
  <si>
    <t>2.51217905582808</t>
  </si>
  <si>
    <t>-1.1157329105915</t>
  </si>
  <si>
    <t>-0.318215883012556</t>
  </si>
  <si>
    <t>4.02302594572905</t>
  </si>
  <si>
    <t>0.94633865335561</t>
  </si>
  <si>
    <t>1.76653410329699</t>
  </si>
  <si>
    <t>2.01041949385355</t>
  </si>
  <si>
    <t>3.58585344330177</t>
  </si>
  <si>
    <t>1.35910967827411</t>
  </si>
  <si>
    <t>5.38222215908284</t>
  </si>
  <si>
    <t>-0.508802549399022</t>
  </si>
  <si>
    <t>0.955505038419616</t>
  </si>
  <si>
    <t>7.49236624469398</t>
  </si>
  <si>
    <t>6.2465252080586</t>
  </si>
  <si>
    <t>-0.630564720016054</t>
  </si>
  <si>
    <t>1.05832196696491</t>
  </si>
  <si>
    <t>-3.06451612903226</t>
  </si>
  <si>
    <t>7.16941051513543</t>
  </si>
  <si>
    <t>2.25841782928005</t>
  </si>
  <si>
    <t>-2.40704270817953</t>
  </si>
  <si>
    <t>-4.15426936619718</t>
  </si>
  <si>
    <t>6.78233643895216</t>
  </si>
  <si>
    <t>5.77905201152358</t>
  </si>
  <si>
    <t>-1.01768275096303</t>
  </si>
  <si>
    <t>6.51974948608529</t>
  </si>
  <si>
    <t>2.79029110018062</t>
  </si>
  <si>
    <t>3.57442604207276</t>
  </si>
  <si>
    <t>2.32968216012467</t>
  </si>
  <si>
    <t>2.29076651598935</t>
  </si>
  <si>
    <t>3.26695055876648</t>
  </si>
  <si>
    <t>20.2583978510694</t>
  </si>
  <si>
    <t>9.73464337416245</t>
  </si>
  <si>
    <t>10.2564839551274</t>
  </si>
  <si>
    <t>9.29050162180894</t>
  </si>
  <si>
    <t>7.90783510432279</t>
  </si>
  <si>
    <t>8.64917249949201</t>
  </si>
  <si>
    <t>9.21007417186428</t>
  </si>
  <si>
    <t>8.59375657545488</t>
  </si>
  <si>
    <t>10.6104147199976</t>
  </si>
  <si>
    <t>15.1323903679797</t>
  </si>
  <si>
    <t>11.6054293090274</t>
  </si>
  <si>
    <t>15.3395983671368</t>
  </si>
  <si>
    <t>8.79838581348434</t>
  </si>
  <si>
    <t>7.28111205314566</t>
  </si>
  <si>
    <t>6.78525613443288</t>
  </si>
  <si>
    <t>4.69892816201967</t>
  </si>
  <si>
    <t>6.55682311577613</t>
  </si>
  <si>
    <t>8.34372112602952</t>
  </si>
  <si>
    <t>2.88065176850439</t>
  </si>
  <si>
    <t>6.98730386353127</t>
  </si>
  <si>
    <t>7.64978574066839</t>
  </si>
  <si>
    <t>4.79192284465955</t>
  </si>
  <si>
    <t>3.46665575478661</t>
  </si>
  <si>
    <t>2.86366512298943</t>
  </si>
  <si>
    <t>4.02974599325579</t>
  </si>
  <si>
    <t>2.6493593974983</t>
  </si>
  <si>
    <t>8.26227281475744</t>
  </si>
  <si>
    <t>4.62773991030575</t>
  </si>
  <si>
    <t>1271.66403962857</t>
  </si>
  <si>
    <t>442.129422476342</t>
  </si>
  <si>
    <t>151.885706190481</t>
  </si>
  <si>
    <t>17.0916163109023</t>
  </si>
  <si>
    <t>2.86482093164999</t>
  </si>
  <si>
    <t>3.92928882813115</t>
  </si>
  <si>
    <t>1.3917089531508</t>
  </si>
  <si>
    <t>2.73806691562446</t>
  </si>
  <si>
    <t>8.17838315960276</t>
  </si>
  <si>
    <t>4.71896097213485</t>
  </si>
  <si>
    <t>0.943966842274364</t>
  </si>
  <si>
    <t>1.65164896737944</t>
  </si>
  <si>
    <t>-0.16604205392737</t>
  </si>
  <si>
    <t>4.89589936820212</t>
  </si>
  <si>
    <t>3.25262417820976</t>
  </si>
  <si>
    <t>4.59255256903033</t>
  </si>
  <si>
    <t>5.49119403600274</t>
  </si>
  <si>
    <t>0.295077614209276</t>
  </si>
  <si>
    <t>2.04128302301487</t>
  </si>
  <si>
    <t>3.72217234010574</t>
  </si>
  <si>
    <t>1.00299826672435</t>
  </si>
  <si>
    <t>4.48329315377931</t>
  </si>
  <si>
    <t>1.44696785759902</t>
  </si>
  <si>
    <t>2.00342084578241</t>
  </si>
  <si>
    <t>3.46525285653088</t>
  </si>
  <si>
    <t>2.80702703539038</t>
  </si>
  <si>
    <t>3.92615528936682</t>
  </si>
  <si>
    <t>0.86816868476069</t>
  </si>
  <si>
    <t>1.37428071825137</t>
  </si>
  <si>
    <t>4.28552531461972</t>
  </si>
  <si>
    <t>7.76646685488322</t>
  </si>
  <si>
    <t>21.0864475019913</t>
  </si>
  <si>
    <t>6.02974468168323</t>
  </si>
  <si>
    <t>6.69544008888816</t>
  </si>
  <si>
    <t>6.47231420698608</t>
  </si>
  <si>
    <t>3.95723277048177</t>
  </si>
  <si>
    <t>4.81804731363169</t>
  </si>
  <si>
    <t>22.9891382530018</t>
  </si>
  <si>
    <t>10.9463376517333</t>
  </si>
  <si>
    <t>8.06394642924</t>
  </si>
  <si>
    <t>11.4212450877515</t>
  </si>
  <si>
    <t>13.1536996886952</t>
  </si>
  <si>
    <t>10.8174002740579</t>
  </si>
  <si>
    <t>9.25199784980748</t>
  </si>
  <si>
    <t>-3.48249032863031</t>
  </si>
  <si>
    <t>-0.138300097115064</t>
  </si>
  <si>
    <t>-1.90653242237872</t>
  </si>
  <si>
    <t>-4.25293155479166</t>
  </si>
  <si>
    <t>3.41537847560971</t>
  </si>
  <si>
    <t>-5.81605729864165</t>
  </si>
  <si>
    <t>0.738816824028547</t>
  </si>
  <si>
    <t>3.23509415515973</t>
  </si>
  <si>
    <t>39.5623519084172</t>
  </si>
  <si>
    <t>-1.65211919636276</t>
  </si>
  <si>
    <t>5.58019782996804</t>
  </si>
  <si>
    <t>1.73957502877444</t>
  </si>
  <si>
    <t>16.2860455817107</t>
  </si>
  <si>
    <t>-0.619727920385017</t>
  </si>
  <si>
    <t>4.67836208273651</t>
  </si>
  <si>
    <t>3.51288172290896</t>
  </si>
  <si>
    <t>-7.59428426979656</t>
  </si>
  <si>
    <t>3.59862414352318</t>
  </si>
  <si>
    <t>7.50171013084201</t>
  </si>
  <si>
    <t>4.64687336088652</t>
  </si>
  <si>
    <t>4.55504607669634</t>
  </si>
  <si>
    <t>7.27636764178463</t>
  </si>
  <si>
    <t>4.6359321620512</t>
  </si>
  <si>
    <t>4.36499973505229</t>
  </si>
  <si>
    <t>12.1828901287918</t>
  </si>
  <si>
    <t>4.60540762762535</t>
  </si>
  <si>
    <t>0.652631802447871</t>
  </si>
  <si>
    <t>1.26864344003421</t>
  </si>
  <si>
    <t>2.88350937506129</t>
  </si>
  <si>
    <t>1.35112231370481</t>
  </si>
  <si>
    <t>1.93427321118722</t>
  </si>
  <si>
    <t>1.4579639111606</t>
  </si>
  <si>
    <t>1.93054206895806</t>
  </si>
  <si>
    <t>0.532340181509667</t>
  </si>
  <si>
    <t>3.3589739985495</t>
  </si>
  <si>
    <t>5.72783445978014</t>
  </si>
  <si>
    <t>2.22593321089587</t>
  </si>
  <si>
    <t>0.633192913579975</t>
  </si>
  <si>
    <t>-1.22328469989274</t>
  </si>
  <si>
    <t>8.68677808824157</t>
  </si>
  <si>
    <t>3.36371615766491</t>
  </si>
  <si>
    <t>5.36324356652314</t>
  </si>
  <si>
    <t>5.02670587451502</t>
  </si>
  <si>
    <t>4.92052594971557</t>
  </si>
  <si>
    <t>4.15498203849889</t>
  </si>
  <si>
    <t>6.20648210260309</t>
  </si>
  <si>
    <t>12.3925681005089</t>
  </si>
  <si>
    <t>7.78033949277959</t>
  </si>
  <si>
    <t>-0.305484132359055</t>
  </si>
  <si>
    <t>-0.176647557112801</t>
  </si>
  <si>
    <t>0.636513583747742</t>
  </si>
  <si>
    <t>3.51770589922246</t>
  </si>
  <si>
    <t>3.05146989815404</t>
  </si>
  <si>
    <t>1.85956131883165</t>
  </si>
  <si>
    <t>2.147038378765</t>
  </si>
  <si>
    <t>3.15104983795089</t>
  </si>
  <si>
    <t>3.35087387479331</t>
  </si>
  <si>
    <t>3.5544184241685</t>
  </si>
  <si>
    <t>2.85450591841187</t>
  </si>
  <si>
    <t>3.56174406945007</t>
  </si>
  <si>
    <t>1.37937210401419</t>
  </si>
  <si>
    <t>0.786722013185013</t>
  </si>
  <si>
    <t>1.37689778778096</t>
  </si>
  <si>
    <t>0.548202881977659</t>
  </si>
  <si>
    <t>-9.89868939114623</t>
  </si>
  <si>
    <t>4.37035851531975</t>
  </si>
  <si>
    <t>2.63275750659184</t>
  </si>
  <si>
    <t>2.03509003917979</t>
  </si>
  <si>
    <t>2.51336426541555</t>
  </si>
  <si>
    <t>1.9645666978254</t>
  </si>
  <si>
    <t>2.27230830505974</t>
  </si>
  <si>
    <t>2.24029422451576</t>
  </si>
  <si>
    <t>2.24642456274884</t>
  </si>
  <si>
    <t>2.76562816918006</t>
  </si>
  <si>
    <t>1.48287290300655</t>
  </si>
  <si>
    <t>2.1597395797348</t>
  </si>
  <si>
    <t>2.2557454257814</t>
  </si>
  <si>
    <t>2.27101339334533</t>
  </si>
  <si>
    <t>4.20024274625111</t>
  </si>
  <si>
    <t>2.12564827894555</t>
  </si>
  <si>
    <t>2.13502600271886</t>
  </si>
  <si>
    <t>1.79841678185963</t>
  </si>
  <si>
    <t>2.50640359192941</t>
  </si>
  <si>
    <t>1.83795253840574</t>
  </si>
  <si>
    <t>2.42641153412831</t>
  </si>
  <si>
    <t>5.06118591578404</t>
  </si>
  <si>
    <t>5.30471876620035</t>
  </si>
  <si>
    <t>1.44943715299779</t>
  </si>
  <si>
    <t>0.600847631912103</t>
  </si>
  <si>
    <t>0.94378195626912</t>
  </si>
  <si>
    <t>-3.71634039359118</t>
  </si>
  <si>
    <t>1.69110336051614</t>
  </si>
  <si>
    <t>3.55521125702197</t>
  </si>
  <si>
    <t>15.9915903825242</t>
  </si>
  <si>
    <t>1.6928435905764</t>
  </si>
  <si>
    <t>2.76225286235076</t>
  </si>
  <si>
    <t>-1.428609509083</t>
  </si>
  <si>
    <t>-2.30943262197769</t>
  </si>
  <si>
    <t>0.755485934092889</t>
  </si>
  <si>
    <t>56.5208951892523</t>
  </si>
  <si>
    <t>16.4966678380074</t>
  </si>
  <si>
    <t>10.1287156467419</t>
  </si>
  <si>
    <t>1.92179934511346</t>
  </si>
  <si>
    <t>0.797356399467006</t>
  </si>
  <si>
    <t>5.61664989286534</t>
  </si>
  <si>
    <t>1.23518373165039</t>
  </si>
  <si>
    <t>4.42518376320311</t>
  </si>
  <si>
    <t>3.37446842916435</t>
  </si>
  <si>
    <t>1.95733881574436</t>
  </si>
  <si>
    <t>2.51788884616499</t>
  </si>
  <si>
    <t>1.56725083440215</t>
  </si>
  <si>
    <t>21.2384215170958</t>
  </si>
  <si>
    <t>25.1956211729866</t>
  </si>
  <si>
    <t>57.6844780877102</t>
  </si>
  <si>
    <t>18.5395953745517</t>
  </si>
  <si>
    <t>23.7488447345831</t>
  </si>
  <si>
    <t>21.7454653950544</t>
  </si>
  <si>
    <t>36.2494284375746</t>
  </si>
  <si>
    <t>19.6008436274624</t>
  </si>
  <si>
    <t>23.0374930881772</t>
  </si>
  <si>
    <t>33.7942244584017</t>
  </si>
  <si>
    <t>35.8252397603861</t>
  </si>
  <si>
    <t>22.6404900460789</t>
  </si>
  <si>
    <t>2.46177398804086</t>
  </si>
  <si>
    <t>24.8444647782488</t>
  </si>
  <si>
    <t>41.5089280021532</t>
  </si>
  <si>
    <t>20.4965394080297</t>
  </si>
  <si>
    <t>3.60112807911594</t>
  </si>
  <si>
    <t>19.1635299038814</t>
  </si>
  <si>
    <t>21.3004988066612</t>
  </si>
  <si>
    <t>23.6439081182201</t>
  </si>
  <si>
    <t>13.6186579473021</t>
  </si>
  <si>
    <t>4.87859924627352</t>
  </si>
  <si>
    <t>7.04321189366061</t>
  </si>
  <si>
    <t>10.2545766682247</t>
  </si>
  <si>
    <t>3.13009695263828</t>
  </si>
  <si>
    <t>3.91022519270633</t>
  </si>
  <si>
    <t>4.13669673908328</t>
  </si>
  <si>
    <t>3.61567809536274</t>
  </si>
  <si>
    <t>5.8734089465466</t>
  </si>
  <si>
    <t>5.34109463991011</t>
  </si>
  <si>
    <t>5.42293300468495</t>
  </si>
  <si>
    <t>5.34411000806585</t>
  </si>
  <si>
    <t>19.5172093720929</t>
  </si>
  <si>
    <t>6.1637164891327</t>
  </si>
  <si>
    <t>10.7876664462616</t>
  </si>
  <si>
    <t>2.115426913167</t>
  </si>
  <si>
    <t>2.07202715600783</t>
  </si>
  <si>
    <t>1.56526951264568</t>
  </si>
  <si>
    <t>0.706272607229359</t>
  </si>
  <si>
    <t>9.09066278398652</t>
  </si>
  <si>
    <t>2.09793607782736</t>
  </si>
  <si>
    <t>9.19086323170464</t>
  </si>
  <si>
    <t>5.45429122574922</t>
  </si>
  <si>
    <t>8.88889261239466</t>
  </si>
  <si>
    <t>11.255860813971</t>
  </si>
  <si>
    <t>15.8243460361994</t>
  </si>
  <si>
    <t>16.6224498749241</t>
  </si>
  <si>
    <t>11.9935811151592</t>
  </si>
  <si>
    <t>13.1717453439967</t>
  </si>
  <si>
    <t>10.1329436066232</t>
  </si>
  <si>
    <t>5.73213134882067</t>
  </si>
  <si>
    <t>10.143393233636</t>
  </si>
  <si>
    <t>0.829984451193525</t>
  </si>
  <si>
    <t>5.40180786523592</t>
  </si>
  <si>
    <t>10.0712966059497</t>
  </si>
  <si>
    <t>2.54669480487287</t>
  </si>
  <si>
    <t>2.7251909500635</t>
  </si>
  <si>
    <t>4.73112493676878</t>
  </si>
  <si>
    <t>10.8864375146475</t>
  </si>
  <si>
    <t>9.08158923849454</t>
  </si>
  <si>
    <t>6.07221708040713</t>
  </si>
  <si>
    <t>16.479240691772</t>
  </si>
  <si>
    <t>0.700087342965986</t>
  </si>
  <si>
    <t>11.6515904388743</t>
  </si>
  <si>
    <t>11.6185270831589</t>
  </si>
  <si>
    <t>5.93754471311738</t>
  </si>
  <si>
    <t>5.11932081382749</t>
  </si>
  <si>
    <t>1.27802248372888</t>
  </si>
  <si>
    <t>4.71388569389377</t>
  </si>
  <si>
    <t>2.22090183339058</t>
  </si>
  <si>
    <t>3.1774451904169</t>
  </si>
  <si>
    <t>-1.82580331856843</t>
  </si>
  <si>
    <t>12.159348349107</t>
  </si>
  <si>
    <t>32.8964982204042</t>
  </si>
  <si>
    <t>20.2047517131957</t>
  </si>
  <si>
    <t>3.07515583540305</t>
  </si>
  <si>
    <t>5.8857266503671</t>
  </si>
  <si>
    <t>4.33458318340642</t>
  </si>
  <si>
    <t>10.1069605308365</t>
  </si>
  <si>
    <t>16.0415368886677</t>
  </si>
  <si>
    <t>7.62912580438491</t>
  </si>
  <si>
    <t>2.40791238505463</t>
  </si>
  <si>
    <t>1.60420269843273</t>
  </si>
  <si>
    <t>1.20270354887286</t>
  </si>
  <si>
    <t>0.177016999632059</t>
  </si>
  <si>
    <t>2.0669709044933</t>
  </si>
  <si>
    <t>1.03622831974151</t>
  </si>
  <si>
    <t>2.21957293262733</t>
  </si>
  <si>
    <t>5.10106883707128</t>
  </si>
  <si>
    <t>3.82497232809919</t>
  </si>
  <si>
    <t>2.02214868727721</t>
  </si>
  <si>
    <t>-0.175605916816622</t>
  </si>
  <si>
    <t>4.72624261012977</t>
  </si>
  <si>
    <t>12.3553221508805</t>
  </si>
  <si>
    <t>10.5429703323513</t>
  </si>
  <si>
    <t>1.9814211995504</t>
  </si>
  <si>
    <t>0.904250240767681</t>
  </si>
  <si>
    <t>-3.08759376967963</t>
  </si>
  <si>
    <t>-1.44806090937669</t>
  </si>
  <si>
    <t>-9.17235995070065</t>
  </si>
  <si>
    <t>0.809788822239028</t>
  </si>
  <si>
    <t>0.93098771431508</t>
  </si>
  <si>
    <t>7.14773882778444</t>
  </si>
  <si>
    <t>23.2429253085626</t>
  </si>
  <si>
    <t>93.3199510815902</t>
  </si>
  <si>
    <t>173.690682516447</t>
  </si>
  <si>
    <t>318.897225339498</t>
  </si>
  <si>
    <t>64.3193883238151</t>
  </si>
  <si>
    <t>60.2724254276052</t>
  </si>
  <si>
    <t>10.8075727045923</t>
  </si>
  <si>
    <t>21.6721342337923</t>
  </si>
  <si>
    <t>-1.93179698964558</t>
  </si>
  <si>
    <t>10.8817569804571</t>
  </si>
  <si>
    <t>11.999691388142</t>
  </si>
  <si>
    <t>10.448544658193</t>
  </si>
  <si>
    <t>6.3696873506597</t>
  </si>
  <si>
    <t>10.2365745343768</t>
  </si>
  <si>
    <t>16.6914730128959</t>
  </si>
  <si>
    <t>20.0984387764955</t>
  </si>
  <si>
    <t>21.9867715680913</t>
  </si>
  <si>
    <t>11.6285676515166</t>
  </si>
  <si>
    <t>21.4487537609982</t>
  </si>
  <si>
    <t>1.82670368400657</t>
  </si>
  <si>
    <t>39.1781879703741</t>
  </si>
  <si>
    <t>15.1192654880847</t>
  </si>
  <si>
    <t>12.7843788573595</t>
  </si>
  <si>
    <t>2.90784833783545</t>
  </si>
  <si>
    <t>7.44883659506563</t>
  </si>
  <si>
    <t>0.609769217723354</t>
  </si>
  <si>
    <t>2.99312676057677</t>
  </si>
  <si>
    <t>10.8004464117482</t>
  </si>
  <si>
    <t>7.96061586470999</t>
  </si>
  <si>
    <t>9.97221325666415</t>
  </si>
  <si>
    <t>3.70672176955705</t>
  </si>
  <si>
    <t>14.4200654807454</t>
  </si>
  <si>
    <t>17.7147124177501</t>
  </si>
  <si>
    <t>21.7690280161027</t>
  </si>
  <si>
    <t>-3.83468427579683</t>
  </si>
  <si>
    <t>0.760795209559006</t>
  </si>
  <si>
    <t>0.445425816925777</t>
  </si>
  <si>
    <t>0.192919415645605</t>
  </si>
  <si>
    <t>1.53403805496828</t>
  </si>
  <si>
    <t>12.5675790206172</t>
  </si>
  <si>
    <t>2.71484406675209</t>
  </si>
  <si>
    <t>-0.880503144654085</t>
  </si>
  <si>
    <t>-1.48648648648648</t>
  </si>
  <si>
    <t>1.50891632373114</t>
  </si>
  <si>
    <t>0.783289817232372</t>
  </si>
  <si>
    <t>3.450335683769</t>
  </si>
  <si>
    <t>5.79545454545456</t>
  </si>
  <si>
    <t>4.60693153000844</t>
  </si>
  <si>
    <t>2.97029702970298</t>
  </si>
  <si>
    <t>3.59586881110062</t>
  </si>
  <si>
    <t>2.33769881156505</t>
  </si>
  <si>
    <t>3.54088108157822</t>
  </si>
  <si>
    <t>0.545723837893178</t>
  </si>
  <si>
    <t>2.80318995750133</t>
  </si>
  <si>
    <t>37.8101700138867</t>
  </si>
  <si>
    <t>42.9562967997304</t>
  </si>
  <si>
    <t>50.2410537235225</t>
  </si>
  <si>
    <t>51.459859010443</t>
  </si>
  <si>
    <t>48.8179614287008</t>
  </si>
  <si>
    <t>6.15846278596368</t>
  </si>
  <si>
    <t>8.93778901279192</t>
  </si>
  <si>
    <t>11.6155528700327</t>
  </si>
  <si>
    <t>14.7820710914586</t>
  </si>
  <si>
    <t>9.83187743515255</t>
  </si>
  <si>
    <t>3.640147317501</t>
  </si>
  <si>
    <t>7.33104798268296</t>
  </si>
  <si>
    <t>5.15280407509312</t>
  </si>
  <si>
    <t>1.47137323196516</t>
  </si>
  <si>
    <t>7.64522798725267</t>
  </si>
  <si>
    <t>2.34836229044998</t>
  </si>
  <si>
    <t>3.17523457430677</t>
  </si>
  <si>
    <t>2.60123626905104</t>
  </si>
  <si>
    <t>1.0858708962558</t>
  </si>
  <si>
    <t>7.05995033545015</t>
  </si>
  <si>
    <t>12.1608912915425</t>
  </si>
  <si>
    <t>7.97801240165271</t>
  </si>
  <si>
    <t>3.7951186149991</t>
  </si>
  <si>
    <t>3.17166106815796</t>
  </si>
  <si>
    <t>4.5505652081862</t>
  </si>
  <si>
    <t>5.30134150828523</t>
  </si>
  <si>
    <t>2.4326633228583</t>
  </si>
  <si>
    <t>4.45523960465984</t>
  </si>
  <si>
    <t>4.5340076419948</t>
  </si>
  <si>
    <t>-2.0654411342249</t>
  </si>
  <si>
    <t>4.14307893688419</t>
  </si>
  <si>
    <t>2.3815636240172</t>
  </si>
  <si>
    <t>-0.0115854651908904</t>
  </si>
  <si>
    <t>-1.53887462592715</t>
  </si>
  <si>
    <t>0.128158613696641</t>
  </si>
  <si>
    <t>6.27194608576811</t>
  </si>
  <si>
    <t>7.12221847052201</t>
  </si>
  <si>
    <t>16.5127165484308</t>
  </si>
  <si>
    <t>12.6843691052671</t>
  </si>
  <si>
    <t>15.0043653988353</t>
  </si>
  <si>
    <t>6.03064097281556</t>
  </si>
  <si>
    <t>6.38654428304871</t>
  </si>
  <si>
    <t>2.4891991940504</t>
  </si>
  <si>
    <t>6.54744900760826</t>
  </si>
  <si>
    <t>7.26510303934754</t>
  </si>
  <si>
    <t>10.0859578526503</t>
  </si>
  <si>
    <t>7.25579876677926</t>
  </si>
  <si>
    <t>10.912606685627</t>
  </si>
  <si>
    <t>10.4621278765215</t>
  </si>
  <si>
    <t>5.3831948257876</t>
  </si>
  <si>
    <t>2.64247754881058</t>
  </si>
  <si>
    <t>41.4131045603232</t>
  </si>
  <si>
    <t>5.74194265299242</t>
  </si>
  <si>
    <t>11.9128847596643</t>
  </si>
  <si>
    <t>2.84192009964859</t>
  </si>
  <si>
    <t>1.85706349141495</t>
  </si>
  <si>
    <t>12.077063385097</t>
  </si>
  <si>
    <t>18.4516129936591</t>
  </si>
  <si>
    <t>4.77451931133439</t>
  </si>
  <si>
    <t>6.71479106629494</t>
  </si>
  <si>
    <t>4.48547959411047</t>
  </si>
  <si>
    <t>14.0910629218236</t>
  </si>
  <si>
    <t>8.8955856603022</t>
  </si>
  <si>
    <t>10.7163171449168</t>
  </si>
  <si>
    <t>-0.358928203898799</t>
  </si>
  <si>
    <t>22.3431687773344</t>
  </si>
  <si>
    <t>17.5477655809925</t>
  </si>
  <si>
    <t>0.455837161396261</t>
  </si>
  <si>
    <t>4.48796826973528</t>
  </si>
  <si>
    <t>-11.8763231173524</t>
  </si>
  <si>
    <t>-4.79390858192335</t>
  </si>
  <si>
    <t>11.2101297440599</t>
  </si>
  <si>
    <t>1.58393834945385</t>
  </si>
  <si>
    <t>4.55445732510799</t>
  </si>
  <si>
    <t>5.32804482625433</t>
  </si>
  <si>
    <t>6.4408732898183</t>
  </si>
  <si>
    <t>7.46487321650835</t>
  </si>
  <si>
    <t>-0.61236174643426</t>
  </si>
  <si>
    <t>3.37147741701096</t>
  </si>
  <si>
    <t>-3.70009389360627</t>
  </si>
  <si>
    <t>2.29378187788916</t>
  </si>
  <si>
    <t>12.7108847799376</t>
  </si>
  <si>
    <t>-7.37746322959943</t>
  </si>
  <si>
    <t>1.81969718289314</t>
  </si>
  <si>
    <t>2.57765195235122</t>
  </si>
  <si>
    <t>1.78582380900907</t>
  </si>
  <si>
    <t>7.06852418993493</t>
  </si>
  <si>
    <t>2.20818544376296</t>
  </si>
  <si>
    <t>1.56963789834323</t>
  </si>
  <si>
    <t>6.23640249617492</t>
  </si>
  <si>
    <t>13.8347252024949</t>
  </si>
  <si>
    <t>59.5772091130584</t>
  </si>
  <si>
    <t>5.26158103256719</t>
  </si>
  <si>
    <t>-5.06650924969327</t>
  </si>
  <si>
    <t>8.57940941629039</t>
  </si>
  <si>
    <t>10.7518006105498</t>
  </si>
  <si>
    <t>17.9364665966907</t>
  </si>
  <si>
    <t>26.5695701693281</t>
  </si>
  <si>
    <t>10.8638994703434</t>
  </si>
  <si>
    <t>8.86523770159884</t>
  </si>
  <si>
    <t>8.43670347885381</t>
  </si>
  <si>
    <t>7.4636741879673</t>
  </si>
  <si>
    <t>8.19952459698254</t>
  </si>
  <si>
    <t>8.02256089268182</t>
  </si>
  <si>
    <t>12.9149973356849</t>
  </si>
  <si>
    <t>10.8864576106707</t>
  </si>
  <si>
    <t>11.0475580898559</t>
  </si>
  <si>
    <t>10.5836307032606</t>
  </si>
  <si>
    <t>8.56427900364693</t>
  </si>
  <si>
    <t>5.35539928981525</t>
  </si>
  <si>
    <t>9.22021795623043</t>
  </si>
  <si>
    <t>6.55543051122419</t>
  </si>
  <si>
    <t>5.4032014639107</t>
  </si>
  <si>
    <t>7.00204278057004</t>
  </si>
  <si>
    <t>5.12076924128428</t>
  </si>
  <si>
    <t>6.96357951652327</t>
  </si>
  <si>
    <t>6.5719123435539</t>
  </si>
  <si>
    <t>3.4099293453387</t>
  </si>
  <si>
    <t>6.23201251547312</t>
  </si>
  <si>
    <t>6.21928418894298</t>
  </si>
  <si>
    <t>6.84544976034816</t>
  </si>
  <si>
    <t>3.94809969963141</t>
  </si>
  <si>
    <t>9.5678840106437</t>
  </si>
  <si>
    <t>8.30831527928659</t>
  </si>
  <si>
    <t>5.68669282209342</t>
  </si>
  <si>
    <t>-0.65420084184035</t>
  </si>
  <si>
    <t>1.12641892024499</t>
  </si>
  <si>
    <t>3.1614637980008</t>
  </si>
  <si>
    <t>2.46552355243207</t>
  </si>
  <si>
    <t>4.13433189504995</t>
  </si>
  <si>
    <t>2.16830404926014</t>
  </si>
  <si>
    <t>1.39953074265865</t>
  </si>
  <si>
    <t>2.38463204087334</t>
  </si>
  <si>
    <t>1.63650567594517</t>
  </si>
  <si>
    <t>1.67538916911592</t>
  </si>
  <si>
    <t>-0.46584287384826</t>
  </si>
  <si>
    <t>2.57304044505899</t>
  </si>
  <si>
    <t>3.15720035090573</t>
  </si>
  <si>
    <t>9.56592044781137</t>
  </si>
  <si>
    <t>8.507830178109</t>
  </si>
  <si>
    <t>16.4057389895661</t>
  </si>
  <si>
    <t>11.2297767239743</t>
  </si>
  <si>
    <t>12.7720548395078</t>
  </si>
  <si>
    <t>13.5092841941685</t>
  </si>
  <si>
    <t>16.7238666520472</t>
  </si>
  <si>
    <t>31.0918058115048</t>
  </si>
  <si>
    <t>22.509486097873</t>
  </si>
  <si>
    <t>10.66088551692</t>
  </si>
  <si>
    <t>13.2764249696051</t>
  </si>
  <si>
    <t>28.1746601128257</t>
  </si>
  <si>
    <t>26.171881312568</t>
  </si>
  <si>
    <t>77.2196049745741</t>
  </si>
  <si>
    <t>52.3455881121029</t>
  </si>
  <si>
    <t>20.8348496673146</t>
  </si>
  <si>
    <t>19.5484798578104</t>
  </si>
  <si>
    <t>39.6907697261086</t>
  </si>
  <si>
    <t>30.5339536772051</t>
  </si>
  <si>
    <t>25.6224699733491</t>
  </si>
  <si>
    <t>112.693649104072</t>
  </si>
  <si>
    <t>10.3460966723309</t>
  </si>
  <si>
    <t>14.8466261152179</t>
  </si>
  <si>
    <t>10.7412368152624</t>
  </si>
  <si>
    <t>19.9672595450599</t>
  </si>
  <si>
    <t>4.09972486772637</t>
  </si>
  <si>
    <t>11.9646675270329</t>
  </si>
  <si>
    <t>7.89982295078846</t>
  </si>
  <si>
    <t>12.1272220613228</t>
  </si>
  <si>
    <t>13.9902377428521</t>
  </si>
  <si>
    <t>17.639764474193</t>
  </si>
  <si>
    <t>27.0462909961503</t>
  </si>
  <si>
    <t>20.9692813073299</t>
  </si>
  <si>
    <t>19.8146692597742</t>
  </si>
  <si>
    <t>20.2926829287348</t>
  </si>
  <si>
    <t>10.5769245154404</t>
  </si>
  <si>
    <t>6.15234698561271</t>
  </si>
  <si>
    <t>7.72855642393151</t>
  </si>
  <si>
    <t>6.21829711958308</t>
  </si>
  <si>
    <t>8.15296842929594</t>
  </si>
  <si>
    <t>17.1668303930955</t>
  </si>
  <si>
    <t>22.8067220172078</t>
  </si>
  <si>
    <t>-7.75858259701347</t>
  </si>
  <si>
    <t>-1.1109458748822</t>
  </si>
  <si>
    <t>16.8376264786486</t>
  </si>
  <si>
    <t>1.12672601631671</t>
  </si>
  <si>
    <t>2.65240459971436</t>
  </si>
  <si>
    <t>-1.37754092046107</t>
  </si>
  <si>
    <t>-2.32308568285117</t>
  </si>
  <si>
    <t>-3.28069452621159</t>
  </si>
  <si>
    <t>4.90596705134352</t>
  </si>
  <si>
    <t>-0.509437297064892</t>
  </si>
  <si>
    <t>-0.468653964725263</t>
  </si>
  <si>
    <t>0.343843148390761</t>
  </si>
  <si>
    <t>17.874119718934</t>
  </si>
  <si>
    <t>12.7092356059606</t>
  </si>
  <si>
    <t>-3.07757830077361</t>
  </si>
  <si>
    <t>12.7261613347485</t>
  </si>
  <si>
    <t>6.86512095967042</t>
  </si>
  <si>
    <t>9.84038088229713</t>
  </si>
  <si>
    <t>12.059476683066</t>
  </si>
  <si>
    <t>6.87507873396989</t>
  </si>
  <si>
    <t>1.06001912903547</t>
  </si>
  <si>
    <t>2.55905573166896</t>
  </si>
  <si>
    <t>5.91038721446897</t>
  </si>
  <si>
    <t>4.79278401962098</t>
  </si>
  <si>
    <t>-1.60592219898089</t>
  </si>
  <si>
    <t>-8.71731986266188</t>
  </si>
  <si>
    <t>7.6667147507538</t>
  </si>
  <si>
    <t>3.62002625029952</t>
  </si>
  <si>
    <t>4.46170354335169</t>
  </si>
  <si>
    <t>3.80781497630849</t>
  </si>
  <si>
    <t>3.58469869494189</t>
  </si>
  <si>
    <t>2.4142424724986</t>
  </si>
  <si>
    <t>3.98697131021895</t>
  </si>
  <si>
    <t>3.93733451207584</t>
  </si>
  <si>
    <t>3.63341955310123</t>
  </si>
  <si>
    <t>3.67990338475359</t>
  </si>
  <si>
    <t>3.48234958265934</t>
  </si>
  <si>
    <t>8.49871999834858</t>
  </si>
  <si>
    <t>0.045452820569551</t>
  </si>
  <si>
    <t>8.85521685144839</t>
  </si>
  <si>
    <t>-1.58187391181744</t>
  </si>
  <si>
    <t>3.29893287687825</t>
  </si>
  <si>
    <t>6.00928261482106</t>
  </si>
  <si>
    <t>8.8625864706771</t>
  </si>
  <si>
    <t>3.98093167351242</t>
  </si>
  <si>
    <t>4.88132335727943</t>
  </si>
  <si>
    <t>10.3889003992836</t>
  </si>
  <si>
    <t>-5.99220155562196</t>
  </si>
  <si>
    <t>7.26684593389439</t>
  </si>
  <si>
    <t>0.999932303470885</t>
  </si>
  <si>
    <t>0.17447448132144</t>
  </si>
  <si>
    <t>2.46746678366378</t>
  </si>
  <si>
    <t>1.21805573355338</t>
  </si>
  <si>
    <t>1.65825996642414</t>
  </si>
  <si>
    <t>3.77896094306453</t>
  </si>
  <si>
    <t>0.624674674586643</t>
  </si>
  <si>
    <t>0.0718269093121364</t>
  </si>
  <si>
    <t>-0.818007729183023</t>
  </si>
  <si>
    <t>5.67593848764116</t>
  </si>
  <si>
    <t>6.40348511820096</t>
  </si>
  <si>
    <t>-1.87225562537837</t>
  </si>
  <si>
    <t>1.35015389642182</t>
  </si>
  <si>
    <t>1.24463471200129</t>
  </si>
  <si>
    <t>1.50393967901161</t>
  </si>
  <si>
    <t>1.91982581124735</t>
  </si>
  <si>
    <t>2.89877853468337</t>
  </si>
  <si>
    <t>4.36718824053682</t>
  </si>
  <si>
    <t>4.95848844957479</t>
  </si>
  <si>
    <t>5.26272847566874</t>
  </si>
  <si>
    <t>5.06980750726423</t>
  </si>
  <si>
    <t>9.26279066315271</t>
  </si>
  <si>
    <t>5.50349191279594</t>
  </si>
  <si>
    <t>8.29672198172402</t>
  </si>
  <si>
    <t>3.60787931289983</t>
  </si>
  <si>
    <t>3.74332909937958</t>
  </si>
  <si>
    <t>3.3818113361103</t>
  </si>
  <si>
    <t>2.27885434592147</t>
  </si>
  <si>
    <t>2.37032483639894</t>
  </si>
  <si>
    <t>1.83076455933455</t>
  </si>
  <si>
    <t>1.72444795356148</t>
  </si>
  <si>
    <t>1.12386562495534</t>
  </si>
  <si>
    <t>2.26519517669861</t>
  </si>
  <si>
    <t>1.55399465961345</t>
  </si>
  <si>
    <t>3.13545455674655</t>
  </si>
  <si>
    <t>3.08383673352866</t>
  </si>
  <si>
    <t>0.61678071512577</t>
  </si>
  <si>
    <t>2.06310947543149</t>
  </si>
  <si>
    <t>1.8621649281277</t>
  </si>
  <si>
    <t>1.70188036067233</t>
  </si>
  <si>
    <t>0.928042794757729</t>
  </si>
  <si>
    <t>1.79080328489228</t>
  </si>
  <si>
    <t>1.65046566913496</t>
  </si>
  <si>
    <t>4.56598550261971</t>
  </si>
  <si>
    <t>7.12948085421044</t>
  </si>
  <si>
    <t>3.59839135378053</t>
  </si>
  <si>
    <t>3.66572616781025</t>
  </si>
  <si>
    <t>16.9793077492652</t>
  </si>
  <si>
    <t>13.3249019060428</t>
  </si>
  <si>
    <t>23.9358522602813</t>
  </si>
  <si>
    <t>10.0829328723427</t>
  </si>
  <si>
    <t>9.39994796598818</t>
  </si>
  <si>
    <t>15.072652937011</t>
  </si>
  <si>
    <t>6.38836083564102</t>
  </si>
  <si>
    <t>5.98689912825148</t>
  </si>
  <si>
    <t>10.2680891919767</t>
  </si>
  <si>
    <t>10.3619466572142</t>
  </si>
  <si>
    <t>20.4590931293184</t>
  </si>
  <si>
    <t>6.68150784291885</t>
  </si>
  <si>
    <t>7.11317082800731</t>
  </si>
  <si>
    <t>8.26955483499275</t>
  </si>
  <si>
    <t>11.2811266523565</t>
  </si>
  <si>
    <t>11.2037643562035</t>
  </si>
  <si>
    <t>10.0036016879863</t>
  </si>
  <si>
    <t>1.27110787199547</t>
  </si>
  <si>
    <t>2.04025280317994</t>
  </si>
  <si>
    <t>5.59808158452238</t>
  </si>
  <si>
    <t>9.40658581294605</t>
  </si>
  <si>
    <t>9.28643429422758</t>
  </si>
  <si>
    <t>6.9454042890454</t>
  </si>
  <si>
    <t>3.72589849891101</t>
  </si>
  <si>
    <t>3.81487636243496</t>
  </si>
  <si>
    <t>11.2603084734349</t>
  </si>
  <si>
    <t>8.23489179866652</t>
  </si>
  <si>
    <t>3.86457435077661</t>
  </si>
  <si>
    <t>7.96867201225912</t>
  </si>
  <si>
    <t>9.91903698902131</t>
  </si>
  <si>
    <t>4.42848894081101</t>
  </si>
  <si>
    <t>0.926315844160413</t>
  </si>
  <si>
    <t>4.63153061468802</t>
  </si>
  <si>
    <t>1.5343303300027</t>
  </si>
  <si>
    <t>6.44785295155228</t>
  </si>
  <si>
    <t>6.41362439275798</t>
  </si>
  <si>
    <t>7.00814312701958</t>
  </si>
  <si>
    <t>4.02240593803353</t>
  </si>
  <si>
    <t>4.76026105743547</t>
  </si>
  <si>
    <t>11.0013057010506</t>
  </si>
  <si>
    <t>11.3186488741954</t>
  </si>
  <si>
    <t>7.51288431119355</t>
  </si>
  <si>
    <t>7.76408639643265</t>
  </si>
  <si>
    <t>6.56497740877913</t>
  </si>
  <si>
    <t>12.6282710252818</t>
  </si>
  <si>
    <t>7.11222400199252</t>
  </si>
  <si>
    <t>6.54188132726345</t>
  </si>
  <si>
    <t>5.86721749013752</t>
  </si>
  <si>
    <t>-15.5109035148939</t>
  </si>
  <si>
    <t>35.0575533015735</t>
  </si>
  <si>
    <t>13.7443497017528</t>
  </si>
  <si>
    <t>9.84347140748601</t>
  </si>
  <si>
    <t>7.7690659440059</t>
  </si>
  <si>
    <t>8.8396721995661</t>
  </si>
  <si>
    <t>5.65058435591426</t>
  </si>
  <si>
    <t>9.42290066822056</t>
  </si>
  <si>
    <t>1.70288484767185</t>
  </si>
  <si>
    <t>2.55924022822714</t>
  </si>
  <si>
    <t>1.71843193952834</t>
  </si>
  <si>
    <t>-4.63560393144327</t>
  </si>
  <si>
    <t>3.6304090564724</t>
  </si>
  <si>
    <t>2.84171596705872</t>
  </si>
  <si>
    <t>2.71528286934424</t>
  </si>
  <si>
    <t>2.89169371447238</t>
  </si>
  <si>
    <t>1.33153100869157</t>
  </si>
  <si>
    <t>1.42227810664085</t>
  </si>
  <si>
    <t>2.05845624685195</t>
  </si>
  <si>
    <t>12.8312132358374</t>
  </si>
  <si>
    <t>6.11501690527531</t>
  </si>
  <si>
    <t>-0.77442780779991</t>
  </si>
  <si>
    <t>2.43407708116916</t>
  </si>
  <si>
    <t>0.430124980373847</t>
  </si>
  <si>
    <t>4.82764312949604</t>
  </si>
  <si>
    <t>3.84571494150525</t>
  </si>
  <si>
    <t>3.39385058695636</t>
  </si>
  <si>
    <t>-0.842792525276892</t>
  </si>
  <si>
    <t>0.761495904288267</t>
  </si>
  <si>
    <t>-0.719001723465794</t>
  </si>
  <si>
    <t>8.07681787435163</t>
  </si>
  <si>
    <t>-5.21907509579771</t>
  </si>
  <si>
    <t>-3.4198142218173</t>
  </si>
  <si>
    <t>8.44311238449514</t>
  </si>
  <si>
    <t>7.13664380039545</t>
  </si>
  <si>
    <t>0.599832909912507</t>
  </si>
  <si>
    <t>3.36117736823691</t>
  </si>
  <si>
    <t>35.8375042561604</t>
  </si>
  <si>
    <t>7.64725898697904</t>
  </si>
  <si>
    <t>-6.39280247970663</t>
  </si>
  <si>
    <t>12.4163541216953</t>
  </si>
  <si>
    <t>15.7477949925742</t>
  </si>
  <si>
    <t>11.2113515016096</t>
  </si>
  <si>
    <t>4.58651993689902</t>
  </si>
  <si>
    <t>21.0948215766415</t>
  </si>
  <si>
    <t>11.7174933871685</t>
  </si>
  <si>
    <t>-5.90018028297776</t>
  </si>
  <si>
    <t>-4.20027868322546</t>
  </si>
  <si>
    <t>1.68456342698153</t>
  </si>
  <si>
    <t>-5.29999776973312</t>
  </si>
  <si>
    <t>1.39998635545074</t>
  </si>
  <si>
    <t>39.3599542768174</t>
  </si>
  <si>
    <t>-2.64074327848432</t>
  </si>
  <si>
    <t>-5.20193713950451</t>
  </si>
  <si>
    <t>-3.86881350357649</t>
  </si>
  <si>
    <t>4.24946132149574</t>
  </si>
  <si>
    <t>6.96863494436168</t>
  </si>
  <si>
    <t>6.99168132354842</t>
  </si>
  <si>
    <t>6.07816268572259</t>
  </si>
  <si>
    <t>0.37974663716507</t>
  </si>
  <si>
    <t>3.17839370074471</t>
  </si>
  <si>
    <t>5.01252093260362</t>
  </si>
  <si>
    <t>2.57230192526417</t>
  </si>
  <si>
    <t>-0.188481380924046</t>
  </si>
  <si>
    <t>0.386942028282064</t>
  </si>
  <si>
    <t>1.49619758117663</t>
  </si>
  <si>
    <t>10.1291157206231</t>
  </si>
  <si>
    <t>4.19005999795191</t>
  </si>
  <si>
    <t>3.47504301438173</t>
  </si>
  <si>
    <t>3.97160518256159</t>
  </si>
  <si>
    <t>5.30833937178907</t>
  </si>
  <si>
    <t>-0.369174082139452</t>
  </si>
  <si>
    <t>-0.40567684540504</t>
  </si>
  <si>
    <t>2.249426436212</t>
  </si>
  <si>
    <t>1.79272146557585</t>
  </si>
  <si>
    <t>0.368276728970102</t>
  </si>
  <si>
    <t>2.40368624331715</t>
  </si>
  <si>
    <t>-0.0243827627404585</t>
  </si>
  <si>
    <t>1.16297974177712</t>
  </si>
  <si>
    <t>3.11864597184903</t>
  </si>
  <si>
    <t>4.01899997944746</t>
  </si>
  <si>
    <t>3.38791792310056</t>
  </si>
  <si>
    <t>6.25716915400712</t>
  </si>
  <si>
    <t>5.56530090015399</t>
  </si>
  <si>
    <t>-3.09475245043559</t>
  </si>
  <si>
    <t>2.42780898472419</t>
  </si>
  <si>
    <t>0.864444953374829</t>
  </si>
  <si>
    <t>13.1928714891662</t>
  </si>
  <si>
    <t>-3.00670539435013</t>
  </si>
  <si>
    <t>1.22054696940619</t>
  </si>
  <si>
    <t>2.70630699368648</t>
  </si>
  <si>
    <t>51.2784813315754</t>
  </si>
  <si>
    <t>1.34803424937029</t>
  </si>
  <si>
    <t>2.89286810574893</t>
  </si>
  <si>
    <t>5.34683656411752</t>
  </si>
  <si>
    <t>43.9463679229523</t>
  </si>
  <si>
    <t>23.5007902619413</t>
  </si>
  <si>
    <t>14.3531853680082</t>
  </si>
  <si>
    <t>10.7137537864287</t>
  </si>
  <si>
    <t>13.9147450209547</t>
  </si>
  <si>
    <t>12.4196622417449</t>
  </si>
  <si>
    <t>219.002843997422</t>
  </si>
  <si>
    <t>14.802551915567</t>
  </si>
  <si>
    <t>19.5689498879398</t>
  </si>
  <si>
    <t>5.65366409471567</t>
  </si>
  <si>
    <t>5.41545258428278</t>
  </si>
  <si>
    <t>19.6694755984806</t>
  </si>
  <si>
    <t>20.1771261186241</t>
  </si>
  <si>
    <t>28.9696733926063</t>
  </si>
  <si>
    <t>6.66894186986168</t>
  </si>
  <si>
    <t>18.8639068014772</t>
  </si>
  <si>
    <t>46.7523553581667</t>
  </si>
  <si>
    <t>41.639058719839</t>
  </si>
  <si>
    <t>43.2964642936651</t>
  </si>
  <si>
    <t>75.4016531897357</t>
  </si>
  <si>
    <t>26.4910898564523</t>
  </si>
  <si>
    <t>5.05534593106086</t>
  </si>
  <si>
    <t>6.00934430361066</t>
  </si>
  <si>
    <t>13.4305716350796</t>
  </si>
  <si>
    <t>22.6737374008784</t>
  </si>
  <si>
    <t>10.0764772448642</t>
  </si>
  <si>
    <t>21.1090500029288</t>
  </si>
  <si>
    <t>9.80432377665896</t>
  </si>
  <si>
    <t>22.3683414748423</t>
  </si>
  <si>
    <t>19.8584947707524</t>
  </si>
  <si>
    <t>23.8643811265432</t>
  </si>
  <si>
    <t>7.9213872023645</t>
  </si>
  <si>
    <t>0.686098874594009</t>
  </si>
  <si>
    <t>16.342766325307</t>
  </si>
  <si>
    <t>9.77845809675884</t>
  </si>
  <si>
    <t>9.94763670635021</t>
  </si>
  <si>
    <t>4.96474571561274</t>
  </si>
  <si>
    <t>4.66262291733076</t>
  </si>
  <si>
    <t>9.54367006412473</t>
  </si>
  <si>
    <t>11.1189180817699</t>
  </si>
  <si>
    <t>10.2284850865888</t>
  </si>
  <si>
    <t>10.384779195217</t>
  </si>
  <si>
    <t>7.84914204720589</t>
  </si>
  <si>
    <t>10.1310336867347</t>
  </si>
  <si>
    <t>11.3113349413983</t>
  </si>
  <si>
    <t>12.6218692275514</t>
  </si>
  <si>
    <t>-0.0473704865959803</t>
  </si>
  <si>
    <t>-0.535467332067512</t>
  </si>
  <si>
    <t>-0.408188198436292</t>
  </si>
  <si>
    <t>4.52064235997096</t>
  </si>
  <si>
    <t>0.840469556147781</t>
  </si>
  <si>
    <t>1.26633766945294</t>
  </si>
  <si>
    <t>4.48995933074603</t>
  </si>
  <si>
    <t>1.17181025802671</t>
  </si>
  <si>
    <t>2.43873520154077</t>
  </si>
  <si>
    <t>3.03165698893272</t>
  </si>
  <si>
    <t>4.2507346078021</t>
  </si>
  <si>
    <t>16.6642083456955</t>
  </si>
  <si>
    <t>21.7912860751004</t>
  </si>
  <si>
    <t>4.73203356391755</t>
  </si>
  <si>
    <t>10.4340024668453</t>
  </si>
  <si>
    <t>11.8524710366931</t>
  </si>
  <si>
    <t>3.77126646220695</t>
  </si>
  <si>
    <t>31.6584809381426</t>
  </si>
  <si>
    <t>36.9786279956529</t>
  </si>
  <si>
    <t>11.7211186604511</t>
  </si>
  <si>
    <t>16.7457158915983</t>
  </si>
  <si>
    <t>11.0019874269431</t>
  </si>
  <si>
    <t>38.9619986631186</t>
  </si>
  <si>
    <t>167.188970705237</t>
  </si>
  <si>
    <t>281.46019588996</t>
  </si>
  <si>
    <t>523.080952296512</t>
  </si>
  <si>
    <t>13611.6348185375</t>
  </si>
  <si>
    <t>4711.1695519693</t>
  </si>
  <si>
    <t>5016.10794966853</t>
  </si>
  <si>
    <t>4523.63188320193</t>
  </si>
  <si>
    <t>23.6653119189304</t>
  </si>
  <si>
    <t>20.3916252341633</t>
  </si>
  <si>
    <t>133.704797447439</t>
  </si>
  <si>
    <t>13.3926837744126</t>
  </si>
  <si>
    <t>9.77799319077701</t>
  </si>
  <si>
    <t>14.0284877552653</t>
  </si>
  <si>
    <t>9.22623262288718</t>
  </si>
  <si>
    <t>8.56622835977541</t>
  </si>
  <si>
    <t>7.24150933984416</t>
  </si>
  <si>
    <t>3.2483787442209</t>
  </si>
  <si>
    <t>5.33107719750952</t>
  </si>
  <si>
    <t>9.8670941490748</t>
  </si>
  <si>
    <t>7.86791204769719</t>
  </si>
  <si>
    <t>9.67486185633058</t>
  </si>
  <si>
    <t>16.1992534629853</t>
  </si>
  <si>
    <t>6.03484299071889</t>
  </si>
  <si>
    <t>6.13837855596503</t>
  </si>
  <si>
    <t>10.2142805344967</t>
  </si>
  <si>
    <t>6.24324468031767</t>
  </si>
  <si>
    <t>4.35018051670501</t>
  </si>
  <si>
    <t>8.39196021308561</t>
  </si>
  <si>
    <t>7.58928670486381</t>
  </si>
  <si>
    <t>4.59008266954466</t>
  </si>
  <si>
    <t>2.65847892308047</t>
  </si>
  <si>
    <t>5.3954978400473</t>
  </si>
  <si>
    <t>5.39260941499944</t>
  </si>
  <si>
    <t>3.54283387393042</t>
  </si>
  <si>
    <t>8.77765225788374</t>
  </si>
  <si>
    <t>10.6686540407565</t>
  </si>
  <si>
    <t>5.26405818110027</t>
  </si>
  <si>
    <t>0.758713635655269</t>
  </si>
  <si>
    <t>4.69947032510171</t>
  </si>
  <si>
    <t>8.67798875287136</t>
  </si>
  <si>
    <t>3.37180022366432</t>
  </si>
  <si>
    <t>5.98328850962173</t>
  </si>
  <si>
    <t>4.20761867643829</t>
  </si>
  <si>
    <t>6.40997200954247</t>
  </si>
  <si>
    <t>5.64489644330605</t>
  </si>
  <si>
    <t>8.79002977319404</t>
  </si>
  <si>
    <t>8.16162066320365</t>
  </si>
  <si>
    <t>8.48100107035738</t>
  </si>
  <si>
    <t>8.09538761783624</t>
  </si>
  <si>
    <t>8.99323645574216</t>
  </si>
  <si>
    <t>5.3446527569541</t>
  </si>
  <si>
    <t>5.33488852781443</t>
  </si>
  <si>
    <t>4.77105966501061</t>
  </si>
  <si>
    <t>6.2253721238593</t>
  </si>
  <si>
    <t>6.39009180782497</t>
  </si>
  <si>
    <t>4.62365582917046</t>
  </si>
  <si>
    <t>1.3890719517146</t>
  </si>
  <si>
    <t>2.30710875329765</t>
  </si>
  <si>
    <t>0.865883399038324</t>
  </si>
  <si>
    <t>0.211700333145743</t>
  </si>
  <si>
    <t>-1.04763464390855</t>
  </si>
  <si>
    <t>0.819637873624686</t>
  </si>
  <si>
    <t>1.34806864251394</t>
  </si>
  <si>
    <t>1.55975131522088</t>
  </si>
  <si>
    <t>3.11704982012309</t>
  </si>
  <si>
    <t>2.4957402786842</t>
  </si>
  <si>
    <t>1.59750899832183</t>
  </si>
  <si>
    <t>2.06273333126248</t>
  </si>
  <si>
    <t>2.06462364823628</t>
  </si>
  <si>
    <t>1.16576481634854</t>
  </si>
  <si>
    <t>2.69189094787261</t>
  </si>
  <si>
    <t>1.29981286933396</t>
  </si>
  <si>
    <t>4.37499191435413</t>
  </si>
  <si>
    <t>3.87769335501125</t>
  </si>
  <si>
    <t>1.19744967134802</t>
  </si>
  <si>
    <t>1.97959024518013</t>
  </si>
  <si>
    <t>2.57662102738342</t>
  </si>
  <si>
    <t>2.0494274704842</t>
  </si>
  <si>
    <t>2.41226622140465</t>
  </si>
  <si>
    <t>0.437660479367196</t>
  </si>
  <si>
    <t>0.710272896566892</t>
  </si>
  <si>
    <t>0.242655794971853</t>
  </si>
  <si>
    <t>1.32912975468633</t>
  </si>
  <si>
    <t>0.344077998493205</t>
  </si>
  <si>
    <t>0.888432968331628</t>
  </si>
  <si>
    <t>0.565543724908352</t>
  </si>
  <si>
    <t>1.4393271596339</t>
  </si>
  <si>
    <t>2.53340287057884</t>
  </si>
  <si>
    <t>3.02788368438249</t>
  </si>
  <si>
    <t>2.3557302816255</t>
  </si>
  <si>
    <t>2.74734323804928</t>
  </si>
  <si>
    <t>6.15557492580412</t>
  </si>
  <si>
    <t>7.343742684744</t>
  </si>
  <si>
    <t>2.64762523922111</t>
  </si>
  <si>
    <t>4.76642231309322</t>
  </si>
  <si>
    <t>3.39269846345005</t>
  </si>
  <si>
    <t>4.72213271659254</t>
  </si>
  <si>
    <t>4.7746348554103</t>
  </si>
  <si>
    <t>3.97708171789439</t>
  </si>
  <si>
    <t>2.96497542592881</t>
  </si>
  <si>
    <t>4.42387685275621</t>
  </si>
  <si>
    <t>4.19553762192982</t>
  </si>
  <si>
    <t>12.8745692234421</t>
  </si>
  <si>
    <t>6.38311475726425</t>
  </si>
  <si>
    <t>5.51748973687425</t>
  </si>
  <si>
    <t>8.68456500073631</t>
  </si>
  <si>
    <t>11.3720422702008</t>
  </si>
  <si>
    <t>8.88515437426281</t>
  </si>
  <si>
    <t>7.84057449369323</t>
  </si>
  <si>
    <t>8.16973427701291</t>
  </si>
  <si>
    <t>6.2604949104083</t>
  </si>
  <si>
    <t>5.70260051363493</t>
  </si>
  <si>
    <t>13.1264999792218</t>
  </si>
  <si>
    <t>12.879146874514</t>
  </si>
  <si>
    <t>10.5099726139037</t>
  </si>
  <si>
    <t>6.96215826330841</t>
  </si>
  <si>
    <t>6.21006186599382</t>
  </si>
  <si>
    <t>5.19792264477363</t>
  </si>
  <si>
    <t>-0.550799470861293</t>
  </si>
  <si>
    <t>7.2212546815901</t>
  </si>
  <si>
    <t>4.86846058528249</t>
  </si>
  <si>
    <t>5.61226799271172</t>
  </si>
  <si>
    <t>3.81157220338331</t>
  </si>
  <si>
    <t>2.21180066239859</t>
  </si>
  <si>
    <t>-0.639759770603149</t>
  </si>
  <si>
    <t>2.29292031803006</t>
  </si>
  <si>
    <t>-0.15599774778363</t>
  </si>
  <si>
    <t>3.06146949563878</t>
  </si>
  <si>
    <t>4.2614956184686</t>
  </si>
  <si>
    <t>2.7857106919765</t>
  </si>
  <si>
    <t>-0.692592276644049</t>
  </si>
  <si>
    <t>6.62302293772699</t>
  </si>
  <si>
    <t>15.3333099619942</t>
  </si>
  <si>
    <t>1.71264025643715</t>
  </si>
  <si>
    <t>-1.52020671606276</t>
  </si>
  <si>
    <t>2.86082328613723</t>
  </si>
  <si>
    <t>5.85020582146653</t>
  </si>
  <si>
    <t>8.76300414146252</t>
  </si>
  <si>
    <t>8.73218824235802</t>
  </si>
  <si>
    <t>3.07766200410229</t>
  </si>
  <si>
    <t>10.5663830343854</t>
  </si>
  <si>
    <t>-5.11594400838129</t>
  </si>
  <si>
    <t>5.95536133797087</t>
  </si>
  <si>
    <t>6.67279000191441</t>
  </si>
  <si>
    <t>3.35308930089886</t>
  </si>
  <si>
    <t>2.5532389173337</t>
  </si>
  <si>
    <t>0.258332848947191</t>
  </si>
  <si>
    <t>-2.80446812171388</t>
  </si>
  <si>
    <t>-1.59809716352439</t>
  </si>
  <si>
    <t>4.08094934122931</t>
  </si>
  <si>
    <t>6.74295724699287</t>
  </si>
  <si>
    <t>-0.548467415755809</t>
  </si>
  <si>
    <t>-2.51726059053333</t>
  </si>
  <si>
    <t>20.2134754838135</t>
  </si>
  <si>
    <t>28.1618243830717</t>
  </si>
  <si>
    <t>-10.6191584030873</t>
  </si>
  <si>
    <t>2.68799998999224</t>
  </si>
  <si>
    <t>5.89709100396981</t>
  </si>
  <si>
    <t>3.56992506389362</t>
  </si>
  <si>
    <t>1.19471968093239</t>
  </si>
  <si>
    <t>12.8851939564194</t>
  </si>
  <si>
    <t>15.2188135078087</t>
  </si>
  <si>
    <t>-5.66766503519297</t>
  </si>
  <si>
    <t>11.0658262037731</t>
  </si>
  <si>
    <t>6.56383107945592</t>
  </si>
  <si>
    <t>7.04833083717027</t>
  </si>
  <si>
    <t>12.5026833431901</t>
  </si>
  <si>
    <t>-3.39730559511024</t>
  </si>
  <si>
    <t>20.8256695328731</t>
  </si>
  <si>
    <t>27.5227469848097</t>
  </si>
  <si>
    <t>0.544042340123042</t>
  </si>
  <si>
    <t>-3.56482156431689</t>
  </si>
  <si>
    <t>9.37120691339739</t>
  </si>
  <si>
    <t>9.97836342640623</t>
  </si>
  <si>
    <t>7.60954655227242</t>
  </si>
  <si>
    <t>7.93735640756323</t>
  </si>
  <si>
    <t>9.34740967374591</t>
  </si>
  <si>
    <t>12.2886910970154</t>
  </si>
  <si>
    <t>6.37794997349069</t>
  </si>
  <si>
    <t>11.4218327560807</t>
  </si>
  <si>
    <t>14.3925700792006</t>
  </si>
  <si>
    <t>12.6968018676643</t>
  </si>
  <si>
    <t>11.8153101962302</t>
  </si>
  <si>
    <t>11.2583729111903</t>
  </si>
  <si>
    <t>12.5446382094284</t>
  </si>
  <si>
    <t>18.4890946304574</t>
  </si>
  <si>
    <t>4.81598620107833</t>
  </si>
  <si>
    <t>6.30086155027618</t>
  </si>
  <si>
    <t>7.82303556124735</t>
  </si>
  <si>
    <t>4.10785067628581</t>
  </si>
  <si>
    <t>8.88704742573556</t>
  </si>
  <si>
    <t>4.47243371871953</t>
  </si>
  <si>
    <t>11.0171482958921</t>
  </si>
  <si>
    <t>3.93485789816799</t>
  </si>
  <si>
    <t>3.07030496732148</t>
  </si>
  <si>
    <t>4.16642715074835</t>
  </si>
  <si>
    <t>6.11939040793636</t>
  </si>
  <si>
    <t>7.36003927902544</t>
  </si>
  <si>
    <t>7.60328894061151</t>
  </si>
  <si>
    <t>5.61985452382142</t>
  </si>
  <si>
    <t>15.9083302102455</t>
  </si>
  <si>
    <t>15.1469324490072</t>
  </si>
  <si>
    <t>26.3973066649675</t>
  </si>
  <si>
    <t>7.7411500296797</t>
  </si>
  <si>
    <t>7.08265099891379</t>
  </si>
  <si>
    <t>8.03536619587905</t>
  </si>
  <si>
    <t>4.40904543328786</t>
  </si>
  <si>
    <t>7.15033478751282</t>
  </si>
  <si>
    <t>8.26141254915089</t>
  </si>
  <si>
    <t>4.3558584680418</t>
  </si>
  <si>
    <t>4.69115593292496</t>
  </si>
  <si>
    <t>6.76271216331268</t>
  </si>
  <si>
    <t>5.41614518486134</t>
  </si>
  <si>
    <t>5.14286073912034</t>
  </si>
  <si>
    <t>6.52173562058233</t>
  </si>
  <si>
    <t>8.16326580881083</t>
  </si>
  <si>
    <t>14.6226405390999</t>
  </si>
  <si>
    <t>16.8724319724951</t>
  </si>
  <si>
    <t>11.9718288943433</t>
  </si>
  <si>
    <t>13.5220125448975</t>
  </si>
  <si>
    <t>8.03324322683608</t>
  </si>
  <si>
    <t>8.71794652777136</t>
  </si>
  <si>
    <t>10.8490566568506</t>
  </si>
  <si>
    <t>8.72340463880981</t>
  </si>
  <si>
    <t>10.763208429166</t>
  </si>
  <si>
    <t>11.1307419049495</t>
  </si>
  <si>
    <t>3.97456363165102</t>
  </si>
  <si>
    <t>6.57492344872388</t>
  </si>
  <si>
    <t>8.46484893714745</t>
  </si>
  <si>
    <t>9.25925908812432</t>
  </si>
  <si>
    <t>7.1428566705312</t>
  </si>
  <si>
    <t>7.57062199462362</t>
  </si>
  <si>
    <t>12.6000008436331</t>
  </si>
  <si>
    <t>14.4164590892342</t>
  </si>
  <si>
    <t>18.6239090610103</t>
  </si>
  <si>
    <t>11.1110758730179</t>
  </si>
  <si>
    <t>-3.5678536250408</t>
  </si>
  <si>
    <t>1.76808993287383</t>
  </si>
  <si>
    <t>4.05426285270553</t>
  </si>
  <si>
    <t>6.12224108311705</t>
  </si>
  <si>
    <t>3.93361232629911</t>
  </si>
  <si>
    <t>5.56672031858585</t>
  </si>
  <si>
    <t>5.38909552012883</t>
  </si>
  <si>
    <t>5.88506050010447</t>
  </si>
  <si>
    <t>5.61347164645613</t>
  </si>
  <si>
    <t>5.6294038488258</t>
  </si>
  <si>
    <t>-6.64472720910587</t>
  </si>
  <si>
    <t>-9.99620112441151</t>
  </si>
  <si>
    <t>-4.4409615202524</t>
  </si>
  <si>
    <t>20.3077706451703</t>
  </si>
  <si>
    <t>51.4150179185101</t>
  </si>
  <si>
    <t>-9.85579007730527</t>
  </si>
  <si>
    <t>7.45389470490414</t>
  </si>
  <si>
    <t>17.5446496245365</t>
  </si>
  <si>
    <t>-9.19198932147347</t>
  </si>
  <si>
    <t>0.427698869811181</t>
  </si>
  <si>
    <t>-8.18935000109762</t>
  </si>
  <si>
    <t>26.2510936824673</t>
  </si>
  <si>
    <t>14.9235600448444</t>
  </si>
  <si>
    <t>18.4724386773845</t>
  </si>
  <si>
    <t>-4.72850619813472</t>
  </si>
  <si>
    <t>4.33105392665381</t>
  </si>
  <si>
    <t>18.0815764631453</t>
  </si>
  <si>
    <t>-10.8014231608239</t>
  </si>
  <si>
    <t>5.37381833304376</t>
  </si>
  <si>
    <t>0.212462103298307</t>
  </si>
  <si>
    <t>4.51697975882783</t>
  </si>
  <si>
    <t>2.95556219747486</t>
  </si>
  <si>
    <t>3.26532605688483</t>
  </si>
  <si>
    <t>1.8591513315108</t>
  </si>
  <si>
    <t>-2.39768040307999</t>
  </si>
  <si>
    <t>8.70035317942425</t>
  </si>
  <si>
    <t>5.80988588925733</t>
  </si>
  <si>
    <t>0.925706681679401</t>
  </si>
  <si>
    <t>13.3055904237269</t>
  </si>
  <si>
    <t>13.8802685774048</t>
  </si>
  <si>
    <t>9.24358921672727</t>
  </si>
  <si>
    <t>8.42515743322056</t>
  </si>
  <si>
    <t>3.66618975233403</t>
  </si>
  <si>
    <t>14.6259069090115</t>
  </si>
  <si>
    <t>21.4918702352233</t>
  </si>
  <si>
    <t>16.6141008823009</t>
  </si>
  <si>
    <t>12.9815367476417</t>
  </si>
  <si>
    <t>14.2253137676946</t>
  </si>
  <si>
    <t>14.9044106798456</t>
  </si>
  <si>
    <t>16.3473024112433</t>
  </si>
  <si>
    <t>12.0854104290169</t>
  </si>
  <si>
    <t>7.72549325901899</t>
  </si>
  <si>
    <t>7.79879139758481</t>
  </si>
  <si>
    <t>13.6342131903002</t>
  </si>
  <si>
    <t>16.9483353075472</t>
  </si>
  <si>
    <t>11.4701482050531</t>
  </si>
  <si>
    <t>7.90848888018445</t>
  </si>
  <si>
    <t>5.63955099509199</t>
  </si>
  <si>
    <t>2.42360298081108</t>
  </si>
  <si>
    <t>0.890259839383205</t>
  </si>
  <si>
    <t>2.00148548417039</t>
  </si>
  <si>
    <t>1.47921607543869</t>
  </si>
  <si>
    <t>1.90731494852355</t>
  </si>
  <si>
    <t>1.43061314529479</t>
  </si>
  <si>
    <t>1.39407013118394</t>
  </si>
  <si>
    <t>1.5619275338703</t>
  </si>
  <si>
    <t>1.05051916353243</t>
  </si>
  <si>
    <t>0.586374712045028</t>
  </si>
  <si>
    <t>3.860915720368</t>
  </si>
  <si>
    <t>0.2980563329034</t>
  </si>
  <si>
    <t>2.06841724107821</t>
  </si>
  <si>
    <t>2.75872189971244</t>
  </si>
  <si>
    <t>2.00026845094881</t>
  </si>
  <si>
    <t>2.70983434239326</t>
  </si>
  <si>
    <t>5.31623899608735</t>
  </si>
  <si>
    <t>2.73752516653451</t>
  </si>
  <si>
    <t>2.64088765137211</t>
  </si>
  <si>
    <t>3.15959278016349</t>
  </si>
  <si>
    <t>2.46773450113406</t>
  </si>
  <si>
    <t>-0.189641681425684</t>
  </si>
  <si>
    <t>4.1610248197395</t>
  </si>
  <si>
    <t>0.481109438978876</t>
  </si>
  <si>
    <t>1.44403850036466</t>
  </si>
  <si>
    <t>2.41043257431994</t>
  </si>
  <si>
    <t>3.61693254394582</t>
  </si>
  <si>
    <t>1.7531271050093</t>
  </si>
  <si>
    <t>3.08556630950096</t>
  </si>
  <si>
    <t>1.95515165378657</t>
  </si>
  <si>
    <t>4.57816245517681</t>
  </si>
  <si>
    <t>5.58708755877011</t>
  </si>
  <si>
    <t>4.11785566096488</t>
  </si>
  <si>
    <t>14.5124020104256</t>
  </si>
  <si>
    <t>6.57120635454622</t>
  </si>
  <si>
    <t>7.91405877661215</t>
  </si>
  <si>
    <t>4.83922019842132</t>
  </si>
  <si>
    <t>4.85649706601522</t>
  </si>
  <si>
    <t>3.5424254457424</t>
  </si>
  <si>
    <t>4.5633501290565</t>
  </si>
  <si>
    <t>3.93166701437945</t>
  </si>
  <si>
    <t>2.76990560782146</t>
  </si>
  <si>
    <t>2.05581175615057</t>
  </si>
  <si>
    <t>3.14175617571788</t>
  </si>
  <si>
    <t>3.38765923259835</t>
  </si>
  <si>
    <t>2.89700538920623</t>
  </si>
  <si>
    <t>2.6239339665235</t>
  </si>
  <si>
    <t>3.04306867265635</t>
  </si>
  <si>
    <t>2.77225765626199</t>
  </si>
  <si>
    <t>2.84398835121183</t>
  </si>
  <si>
    <t>3.0220037134952</t>
  </si>
  <si>
    <t>3.19958985453628</t>
  </si>
  <si>
    <t>1.77388034990435</t>
  </si>
  <si>
    <t>1.21932092930813</t>
  </si>
  <si>
    <t>1.83393192513095</t>
  </si>
  <si>
    <t>1.70288157357541</t>
  </si>
  <si>
    <t>1.36214927755531</t>
  </si>
  <si>
    <t>1.31357279885778</t>
  </si>
  <si>
    <t>0.968898411539399</t>
  </si>
  <si>
    <t>1.7805030671733</t>
  </si>
  <si>
    <t>1.8948309379242</t>
  </si>
  <si>
    <t>2.23576980098328</t>
  </si>
  <si>
    <t>1.83958203863173</t>
  </si>
  <si>
    <t>2.76592557001649</t>
  </si>
  <si>
    <t>6.50717150976458</t>
  </si>
  <si>
    <t>6.00873959915159</t>
  </si>
  <si>
    <t>2.00213410953609</t>
  </si>
  <si>
    <t>2.60017386979384</t>
  </si>
  <si>
    <t>1.85247784939666</t>
  </si>
  <si>
    <t>-99.9998981937487</t>
  </si>
  <si>
    <t>1.78241709916608</t>
  </si>
  <si>
    <t>-3.54261678491228</t>
  </si>
  <si>
    <t>11.5165806535114</t>
  </si>
  <si>
    <t>1.11297596026634</t>
  </si>
  <si>
    <t>-6.22950123380438</t>
  </si>
  <si>
    <t>16.0920634078247</t>
  </si>
  <si>
    <t>2.48097456677132</t>
  </si>
  <si>
    <t>40.3094896084054</t>
  </si>
  <si>
    <t>200.986380572789</t>
  </si>
  <si>
    <t>2.37423396230683</t>
  </si>
  <si>
    <t>1.30002079618959</t>
  </si>
  <si>
    <t>6.00009609147114</t>
  </si>
  <si>
    <t>3.80228395542908</t>
  </si>
  <si>
    <t>30.5822734635355</t>
  </si>
  <si>
    <t>51.1050335215514</t>
  </si>
  <si>
    <t>3.67986010631085</t>
  </si>
  <si>
    <t>-6.72021067534806</t>
  </si>
  <si>
    <t>-9.9990244231446</t>
  </si>
  <si>
    <t>-4.71829853458684</t>
  </si>
  <si>
    <t>-0.512003458213925</t>
  </si>
  <si>
    <t>-20.6347047658614</t>
  </si>
  <si>
    <t>11.1778505668217</t>
  </si>
  <si>
    <t>1.31896903735725</t>
  </si>
  <si>
    <t>-2.74846726711075E-07</t>
  </si>
  <si>
    <t>42.2045633705216</t>
  </si>
  <si>
    <t>-8.50226815959489</t>
  </si>
  <si>
    <t>1.27341918830371</t>
  </si>
  <si>
    <t>-5.38734813546758</t>
  </si>
  <si>
    <t>-0.451589791131724</t>
  </si>
  <si>
    <t>1.75870855197356</t>
  </si>
  <si>
    <t>7.41278125211353</t>
  </si>
  <si>
    <t>-2.23414569391046</t>
  </si>
  <si>
    <t>-11.0016868259248</t>
  </si>
  <si>
    <t>10.8178845984051</t>
  </si>
  <si>
    <t>17.5450242892462</t>
  </si>
  <si>
    <t>-4.64092904518107</t>
  </si>
  <si>
    <t>4.69302270866596</t>
  </si>
  <si>
    <t>9.63837179762082</t>
  </si>
  <si>
    <t>12.496505503059</t>
  </si>
  <si>
    <t>21.7335605056957</t>
  </si>
  <si>
    <t>14.5637976064378</t>
  </si>
  <si>
    <t>8.05872640599689</t>
  </si>
  <si>
    <t>32.649751638965</t>
  </si>
  <si>
    <t>-25.042152466224</t>
  </si>
  <si>
    <t>14.3749912143336</t>
  </si>
  <si>
    <t>15.884491777402</t>
  </si>
  <si>
    <t>3.60643426874947</t>
  </si>
  <si>
    <t>-2.22041185302194</t>
  </si>
  <si>
    <t>1.75729954907395</t>
  </si>
  <si>
    <t>-19.1464725188166</t>
  </si>
  <si>
    <t>-9.13627527605452</t>
  </si>
  <si>
    <t>7.29794329780007</t>
  </si>
  <si>
    <t>11.7322946084517</t>
  </si>
  <si>
    <t>-2.66623355343535</t>
  </si>
  <si>
    <t>-10.7835605977296</t>
  </si>
  <si>
    <t>12.1410502759484</t>
  </si>
  <si>
    <t>-4.05592540343423</t>
  </si>
  <si>
    <t>5.31241229954517</t>
  </si>
  <si>
    <t>4.64999857278234</t>
  </si>
  <si>
    <t>4.73692143521384</t>
  </si>
  <si>
    <t>2.99889591177187</t>
  </si>
  <si>
    <t>3.61316135426739</t>
  </si>
  <si>
    <t>7.25676387978855</t>
  </si>
  <si>
    <t>1.71530423138522</t>
  </si>
  <si>
    <t>1.71375418988004</t>
  </si>
  <si>
    <t>1.69745580060584</t>
  </si>
  <si>
    <t>2.13930446304795</t>
  </si>
  <si>
    <t>2.34795412661009</t>
  </si>
  <si>
    <t>1.6861197656476</t>
  </si>
  <si>
    <t>0.711504736106924</t>
  </si>
  <si>
    <t>3.10055552394109</t>
  </si>
  <si>
    <t>7.26892420151597</t>
  </si>
  <si>
    <t>3.6464612869908</t>
  </si>
  <si>
    <t>0.15994817784113</t>
  </si>
  <si>
    <t>-1.14926605359558</t>
  </si>
  <si>
    <t>4.48844647762694</t>
  </si>
  <si>
    <t>3.16588265326953</t>
  </si>
  <si>
    <t>7.93964176578655</t>
  </si>
  <si>
    <t>0.469288568160579</t>
  </si>
  <si>
    <t>2.33557140665688</t>
  </si>
  <si>
    <t>3.70835302221934</t>
  </si>
  <si>
    <t>5.87049050522882</t>
  </si>
  <si>
    <t>6.77457514090587</t>
  </si>
  <si>
    <t>15.3014735391953</t>
  </si>
  <si>
    <t>26.0737017851048</t>
  </si>
  <si>
    <t>21.0980989103114</t>
  </si>
  <si>
    <t>11.5024598958441</t>
  </si>
  <si>
    <t>10.5066658939728</t>
  </si>
  <si>
    <t>6.53340007196972</t>
  </si>
  <si>
    <t>9.00820936080011</t>
  </si>
  <si>
    <t>10.07733957615</t>
  </si>
  <si>
    <t>9.37164773700086</t>
  </si>
  <si>
    <t>5.27408362910936</t>
  </si>
  <si>
    <t>9.65355445236982</t>
  </si>
  <si>
    <t>4.53494278712353</t>
  </si>
  <si>
    <t>3.29200083720301</t>
  </si>
  <si>
    <t>4.51820577774291</t>
  </si>
  <si>
    <t>8.58504801719344</t>
  </si>
  <si>
    <t>6.45199916790979</t>
  </si>
  <si>
    <t>10.2014077626019</t>
  </si>
  <si>
    <t>8.83855312769657</t>
  </si>
  <si>
    <t>13.0284160490462</t>
  </si>
  <si>
    <t>13.0064844675074</t>
  </si>
  <si>
    <t>8.37360999459469</t>
  </si>
  <si>
    <t>13.3835146386713</t>
  </si>
  <si>
    <t>7.52603689563375</t>
  </si>
  <si>
    <t>5.8622861838065</t>
  </si>
  <si>
    <t>68.0104449967103</t>
  </si>
  <si>
    <t>3.55265807996106</t>
  </si>
  <si>
    <t>5.55608176808067</t>
  </si>
  <si>
    <t>5.99763817670407</t>
  </si>
  <si>
    <t>10.3313245916728</t>
  </si>
  <si>
    <t>10.9204672720775</t>
  </si>
  <si>
    <t>12.3746262931271</t>
  </si>
  <si>
    <t>10.5886442624245</t>
  </si>
  <si>
    <t>16.4109562675144</t>
  </si>
  <si>
    <t>9.91831543776397</t>
  </si>
  <si>
    <t>7.38310696738498</t>
  </si>
  <si>
    <t>7.20976543926079</t>
  </si>
  <si>
    <t>4.44198033438504</t>
  </si>
  <si>
    <t>0.922163326262009</t>
  </si>
  <si>
    <t>3.84178663274797</t>
  </si>
  <si>
    <t>9.03633484170507</t>
  </si>
  <si>
    <t>9.9444982105729</t>
  </si>
  <si>
    <t>10.2673420806694</t>
  </si>
  <si>
    <t>13.9370112392938</t>
  </si>
  <si>
    <t>25.9997683355601</t>
  </si>
  <si>
    <t>0.534928534021446</t>
  </si>
  <si>
    <t>0.571618689181335</t>
  </si>
  <si>
    <t>2.11645751472098</t>
  </si>
  <si>
    <t>0.620057281673652</t>
  </si>
  <si>
    <t>1.27763205395767</t>
  </si>
  <si>
    <t>2.58867285459023</t>
  </si>
  <si>
    <t>0.564117762625756</t>
  </si>
  <si>
    <t>1.20819233376371</t>
  </si>
  <si>
    <t>3.42243779445153</t>
  </si>
  <si>
    <t>2.90333953295747</t>
  </si>
  <si>
    <t>4.99802093983428</t>
  </si>
  <si>
    <t>8.5422257938265</t>
  </si>
  <si>
    <t>11.6113797522332</t>
  </si>
  <si>
    <t>9.38283447974541</t>
  </si>
  <si>
    <t>4.53451187824531</t>
  </si>
  <si>
    <t>4.65679533791669</t>
  </si>
  <si>
    <t>7.92135641861339</t>
  </si>
  <si>
    <t>9.24521795879687</t>
  </si>
  <si>
    <t>10.1405046858082</t>
  </si>
  <si>
    <t>3.64216561534043</t>
  </si>
  <si>
    <t>4.87168495435731</t>
  </si>
  <si>
    <t>7.49695684357694</t>
  </si>
  <si>
    <t>1.62926324014725</t>
  </si>
  <si>
    <t>0.809565223752884</t>
  </si>
  <si>
    <t>0.338449387940813</t>
  </si>
  <si>
    <t>2.28930264704302</t>
  </si>
  <si>
    <t>-0.191929164063993</t>
  </si>
  <si>
    <t>-1.27655820026008</t>
  </si>
  <si>
    <t>0.565205373991844</t>
  </si>
  <si>
    <t>0.492796333797656</t>
  </si>
  <si>
    <t>5.06105950933117</t>
  </si>
  <si>
    <t>3.55470473077992</t>
  </si>
  <si>
    <t>3.67974541012374</t>
  </si>
  <si>
    <t>0.46670710183605</t>
  </si>
  <si>
    <t>1.94661697632883</t>
  </si>
  <si>
    <t>1.53748789041086</t>
  </si>
  <si>
    <t>1.0733252297928</t>
  </si>
  <si>
    <t>0.576570618266743</t>
  </si>
  <si>
    <t>-1.5225069769965</t>
  </si>
  <si>
    <t>1.42993519284018</t>
  </si>
  <si>
    <t>1.91506960942129</t>
  </si>
  <si>
    <t>1.11618169270888</t>
  </si>
  <si>
    <t>2.61338497264867</t>
  </si>
  <si>
    <t>1.67574346218669</t>
  </si>
  <si>
    <t>2.17470348387079</t>
  </si>
  <si>
    <t>2.85775121870825</t>
  </si>
  <si>
    <t>7.47647273606333</t>
  </si>
  <si>
    <t>6.3334085999842</t>
  </si>
  <si>
    <t>2.55070367962715</t>
  </si>
  <si>
    <t>6.31829463661421</t>
  </si>
  <si>
    <t>6.15793630878711</t>
  </si>
  <si>
    <t>4.69411939871949</t>
  </si>
  <si>
    <t>3.01478936555419</t>
  </si>
  <si>
    <t>2.47501533207914</t>
  </si>
  <si>
    <t>1.7946937582834</t>
  </si>
  <si>
    <t>0.700536904723975</t>
  </si>
  <si>
    <t>0.538350741190015</t>
  </si>
  <si>
    <t>-0.494685753745316</t>
  </si>
  <si>
    <t>1.41511725950885</t>
  </si>
  <si>
    <t>2.17180785976841</t>
  </si>
  <si>
    <t>1.70673831397947</t>
  </si>
  <si>
    <t>5.01379927326985</t>
  </si>
  <si>
    <t>13.5575943541509</t>
  </si>
  <si>
    <t>12.2779613605507</t>
  </si>
  <si>
    <t>9.31690649743821</t>
  </si>
  <si>
    <t>10.1151075088395</t>
  </si>
  <si>
    <t>18.2957936928704</t>
  </si>
  <si>
    <t>8.13843047635075</t>
  </si>
  <si>
    <t>11.9810899436794</t>
  </si>
  <si>
    <t>6.6403424278693</t>
  </si>
  <si>
    <t>15.2334353295267</t>
  </si>
  <si>
    <t>22.1915677695573</t>
  </si>
  <si>
    <t>29.7129225778515</t>
  </si>
  <si>
    <t>35.7413412209627</t>
  </si>
  <si>
    <t>63.7382173530773</t>
  </si>
  <si>
    <t>76.3498454543302</t>
  </si>
  <si>
    <t>37.9299731158551</t>
  </si>
  <si>
    <t>65.3305809360656</t>
  </si>
  <si>
    <t>66.6633331445568</t>
  </si>
  <si>
    <t>107.39685323913</t>
  </si>
  <si>
    <t>108.477533234604</t>
  </si>
  <si>
    <t>165.734972479311</t>
  </si>
  <si>
    <t>68.3635139565209</t>
  </si>
  <si>
    <t>85.6496433040751</t>
  </si>
  <si>
    <t>586.278731131526</t>
  </si>
  <si>
    <t>2572.32592620979</t>
  </si>
  <si>
    <t>6261.2395586103</t>
  </si>
  <si>
    <t>378.040578709772</t>
  </si>
  <si>
    <t>69.2606176237553</t>
  </si>
  <si>
    <t>46.384682865327</t>
  </si>
  <si>
    <t>26.6882412349405</t>
  </si>
  <si>
    <t>13.5787978771502</t>
  </si>
  <si>
    <t>9.6877419612148</t>
  </si>
  <si>
    <t>7.28313112865612</t>
  </si>
  <si>
    <t>2.9345454117468</t>
  </si>
  <si>
    <t>3.5247200388048</t>
  </si>
  <si>
    <t>0.455248302902049</t>
  </si>
  <si>
    <t>0.109017023785512</t>
  </si>
  <si>
    <t>1.80372466534129</t>
  </si>
  <si>
    <t>6.27903857710506</t>
  </si>
  <si>
    <t>3.50372240049859</t>
  </si>
  <si>
    <t>7.65624807889682</t>
  </si>
  <si>
    <t>1.49067595453904</t>
  </si>
  <si>
    <t>1.10327629202855</t>
  </si>
  <si>
    <t>2.06369833440615</t>
  </si>
  <si>
    <t>5.71072859407522</t>
  </si>
  <si>
    <t>6.7457871247569</t>
  </si>
  <si>
    <t>1.20258494022738</t>
  </si>
  <si>
    <t>1.05723435149577</t>
  </si>
  <si>
    <t>2.43244108501779</t>
  </si>
  <si>
    <t>2.69052090074331</t>
  </si>
  <si>
    <t>3.08088269037734</t>
  </si>
  <si>
    <t>3.61565826105974</t>
  </si>
  <si>
    <t>1.87221626775495</t>
  </si>
  <si>
    <t>3.71917119669504</t>
  </si>
  <si>
    <t>10.0831018285055</t>
  </si>
  <si>
    <t>4.76646193670118</t>
  </si>
  <si>
    <t>6.56634363134418</t>
  </si>
  <si>
    <t>3.11570923765869</t>
  </si>
  <si>
    <t>6.72768381636621</t>
  </si>
  <si>
    <t>8.90967246210445</t>
  </si>
  <si>
    <t>4.58145277400726</t>
  </si>
  <si>
    <t>3.88983170140634</t>
  </si>
  <si>
    <t>5.36747450436954</t>
  </si>
  <si>
    <t>2.12038564955191</t>
  </si>
  <si>
    <t>6.39240438553601</t>
  </si>
  <si>
    <t>5.91110577625911</t>
  </si>
  <si>
    <t>15.3021832828781</t>
  </si>
  <si>
    <t>14.518766729625</t>
  </si>
  <si>
    <t>6.57683199239662</t>
  </si>
  <si>
    <t>17.1078394235249</t>
  </si>
  <si>
    <t>32.8902841567233</t>
  </si>
  <si>
    <t>9.47960394130902</t>
  </si>
  <si>
    <t>8.3828496932362</t>
  </si>
  <si>
    <t>8.36680465547079</t>
  </si>
  <si>
    <t>9.35615313007767</t>
  </si>
  <si>
    <t>14.9409675946119</t>
  </si>
  <si>
    <t>14.2345925132413</t>
  </si>
  <si>
    <t>11.7647469937479</t>
  </si>
  <si>
    <t>8.64350807450943</t>
  </si>
  <si>
    <t>14.2482177757951</t>
  </si>
  <si>
    <t>52.9594507195583</t>
  </si>
  <si>
    <t>17.0610147409175</t>
  </si>
  <si>
    <t>2.89193638813423</t>
  </si>
  <si>
    <t>9.75995911860829</t>
  </si>
  <si>
    <t>9.09994145026529</t>
  </si>
  <si>
    <t>12.956838354491</t>
  </si>
  <si>
    <t>16.3951196436515</t>
  </si>
  <si>
    <t>7.88186381097083</t>
  </si>
  <si>
    <t>6.80962198656768</t>
  </si>
  <si>
    <t>10.0602305107947</t>
  </si>
  <si>
    <t>7.64230385497558</t>
  </si>
  <si>
    <t>7.68896547846228</t>
  </si>
  <si>
    <t>6.25981575579399</t>
  </si>
  <si>
    <t>10.4056703614173</t>
  </si>
  <si>
    <t>5.81693355937276</t>
  </si>
  <si>
    <t>5.61886226576264</t>
  </si>
  <si>
    <t>3.19213132949372</t>
  </si>
  <si>
    <t>5.89075853406953</t>
  </si>
  <si>
    <t>5.91089344785409</t>
  </si>
  <si>
    <t>5.11158666295037</t>
  </si>
  <si>
    <t>3.16428975494875</t>
  </si>
  <si>
    <t>7.17921618315836</t>
  </si>
  <si>
    <t>2.73825856642382</t>
  </si>
  <si>
    <t>4.37088435978275</t>
  </si>
  <si>
    <t>3.91880578110506</t>
  </si>
  <si>
    <t>1.99417610100127</t>
  </si>
  <si>
    <t>2.06106335042293</t>
  </si>
  <si>
    <t>3.05305530800513</t>
  </si>
  <si>
    <t>-0.719682789326697</t>
  </si>
  <si>
    <t>1.2803117382459</t>
  </si>
  <si>
    <t>2.32025994680146</t>
  </si>
  <si>
    <t>0.697076301045342</t>
  </si>
  <si>
    <t>1.6504901854719</t>
  </si>
  <si>
    <t>2.2824784602486</t>
  </si>
  <si>
    <t>5.48864820202009</t>
  </si>
  <si>
    <t>4.59648506190769</t>
  </si>
  <si>
    <t>9.75348475785884</t>
  </si>
  <si>
    <t>9.46045729712708</t>
  </si>
  <si>
    <t>9.63354547123771</t>
  </si>
  <si>
    <t>9.77770883572411</t>
  </si>
  <si>
    <t>9.99814508278358</t>
  </si>
  <si>
    <t>7.99999690059391</t>
  </si>
  <si>
    <t>10.5000042462714</t>
  </si>
  <si>
    <t>10.4999977208709</t>
  </si>
  <si>
    <t>10.5000011674144</t>
  </si>
  <si>
    <t>10.4999990927422</t>
  </si>
  <si>
    <t>10.4999995379367</t>
  </si>
  <si>
    <t>7.99999968992616</t>
  </si>
  <si>
    <t>7.99999880859052</t>
  </si>
  <si>
    <t>8.00000187369983</t>
  </si>
  <si>
    <t>7.99999895133836</t>
  </si>
  <si>
    <t>8.00000063332963</t>
  </si>
  <si>
    <t>8.00000001460832</t>
  </si>
  <si>
    <t>7.99999995004426</t>
  </si>
  <si>
    <t>8.00000012683635</t>
  </si>
  <si>
    <t>3.96164537423711</t>
  </si>
  <si>
    <t>5.0489094488744</t>
  </si>
  <si>
    <t>4.97507319933884</t>
  </si>
  <si>
    <t>2.55225115900619</t>
  </si>
  <si>
    <t>2.81281882646702</t>
  </si>
  <si>
    <t>2.91169579777252</t>
  </si>
  <si>
    <t>2.27775050392867</t>
  </si>
  <si>
    <t>1.59578917040714</t>
  </si>
  <si>
    <t>2.25285666679285</t>
  </si>
  <si>
    <t>6.46791743257593</t>
  </si>
  <si>
    <t>0.123871349178643</t>
  </si>
  <si>
    <t>-2.85840878834502</t>
  </si>
  <si>
    <t>-1.81829238634811</t>
  </si>
  <si>
    <t>3.57521516031211</t>
  </si>
  <si>
    <t>11.0280736019423</t>
  </si>
  <si>
    <t>1.50287468168901</t>
  </si>
  <si>
    <t>1.9417434622127</t>
  </si>
  <si>
    <t>5.95222491574863</t>
  </si>
  <si>
    <t>1.84210839347756</t>
  </si>
  <si>
    <t>-0.0645398446834378</t>
  </si>
  <si>
    <t>0.540086169407502</t>
  </si>
  <si>
    <t>7.14900851582783</t>
  </si>
  <si>
    <t>7.71202544661706</t>
  </si>
  <si>
    <t>5.97861846793357</t>
  </si>
  <si>
    <t>7.46603050286012</t>
  </si>
  <si>
    <t>-1.03886801058309</t>
  </si>
  <si>
    <t>0.920598423666746</t>
  </si>
  <si>
    <t>-2.48399540230776</t>
  </si>
  <si>
    <t>-2.27744753063782</t>
  </si>
  <si>
    <t>5.59286809408013</t>
  </si>
  <si>
    <t>9.86330040028969</t>
  </si>
  <si>
    <t>8.24167046557693</t>
  </si>
  <si>
    <t>0.0362766822397731</t>
  </si>
  <si>
    <t>0.286504137513433</t>
  </si>
  <si>
    <t>1.5257202941325</t>
  </si>
  <si>
    <t>1.90000000259982</t>
  </si>
  <si>
    <t>2.23160142315734</t>
  </si>
  <si>
    <t>7.36065437378709</t>
  </si>
  <si>
    <t>8.557463493269</t>
  </si>
  <si>
    <t>5.24928800153106</t>
  </si>
  <si>
    <t>4.93753964402212</t>
  </si>
  <si>
    <t>7.13256642896076</t>
  </si>
  <si>
    <t>19.7375060864035</t>
  </si>
  <si>
    <t>8.92002689753244</t>
  </si>
  <si>
    <t>2.26931250527028</t>
  </si>
  <si>
    <t>19.7180633966565</t>
  </si>
  <si>
    <t>7.43782515703944</t>
  </si>
  <si>
    <t>-2.03047314024751</t>
  </si>
  <si>
    <t>16.0998420454896</t>
  </si>
  <si>
    <t>7.09131507200217</t>
  </si>
  <si>
    <t>-1.30360236083642</t>
  </si>
  <si>
    <t>3.67880154616576</t>
  </si>
  <si>
    <t>18.6599603587854</t>
  </si>
  <si>
    <t>7.43829290818989</t>
  </si>
  <si>
    <t>1.62013834123726</t>
  </si>
  <si>
    <t>1.35686908763664</t>
  </si>
  <si>
    <t>7.9715999600602</t>
  </si>
  <si>
    <t>7.92423698484919</t>
  </si>
  <si>
    <t>-2.54065314746838</t>
  </si>
  <si>
    <t>6.9948548910578</t>
  </si>
  <si>
    <t>2.87598128685119</t>
  </si>
  <si>
    <t>-2.4958024652146</t>
  </si>
  <si>
    <t>7.25308848242234</t>
  </si>
  <si>
    <t>15.8513307936034</t>
  </si>
  <si>
    <t>1.81187812495239</t>
  </si>
  <si>
    <t>8.42636158197807</t>
  </si>
  <si>
    <t>14.5438540145621</t>
  </si>
  <si>
    <t>11.0688942082222</t>
  </si>
  <si>
    <t>13.1024180405978</t>
  </si>
  <si>
    <t>6.91391400596221</t>
  </si>
  <si>
    <t>12.2904314793296</t>
  </si>
  <si>
    <t>-1.99237190163089</t>
  </si>
  <si>
    <t>12.1823792582037</t>
  </si>
  <si>
    <t>60.5142859522286</t>
  </si>
  <si>
    <t>2.79525188570074</t>
  </si>
  <si>
    <t>11.6654413222722</t>
  </si>
  <si>
    <t>-4.87930996849984</t>
  </si>
  <si>
    <t>9.9171611234198</t>
  </si>
  <si>
    <t>8.83316822422471</t>
  </si>
  <si>
    <t>-0.574719487183756</t>
  </si>
  <si>
    <t>5.43739265412782</t>
  </si>
  <si>
    <t>-1.23111841681596</t>
  </si>
  <si>
    <t>7.69953503846061</t>
  </si>
  <si>
    <t>9.79760566069545</t>
  </si>
  <si>
    <t>1.06226146394965</t>
  </si>
  <si>
    <t>1.63449664597253</t>
  </si>
  <si>
    <t>11.595270333527</t>
  </si>
  <si>
    <t>15.0288207468673</t>
  </si>
  <si>
    <t>-3.62211156973066</t>
  </si>
  <si>
    <t>55.2559947974759</t>
  </si>
  <si>
    <t>38.6254669474972</t>
  </si>
  <si>
    <t>30.6427963969414</t>
  </si>
  <si>
    <t>13.705396610689</t>
  </si>
  <si>
    <t>11.047610741545</t>
  </si>
  <si>
    <t>6.05771219530757</t>
  </si>
  <si>
    <t>3.20159779959089</t>
  </si>
  <si>
    <t>1.81506961191238</t>
  </si>
  <si>
    <t>0.774657560908707</t>
  </si>
  <si>
    <t>1.75153451356896</t>
  </si>
  <si>
    <t>3.79514149842248</t>
  </si>
  <si>
    <t>3.93429626496579</t>
  </si>
  <si>
    <t>3.88764838548563</t>
  </si>
  <si>
    <t>1.57921733174169</t>
  </si>
  <si>
    <t>0.270975789944856</t>
  </si>
  <si>
    <t>0.482272387523025</t>
  </si>
  <si>
    <t>0.0828624483893066</t>
  </si>
  <si>
    <t>1.77020284945432</t>
  </si>
  <si>
    <t>1.22699825174134</t>
  </si>
  <si>
    <t>3.02644690867653</t>
  </si>
  <si>
    <t>4.23859434856777</t>
  </si>
  <si>
    <t>3.17491639918836</t>
  </si>
  <si>
    <t>0.950738270139802</t>
  </si>
  <si>
    <t>8.86881051393742</t>
  </si>
  <si>
    <t>12.3005547092403</t>
  </si>
  <si>
    <t>12.4417247282276</t>
  </si>
  <si>
    <t>9.58787789693064</t>
  </si>
  <si>
    <t>5.56544143369459</t>
  </si>
  <si>
    <t>9.85873535464535</t>
  </si>
  <si>
    <t>7.7067880725945</t>
  </si>
  <si>
    <t>9.39289887253588</t>
  </si>
  <si>
    <t>10.4948627903721</t>
  </si>
  <si>
    <t>9.50918381129875</t>
  </si>
  <si>
    <t>11.0842103567644</t>
  </si>
  <si>
    <t>5.41956994561858</t>
  </si>
  <si>
    <t>4.37639663450484</t>
  </si>
  <si>
    <t>6.23839330826079</t>
  </si>
  <si>
    <t>10.3358985016276</t>
  </si>
  <si>
    <t>8.10428690011478</t>
  </si>
  <si>
    <t>6.88838910319755</t>
  </si>
  <si>
    <t>4.64905081962502</t>
  </si>
  <si>
    <t>2.72148444149991</t>
  </si>
  <si>
    <t>7.91416641125198</t>
  </si>
  <si>
    <t>2.98507219595221</t>
  </si>
  <si>
    <t>3.66581701786831</t>
  </si>
  <si>
    <t>2.54934036694041</t>
  </si>
  <si>
    <t>2.88692934845038</t>
  </si>
  <si>
    <t>2.65003907360828</t>
  </si>
  <si>
    <t>2.35383272010479</t>
  </si>
  <si>
    <t>4.89614425841897</t>
  </si>
  <si>
    <t>6.08203640282059</t>
  </si>
  <si>
    <t>3.46666562566797</t>
  </si>
  <si>
    <t>4.1237116599689</t>
  </si>
  <si>
    <t>4.57746494926803</t>
  </si>
  <si>
    <t>4.04040438967286</t>
  </si>
  <si>
    <t>6.63430395912297</t>
  </si>
  <si>
    <t>7.38492837092355</t>
  </si>
  <si>
    <t>2.96749897995767</t>
  </si>
  <si>
    <t>4.30008965001744</t>
  </si>
  <si>
    <t>5.35087861369578</t>
  </si>
  <si>
    <t>5.82847656708103</t>
  </si>
  <si>
    <t>8.6152627356435</t>
  </si>
  <si>
    <t>9.27200376979316</t>
  </si>
  <si>
    <t>6.7285372110186</t>
  </si>
  <si>
    <t>5.52795112993401</t>
  </si>
  <si>
    <t>4.70865202774749</t>
  </si>
  <si>
    <t>2.69814433019486</t>
  </si>
  <si>
    <t>3.33456826427405</t>
  </si>
  <si>
    <t>3.20796942386153</t>
  </si>
  <si>
    <t>3.71561202913409</t>
  </si>
  <si>
    <t>2.29421371079133</t>
  </si>
  <si>
    <t>11.851238620666</t>
  </si>
  <si>
    <t>3.12329748139963</t>
  </si>
  <si>
    <t>2.57638033365757</t>
  </si>
  <si>
    <t>1.88639080485686</t>
  </si>
  <si>
    <t>3.17826454435237</t>
  </si>
  <si>
    <t>2.77418243753762</t>
  </si>
  <si>
    <t>3.9115527761346</t>
  </si>
  <si>
    <t>1.33225023071017</t>
  </si>
  <si>
    <t>1.47277776354353</t>
  </si>
  <si>
    <t>3.29507190726073</t>
  </si>
  <si>
    <t>5.50491102448856</t>
  </si>
  <si>
    <t>2.54977824252131</t>
  </si>
  <si>
    <t>4.41747288386816</t>
  </si>
  <si>
    <t>-1.29217804980364</t>
  </si>
  <si>
    <t>6.5901225334009</t>
  </si>
  <si>
    <t>5.49286384229941</t>
  </si>
  <si>
    <t>3.78248397653111</t>
  </si>
  <si>
    <t>6.56185783978739</t>
  </si>
  <si>
    <t>4.98255558535305</t>
  </si>
  <si>
    <t>2.49409859130991</t>
  </si>
  <si>
    <t>2.36982634915921</t>
  </si>
  <si>
    <t>1.17922814906284</t>
  </si>
  <si>
    <t>1.18201519575018</t>
  </si>
  <si>
    <t>1.20055485938157</t>
  </si>
  <si>
    <t>1.97754447018805</t>
  </si>
  <si>
    <t>2.22158248433406</t>
  </si>
  <si>
    <t>2.09140216242223</t>
  </si>
  <si>
    <t>2.04611568543814</t>
  </si>
  <si>
    <t>2.41285225696176</t>
  </si>
  <si>
    <t>2.38228345642378</t>
  </si>
  <si>
    <t>2.79963990475235</t>
  </si>
  <si>
    <t>3.03307902175796</t>
  </si>
  <si>
    <t>3.23545943820875</t>
  </si>
  <si>
    <t>1.41176582428841</t>
  </si>
  <si>
    <t>0.676695903074645</t>
  </si>
  <si>
    <t>0.567802492908271</t>
  </si>
  <si>
    <t>2.00839004764303</t>
  </si>
  <si>
    <t>3.87215946121009</t>
  </si>
  <si>
    <t>5.26324117833306</t>
  </si>
  <si>
    <t>1.67280904631011</t>
  </si>
  <si>
    <t>7.39719907550904</t>
  </si>
  <si>
    <t>1.96505580223135</t>
  </si>
  <si>
    <t>5.01669191861316</t>
  </si>
  <si>
    <t>7.80460580362541</t>
  </si>
  <si>
    <t>18.8652491059979</t>
  </si>
  <si>
    <t>16.2303804640009</t>
  </si>
  <si>
    <t>16.2741297874973</t>
  </si>
  <si>
    <t>26.4000509268737</t>
  </si>
  <si>
    <t>22.3482726176149</t>
  </si>
  <si>
    <t>19.4374157132346</t>
  </si>
  <si>
    <t>20.9030341682529</t>
  </si>
  <si>
    <t>17.6089220223462</t>
  </si>
  <si>
    <t>20.6903281263427</t>
  </si>
  <si>
    <t>24.6052607933432</t>
  </si>
  <si>
    <t>24.6757218145599</t>
  </si>
  <si>
    <t>21.7345610398599</t>
  </si>
  <si>
    <t>20.4511287500787</t>
  </si>
  <si>
    <t>10.0967848790145</t>
  </si>
  <si>
    <t>11.1653895509206</t>
  </si>
  <si>
    <t>10.5138051020058</t>
  </si>
  <si>
    <t>13.1446517935351</t>
  </si>
  <si>
    <t>10.0861850339282</t>
  </si>
  <si>
    <t>11.446031896365</t>
  </si>
  <si>
    <t>7.37643091794273</t>
  </si>
  <si>
    <t>7.27762696131205</t>
  </si>
  <si>
    <t>3.42861704103863</t>
  </si>
  <si>
    <t>2.39087516771916</t>
  </si>
  <si>
    <t>3.82503294242467</t>
  </si>
  <si>
    <t>3.37052777177843</t>
  </si>
  <si>
    <t>3.42026922478691</t>
  </si>
  <si>
    <t>3.71598296328852</t>
  </si>
  <si>
    <t>4.18978080337165</t>
  </si>
  <si>
    <t>3.42715361859851</t>
  </si>
  <si>
    <t>2.3996146882501</t>
  </si>
  <si>
    <t>3.33290369749524</t>
  </si>
  <si>
    <t>3.18454219038284</t>
  </si>
  <si>
    <t>1.73772506153611</t>
  </si>
  <si>
    <t>1.09813450978061</t>
  </si>
  <si>
    <t>0.782135870239699</t>
  </si>
  <si>
    <t>-0.260435343228338</t>
  </si>
  <si>
    <t>-0.376402236465708</t>
  </si>
  <si>
    <t>2.27438689186236</t>
  </si>
  <si>
    <t>0.724456717260622</t>
  </si>
  <si>
    <t>1.96244673853694</t>
  </si>
  <si>
    <t>1.85408723431426</t>
  </si>
  <si>
    <t>1.53220021015437</t>
  </si>
  <si>
    <t>1.8523724616237</t>
  </si>
  <si>
    <t>1.83436786237921</t>
  </si>
  <si>
    <t>2.10314342298463</t>
  </si>
  <si>
    <t>2.01977632737365</t>
  </si>
  <si>
    <t>5.32749894377305</t>
  </si>
  <si>
    <t>6.90236590321598</t>
  </si>
  <si>
    <t>6.68482177239153</t>
  </si>
  <si>
    <t>8.4212754654605</t>
  </si>
  <si>
    <t>1.64590805230922</t>
  </si>
  <si>
    <t>2.06773951862237</t>
  </si>
  <si>
    <t>2.31842738872743</t>
  </si>
  <si>
    <t>-3.1158749859142</t>
  </si>
  <si>
    <t>0.51894364291023</t>
  </si>
  <si>
    <t>2.63979153751998</t>
  </si>
  <si>
    <t>1.26435113386808</t>
  </si>
  <si>
    <t>5.90078043609425</t>
  </si>
  <si>
    <t>8.52314979368313</t>
  </si>
  <si>
    <t>20.6410911507838</t>
  </si>
  <si>
    <t>23.5875248004866</t>
  </si>
  <si>
    <t>6.07569282927092</t>
  </si>
  <si>
    <t>4.54050690606975</t>
  </si>
  <si>
    <t>10.4484387533464</t>
  </si>
  <si>
    <t>9.21736287973791</t>
  </si>
  <si>
    <t>19.3212663608418</t>
  </si>
  <si>
    <t>16.534944617499</t>
  </si>
  <si>
    <t>15.8261734027961</t>
  </si>
  <si>
    <t>5.47461734334969</t>
  </si>
  <si>
    <t>15.9078209005113</t>
  </si>
  <si>
    <t>28.8420858784008</t>
  </si>
  <si>
    <t>26.1313301184776</t>
  </si>
  <si>
    <t>26.896747649867</t>
  </si>
  <si>
    <t>27.9690683037033</t>
  </si>
  <si>
    <t>27.2355212990878</t>
  </si>
  <si>
    <t>31.454919599939</t>
  </si>
  <si>
    <t>36.607531327035</t>
  </si>
  <si>
    <t>25.1198370187067</t>
  </si>
  <si>
    <t>14.0829206349286</t>
  </si>
  <si>
    <t>12.2200349582446</t>
  </si>
  <si>
    <t>11.4214482360733</t>
  </si>
  <si>
    <t>3.41098924066357</t>
  </si>
  <si>
    <t>16.2585763328884</t>
  </si>
  <si>
    <t>10.6801279115958</t>
  </si>
  <si>
    <t>14.6645054427207</t>
  </si>
  <si>
    <t>13.9356046926921</t>
  </si>
  <si>
    <t>17.949384209928</t>
  </si>
  <si>
    <t>15.144324650951</t>
  </si>
  <si>
    <t>11.8350052238006</t>
  </si>
  <si>
    <t>12.9528241180261</t>
  </si>
  <si>
    <t>8.8558326538908</t>
  </si>
  <si>
    <t>12.6355056430918</t>
  </si>
  <si>
    <t>12.2247550551932</t>
  </si>
  <si>
    <t>4.65570138250342</t>
  </si>
  <si>
    <t>5.09571053875749</t>
  </si>
  <si>
    <t>4.79827587865157</t>
  </si>
  <si>
    <t>4.33767609515789</t>
  </si>
  <si>
    <t>1.60388801037963</t>
  </si>
  <si>
    <t>4.13475444403026</t>
  </si>
  <si>
    <t>2.15920929174615</t>
  </si>
  <si>
    <t>1.96024819846549</t>
  </si>
  <si>
    <t>2.20392146778615</t>
  </si>
  <si>
    <t>8.44812602664209</t>
  </si>
  <si>
    <t>8.05446050272607</t>
  </si>
  <si>
    <t>2.06875531020788</t>
  </si>
  <si>
    <t>7.78537880697799</t>
  </si>
  <si>
    <t>2.61624355992755</t>
  </si>
  <si>
    <t>-3.83424632990953</t>
  </si>
  <si>
    <t>-5.37213466791881</t>
  </si>
  <si>
    <t>-3.02948623928063</t>
  </si>
  <si>
    <t>10.4416072420693</t>
  </si>
  <si>
    <t>2.34518915603925</t>
  </si>
  <si>
    <t>1.48692291117247</t>
  </si>
  <si>
    <t>-2.12542725606015</t>
  </si>
  <si>
    <t>-4.85459644251063</t>
  </si>
  <si>
    <t>0.0562197269976821</t>
  </si>
  <si>
    <t>5.39312306887525</t>
  </si>
  <si>
    <t>4.77023412941875</t>
  </si>
  <si>
    <t>17.0083554064538</t>
  </si>
  <si>
    <t>1.85273346648474</t>
  </si>
  <si>
    <t>13.1963162481764</t>
  </si>
  <si>
    <t>5.41982473738784</t>
  </si>
  <si>
    <t>2.86773402643237</t>
  </si>
  <si>
    <t>5.7383714378646</t>
  </si>
  <si>
    <t>-3.70701301671946</t>
  </si>
  <si>
    <t>3.22541499220273</t>
  </si>
  <si>
    <t>-0.301992725159963</t>
  </si>
  <si>
    <t>3.84946930147241</t>
  </si>
  <si>
    <t>8.95397174062261</t>
  </si>
  <si>
    <t>1.68265652739991</t>
  </si>
  <si>
    <t>-3.90362226607192</t>
  </si>
  <si>
    <t>6.3669091468048</t>
  </si>
  <si>
    <t>7.94682292536971</t>
  </si>
  <si>
    <t>8.89840564002427</t>
  </si>
  <si>
    <t>14.1526309266132</t>
  </si>
  <si>
    <t>9.53980556654396</t>
  </si>
  <si>
    <t>8.34326178215869</t>
  </si>
  <si>
    <t>7.30919457525347</t>
  </si>
  <si>
    <t>9.58488231401856</t>
  </si>
  <si>
    <t>8.91696548410359</t>
  </si>
  <si>
    <t>5.09796980804653</t>
  </si>
  <si>
    <t>6.11137374189623</t>
  </si>
  <si>
    <t>7.34406692918725</t>
  </si>
  <si>
    <t>2.97475626535409</t>
  </si>
  <si>
    <t>3.17702279255163</t>
  </si>
  <si>
    <t>3.41364075045701</t>
  </si>
  <si>
    <t>2.17897058141293</t>
  </si>
  <si>
    <t>3.42591432642898</t>
  </si>
  <si>
    <t>3.08626672696697</t>
  </si>
  <si>
    <t>3.99513339074883</t>
  </si>
  <si>
    <t>1.47170880333948</t>
  </si>
  <si>
    <t>4.28459194493769</t>
  </si>
  <si>
    <t>2.34629009874605</t>
  </si>
  <si>
    <t>3.35777295956466</t>
  </si>
  <si>
    <t>2.5766856785921</t>
  </si>
  <si>
    <t>1.24130303241819</t>
  </si>
  <si>
    <t>2.47456266775067</t>
  </si>
  <si>
    <t>3.92596707911746</t>
  </si>
  <si>
    <t>3.27758444069867</t>
  </si>
  <si>
    <t>4.28487142822388</t>
  </si>
  <si>
    <t>3.85314807131046</t>
  </si>
  <si>
    <t>4.03154832548434</t>
  </si>
  <si>
    <t>3.59221117180416</t>
  </si>
  <si>
    <t>4.13089818639963</t>
  </si>
  <si>
    <t>4.51215488049756</t>
  </si>
  <si>
    <t>6.59778746344972</t>
  </si>
  <si>
    <t>6.93375516044611</t>
  </si>
  <si>
    <t>8.83537592244183</t>
  </si>
  <si>
    <t>12.9560188254195</t>
  </si>
  <si>
    <t>11.9437287422043</t>
  </si>
  <si>
    <t>9.13737921785062</t>
  </si>
  <si>
    <t>7.82389708137126</t>
  </si>
  <si>
    <t>11.1271090045314</t>
  </si>
  <si>
    <t>9.49347686676925</t>
  </si>
  <si>
    <t>8.45584187374484</t>
  </si>
  <si>
    <t>4.72094917823456</t>
  </si>
  <si>
    <t>4.7042293808103</t>
  </si>
  <si>
    <t>5.36603954195069</t>
  </si>
  <si>
    <t>4.65052231416761</t>
  </si>
  <si>
    <t>4.95219383789978</t>
  </si>
  <si>
    <t>3.64174499769207</t>
  </si>
  <si>
    <t>3.93959174225874</t>
  </si>
  <si>
    <t>3.92228355033605</t>
  </si>
  <si>
    <t>2.46464579365713</t>
  </si>
  <si>
    <t>2.27527741665009</t>
  </si>
  <si>
    <t>1.33800148159074</t>
  </si>
  <si>
    <t>1.44619968030012</t>
  </si>
  <si>
    <t>1.88703376708934</t>
  </si>
  <si>
    <t>2.55355795739837</t>
  </si>
  <si>
    <t>2.09166459175931</t>
  </si>
  <si>
    <t>2.051753640129</t>
  </si>
  <si>
    <t>2.65942403251839</t>
  </si>
  <si>
    <t>2.57949933435206</t>
  </si>
  <si>
    <t>2.64322768488834</t>
  </si>
  <si>
    <t>3.21898156759048</t>
  </si>
  <si>
    <t>1.42510896534982</t>
  </si>
  <si>
    <t>1.19148458387534</t>
  </si>
  <si>
    <t>1.87432911686035</t>
  </si>
  <si>
    <t>1.42176623933694</t>
  </si>
  <si>
    <t>1.34203875221706</t>
  </si>
  <si>
    <t>1.32984270637617</t>
  </si>
  <si>
    <t>1.40488460475715</t>
  </si>
  <si>
    <t>2.00217897831395</t>
  </si>
  <si>
    <t>1.7743544290572</t>
  </si>
  <si>
    <t>2.7551375897485</t>
  </si>
  <si>
    <t>11.4861598926928</t>
  </si>
  <si>
    <t>7.56690572642928</t>
  </si>
  <si>
    <t>2.20922432808983</t>
  </si>
  <si>
    <t>1.17915841249376</t>
  </si>
  <si>
    <t>10.0227501539982</t>
  </si>
  <si>
    <t>4.03134729930849</t>
  </si>
  <si>
    <t>5.014463270184</t>
  </si>
  <si>
    <t>8.37997103158241</t>
  </si>
  <si>
    <t>17.8520661183587</t>
  </si>
  <si>
    <t>16.3827458524667</t>
  </si>
  <si>
    <t>9.30693353403858</t>
  </si>
  <si>
    <t>9.09961223187695</t>
  </si>
  <si>
    <t>5.95966963273848</t>
  </si>
  <si>
    <t>9.60157930848604</t>
  </si>
  <si>
    <t>7.41573142573885</t>
  </si>
  <si>
    <t>17.1672183106717</t>
  </si>
  <si>
    <t>19.0219329089045</t>
  </si>
  <si>
    <t>17.6480229558757</t>
  </si>
  <si>
    <t>15.6285981882894</t>
  </si>
  <si>
    <t>13.669781865706</t>
  </si>
  <si>
    <t>3.68557738747803</t>
  </si>
  <si>
    <t>3.74651809381791</t>
  </si>
  <si>
    <t>4.55250097556372</t>
  </si>
  <si>
    <t>5.15711856377685</t>
  </si>
  <si>
    <t>3.59871263211701</t>
  </si>
  <si>
    <t>2.66803918686558</t>
  </si>
  <si>
    <t>3.6943538228855</t>
  </si>
  <si>
    <t>3.44736980312632</t>
  </si>
  <si>
    <t>3.39709960718058</t>
  </si>
  <si>
    <t>2.79722250633534</t>
  </si>
  <si>
    <t>2.65925391091335</t>
  </si>
  <si>
    <t>3.18143347196443</t>
  </si>
  <si>
    <t>3.0593771199779</t>
  </si>
  <si>
    <t>2.66868197482361</t>
  </si>
  <si>
    <t>2.85720915835998</t>
  </si>
  <si>
    <t>2.72943890799586</t>
  </si>
  <si>
    <t>4.21491436348742</t>
  </si>
  <si>
    <t>1.71726805884683</t>
  </si>
  <si>
    <t>1.69146020964075</t>
  </si>
  <si>
    <t>2.20077195397286</t>
  </si>
  <si>
    <t>1.18694415765546</t>
  </si>
  <si>
    <t>1.62404031539968</t>
  </si>
  <si>
    <t>0.279672532219806</t>
  </si>
  <si>
    <t>-0.287103184096253</t>
  </si>
  <si>
    <t>0.0398540381661689</t>
  </si>
  <si>
    <t>0.346766937067926</t>
  </si>
  <si>
    <t>2.09042696818406</t>
  </si>
  <si>
    <t>1.36123772707739</t>
  </si>
  <si>
    <t>1.9600633571178</t>
  </si>
  <si>
    <t>1.06284877515266</t>
  </si>
  <si>
    <t>-0.379454943329449</t>
  </si>
  <si>
    <t>-1.20319688581242</t>
  </si>
  <si>
    <t>0.822431269471167</t>
  </si>
  <si>
    <t>1.65824532511503</t>
  </si>
  <si>
    <t>0.198829632204649</t>
  </si>
  <si>
    <t>1.79361104875255</t>
  </si>
  <si>
    <t>16.4383205681312</t>
  </si>
  <si>
    <t>9.45107005553724</t>
  </si>
  <si>
    <t>27.9601323870819</t>
  </si>
  <si>
    <t>182.038299074094</t>
  </si>
  <si>
    <t>-1.59017451140842</t>
  </si>
  <si>
    <t>21.6357630061072</t>
  </si>
  <si>
    <t>18.6966564739421</t>
  </si>
  <si>
    <t>0.755474796767004</t>
  </si>
  <si>
    <t>28.5810020340527</t>
  </si>
  <si>
    <t>36.0856215172146</t>
  </si>
  <si>
    <t>9.13166871821107</t>
  </si>
  <si>
    <t>-5.81640781984729</t>
  </si>
  <si>
    <t>-13.2805277340008</t>
  </si>
  <si>
    <t>-0.951856456959419</t>
  </si>
  <si>
    <t>-6.23192785212868</t>
  </si>
  <si>
    <t>-22.040794757189</t>
  </si>
  <si>
    <t>7.73710093039131</t>
  </si>
  <si>
    <t>4.68405404842642</t>
  </si>
  <si>
    <t>1.15399926267258</t>
  </si>
  <si>
    <t>-4.89874032105338</t>
  </si>
  <si>
    <t>-0.225762951385576</t>
  </si>
  <si>
    <t>-5.14575248972847</t>
  </si>
  <si>
    <t>1.60269933534711</t>
  </si>
  <si>
    <t>-4.0789743600633</t>
  </si>
  <si>
    <t>-18.3821714808751</t>
  </si>
  <si>
    <t>15.8794681531787</t>
  </si>
  <si>
    <t>32.654614947218</t>
  </si>
  <si>
    <t>-4.95194097117833</t>
  </si>
  <si>
    <t>3.00900517451197</t>
  </si>
  <si>
    <t>17.1764677384087</t>
  </si>
  <si>
    <t>13.1067848451559</t>
  </si>
  <si>
    <t>30.5426998130357</t>
  </si>
  <si>
    <t>8.3616135354893</t>
  </si>
  <si>
    <t>10.9698605953142</t>
  </si>
  <si>
    <t>22.8995646881724</t>
  </si>
  <si>
    <t>-24.2181008766069</t>
  </si>
  <si>
    <t>6.9793298939115</t>
  </si>
  <si>
    <t>18.2701713424367</t>
  </si>
  <si>
    <t>6.32996223555197</t>
  </si>
  <si>
    <t>0.767488571935985</t>
  </si>
  <si>
    <t>-1.4827510630932</t>
  </si>
  <si>
    <t>-25.1298074959928</t>
  </si>
  <si>
    <t>-8.97669905751843</t>
  </si>
  <si>
    <t>7.78756965604812</t>
  </si>
  <si>
    <t>12.4144035260003</t>
  </si>
  <si>
    <t>-4.45591421178636</t>
  </si>
  <si>
    <t>-15.100420309421</t>
  </si>
  <si>
    <t>22.4660221244491</t>
  </si>
  <si>
    <t>25.8769173658359</t>
  </si>
  <si>
    <t>-10.6934814488438</t>
  </si>
  <si>
    <t>195.003978593043</t>
  </si>
  <si>
    <t>227.308735779621</t>
  </si>
  <si>
    <t>139.023070589532</t>
  </si>
  <si>
    <t>43.9334732007336</t>
  </si>
  <si>
    <t>44.0022839129307</t>
  </si>
  <si>
    <t>135.338399472194</t>
  </si>
  <si>
    <t>48.1345197660485</t>
  </si>
  <si>
    <t>49.5224630026867</t>
  </si>
  <si>
    <t>43.1808548123815</t>
  </si>
  <si>
    <t>37.9562521393343</t>
  </si>
  <si>
    <t>22.7142690496692</t>
  </si>
  <si>
    <t>23.1532554708977</t>
  </si>
  <si>
    <t>15.4565958769332</t>
  </si>
  <si>
    <t>12.0069901176313</t>
  </si>
  <si>
    <t>10.6065793571017</t>
  </si>
  <si>
    <t>15.8162274724437</t>
  </si>
  <si>
    <t>16.014892178546</t>
  </si>
  <si>
    <t>4.0915777131025</t>
  </si>
  <si>
    <t>5.93211185989944</t>
  </si>
  <si>
    <t>3.98254945792303</t>
  </si>
  <si>
    <t>3.81023942192328</t>
  </si>
  <si>
    <t>1.39458661535372</t>
  </si>
  <si>
    <t>1.71417093292732</t>
  </si>
  <si>
    <t>3.26453494332559</t>
  </si>
  <si>
    <t>2.61991857394388</t>
  </si>
  <si>
    <t>4.65130664700149</t>
  </si>
  <si>
    <t>6.18674870152643</t>
  </si>
  <si>
    <t>6.94651343516345</t>
  </si>
  <si>
    <t>4.11051645013276</t>
  </si>
  <si>
    <t>12.0919624576312</t>
  </si>
  <si>
    <t>12.7699377919606</t>
  </si>
  <si>
    <t>15.9029112575078</t>
  </si>
  <si>
    <t>128.629771683447</t>
  </si>
  <si>
    <t>1490.4184248448</t>
  </si>
  <si>
    <t>887.840736234023</t>
  </si>
  <si>
    <t>307.298056897061</t>
  </si>
  <si>
    <t>144.006867163195</t>
  </si>
  <si>
    <t>46.0363776683441</t>
  </si>
  <si>
    <t>15.0585036426846</t>
  </si>
  <si>
    <t>18.5389673419024</t>
  </si>
  <si>
    <t>72.3866054661464</t>
  </si>
  <si>
    <t>37.6979282123097</t>
  </si>
  <si>
    <t>16.4796193570037</t>
  </si>
  <si>
    <t>15.6619063054593</t>
  </si>
  <si>
    <t>13.6571368113275</t>
  </si>
  <si>
    <t>20.2551495775111</t>
  </si>
  <si>
    <t>19.279432134411</t>
  </si>
  <si>
    <t>15.1204066316764</t>
  </si>
  <si>
    <t>13.8412392398238</t>
  </si>
  <si>
    <t>18.0135183350842</t>
  </si>
  <si>
    <t>1.97061260305912</t>
  </si>
  <si>
    <t>14.1911095688207</t>
  </si>
  <si>
    <t>24.4600860621898</t>
  </si>
  <si>
    <t>8.90786842087834</t>
  </si>
  <si>
    <t>5.32013887237915</t>
  </si>
  <si>
    <t>7.49007111696609</t>
  </si>
  <si>
    <t>7.24973590678889</t>
  </si>
  <si>
    <t>2.84422269802643</t>
  </si>
  <si>
    <t>5.34981508767618</t>
  </si>
  <si>
    <t>9.99797671148308</t>
  </si>
  <si>
    <t>3.26313281881684</t>
  </si>
  <si>
    <t>0.898246027195242</t>
  </si>
  <si>
    <t>19.4115890615904</t>
  </si>
  <si>
    <t>16.7152740606271</t>
  </si>
  <si>
    <t>7.07360156603734</t>
  </si>
  <si>
    <t>7.12471364410401</t>
  </si>
  <si>
    <t>-7.97133393894366</t>
  </si>
  <si>
    <t>13.5512287459481</t>
  </si>
  <si>
    <t>16.0250035100712</t>
  </si>
  <si>
    <t>6.96386495357405</t>
  </si>
  <si>
    <t>36.8592746348154</t>
  </si>
  <si>
    <t>36.9664654329701</t>
  </si>
  <si>
    <t>0.848491735728203</t>
  </si>
  <si>
    <t>-1.28412967723341</t>
  </si>
  <si>
    <t>9.93641009911907</t>
  </si>
  <si>
    <t>-0.113866139254455</t>
  </si>
  <si>
    <t>1.8463328650549</t>
  </si>
  <si>
    <t>3.91625376991665</t>
  </si>
  <si>
    <t>87.9691490777774</t>
  </si>
  <si>
    <t>-1.89108756049188</t>
  </si>
  <si>
    <t>13.5114663005983</t>
  </si>
  <si>
    <t>3.66473890308512</t>
  </si>
  <si>
    <t>6.06528570702439</t>
  </si>
  <si>
    <t>3.06477515341351</t>
  </si>
  <si>
    <t>7.71070181640991</t>
  </si>
  <si>
    <t>4.88318031489796</t>
  </si>
  <si>
    <t>2.44921264418285</t>
  </si>
  <si>
    <t>16.8566892652682</t>
  </si>
  <si>
    <t>4.56412999956721</t>
  </si>
  <si>
    <t>-7.02173255140643</t>
  </si>
  <si>
    <t>0.665276478889382</t>
  </si>
  <si>
    <t>2.22537632565138</t>
  </si>
  <si>
    <t>5.29708676007769</t>
  </si>
  <si>
    <t>13.461468914878</t>
  </si>
  <si>
    <t>7.28328316236082</t>
  </si>
  <si>
    <t>51.2665830510824</t>
  </si>
  <si>
    <t>15.6215024423157</t>
  </si>
  <si>
    <t>2.22820064838287</t>
  </si>
  <si>
    <t>11.1069367074612</t>
  </si>
  <si>
    <t>3.27539722143884</t>
  </si>
  <si>
    <t>-0.39258927986296</t>
  </si>
  <si>
    <t>-5.22720896305826</t>
  </si>
  <si>
    <t>20.3613027187849</t>
  </si>
  <si>
    <t>11.0949086013764</t>
  </si>
  <si>
    <t>9.03080654832287</t>
  </si>
  <si>
    <t>2.46160327416591</t>
  </si>
  <si>
    <t>12.936041097788</t>
  </si>
  <si>
    <t>14.4540325669763</t>
  </si>
  <si>
    <t>7.14765692022587</t>
  </si>
  <si>
    <t>3.18717431895028</t>
  </si>
  <si>
    <t>7.19147737875907</t>
  </si>
  <si>
    <t>4.7228346580055</t>
  </si>
  <si>
    <t>2.68970175896683</t>
  </si>
  <si>
    <t>4.73237348815783</t>
  </si>
  <si>
    <t>0.485928791648902</t>
  </si>
  <si>
    <t>5.03012214050614</t>
  </si>
  <si>
    <t>8.16262594714252</t>
  </si>
  <si>
    <t>-0.603329019206939</t>
  </si>
  <si>
    <t>2.47117029507604</t>
  </si>
  <si>
    <t>6.71183680148918</t>
  </si>
  <si>
    <t>2.85751132750647</t>
  </si>
  <si>
    <t>15.9144975139225</t>
  </si>
  <si>
    <t>10.1301242308679</t>
  </si>
  <si>
    <t>3.16723063849152</t>
  </si>
  <si>
    <t>5.6750614869624</t>
  </si>
  <si>
    <t>3.92811823441244</t>
  </si>
  <si>
    <t>3.74605216066744</t>
  </si>
  <si>
    <t>6.48837810604775</t>
  </si>
  <si>
    <t>6.29929640524648</t>
  </si>
  <si>
    <t>8.96730676614216</t>
  </si>
  <si>
    <t>8.52746786015736</t>
  </si>
  <si>
    <t>6.90236005828176</t>
  </si>
  <si>
    <t>9.42649662574266</t>
  </si>
  <si>
    <t>10.7545019906415</t>
  </si>
  <si>
    <t>8.04948057708798</t>
  </si>
  <si>
    <t>6.49974244418989</t>
  </si>
  <si>
    <t>4.92599255707002</t>
  </si>
  <si>
    <t>3.80941133758956</t>
  </si>
  <si>
    <t>3.64344397472554</t>
  </si>
  <si>
    <t>4.18968997658698</t>
  </si>
  <si>
    <t>3.8630134523573</t>
  </si>
  <si>
    <t>3.76433258169706</t>
  </si>
  <si>
    <t>4.32796065240716</t>
  </si>
  <si>
    <t>7.19536277510807</t>
  </si>
  <si>
    <t>7.49435251822787</t>
  </si>
  <si>
    <t>4.89510360030242</t>
  </si>
  <si>
    <t>-1.78626816841168</t>
  </si>
  <si>
    <t>-0.893866244295722</t>
  </si>
  <si>
    <t>-4.68473891747551</t>
  </si>
  <si>
    <t>-1.22119924313849</t>
  </si>
  <si>
    <t>1.9537501246899</t>
  </si>
  <si>
    <t>2.39764076579465</t>
  </si>
  <si>
    <t>19.4285098377282</t>
  </si>
  <si>
    <t>-21.4407763430519</t>
  </si>
  <si>
    <t>15.6146293587515</t>
  </si>
  <si>
    <t>4.60471998472391</t>
  </si>
  <si>
    <t>12.9157415768375</t>
  </si>
  <si>
    <t>150.631850922677</t>
  </si>
  <si>
    <t>7.98185164419705</t>
  </si>
  <si>
    <t>19.1808707048218</t>
  </si>
  <si>
    <t>9.30822322498486</t>
  </si>
  <si>
    <t>24.1586806716795</t>
  </si>
  <si>
    <t>37.6250696389</t>
  </si>
  <si>
    <t>10.583288187297</t>
  </si>
  <si>
    <t>0.456229389869733</t>
  </si>
  <si>
    <t>-4.55397679146455</t>
  </si>
  <si>
    <t>-1.59783392043423</t>
  </si>
  <si>
    <t>-3.7933792090726</t>
  </si>
  <si>
    <t>-15.282820155894</t>
  </si>
  <si>
    <t>2.88520101862272</t>
  </si>
  <si>
    <t>-3.38908495093885</t>
  </si>
  <si>
    <t>7.58493190838816</t>
  </si>
  <si>
    <t>3.86721186974283</t>
  </si>
  <si>
    <t>-0.862016200381191</t>
  </si>
  <si>
    <t>-3.37232404126571</t>
  </si>
  <si>
    <t>0.700127376829499</t>
  </si>
  <si>
    <t>5.71322906642114</t>
  </si>
  <si>
    <t>7.14632937364377</t>
  </si>
  <si>
    <t>1.90399062961826</t>
  </si>
  <si>
    <t>-13.8588409818664</t>
  </si>
  <si>
    <t>10.8822323394424</t>
  </si>
  <si>
    <t>11.9091245199722</t>
  </si>
  <si>
    <t>-3.17107568405154</t>
  </si>
  <si>
    <t>3.683428242343</t>
  </si>
  <si>
    <t>4.64321371035759</t>
  </si>
  <si>
    <t>10.3688370027684</t>
  </si>
  <si>
    <t>19.7288473218081</t>
  </si>
  <si>
    <t>11.00529949314</t>
  </si>
  <si>
    <t>17.7028507742568</t>
  </si>
  <si>
    <t>-16.5588459310441</t>
  </si>
  <si>
    <t>17.1912927985998</t>
  </si>
  <si>
    <t>15.412103777545</t>
  </si>
  <si>
    <t>4.01223554962029</t>
  </si>
  <si>
    <t>-0.892597886207128</t>
  </si>
  <si>
    <t>-2.04340434872742</t>
  </si>
  <si>
    <t>-16.4369469112862</t>
  </si>
  <si>
    <t>-2.36045062575421</t>
  </si>
  <si>
    <t>6.38731634132101</t>
  </si>
  <si>
    <t>14.7336140424025</t>
  </si>
  <si>
    <t>-2.02274033833496</t>
  </si>
  <si>
    <t>-9.18456817699072</t>
  </si>
  <si>
    <t>17.9839455619021</t>
  </si>
  <si>
    <t>-2.96488667496891</t>
  </si>
  <si>
    <t>8.54275345322841</t>
  </si>
  <si>
    <t>4.71081705429572</t>
  </si>
  <si>
    <t>-2.39467744499547</t>
  </si>
  <si>
    <t>6.40435067269496</t>
  </si>
  <si>
    <t>6.75978541016345</t>
  </si>
  <si>
    <t>8.60746021480871</t>
  </si>
  <si>
    <t>7.32063730430794</t>
  </si>
  <si>
    <t>6.56187255500558</t>
  </si>
  <si>
    <t>14.3054500736084</t>
  </si>
  <si>
    <t>23.151582650942</t>
  </si>
  <si>
    <t>5.28426615533628</t>
  </si>
  <si>
    <t>6.86602196291635</t>
  </si>
  <si>
    <t>17.4039984780278</t>
  </si>
  <si>
    <t>24.9099227974776</t>
  </si>
  <si>
    <t>23.9748826113826</t>
  </si>
  <si>
    <t>22.0265651585776</t>
  </si>
  <si>
    <t>24.9771795309492</t>
  </si>
  <si>
    <t>30.5902493639549</t>
  </si>
  <si>
    <t>26.0580590611583</t>
  </si>
  <si>
    <t>33.6368828047749</t>
  </si>
  <si>
    <t>46.1691452371993</t>
  </si>
  <si>
    <t>28.6425566429425</t>
  </si>
  <si>
    <t>25.8913532605287</t>
  </si>
  <si>
    <t>78.8625963339775</t>
  </si>
  <si>
    <t>36.7386519285483</t>
  </si>
  <si>
    <t>66.2355883475107</t>
  </si>
  <si>
    <t>88.7728462623674</t>
  </si>
  <si>
    <t>109.233655161945</t>
  </si>
  <si>
    <t>97.487348250859</t>
  </si>
  <si>
    <t>159.26697258905</t>
  </si>
  <si>
    <t>104.555028787418</t>
  </si>
  <si>
    <t>32.5622551345838</t>
  </si>
  <si>
    <t>37.921169977767</t>
  </si>
  <si>
    <t>17.6622707657562</t>
  </si>
  <si>
    <t>15.823578015666</t>
  </si>
  <si>
    <t>21.1339910457107</t>
  </si>
  <si>
    <t>10.8012352318635</t>
  </si>
  <si>
    <t>9.79992410396942</t>
  </si>
  <si>
    <t>17.2739979186081</t>
  </si>
  <si>
    <t>18.054402868472</t>
  </si>
  <si>
    <t>15.3066214793858</t>
  </si>
  <si>
    <t>8.89101661311409</t>
  </si>
  <si>
    <t>22.6694192116219</t>
  </si>
  <si>
    <t>26.3283499650477</t>
  </si>
  <si>
    <t>30.1285931395558</t>
  </si>
  <si>
    <t>36.4286291176933</t>
  </si>
  <si>
    <t>34.0669855189111</t>
  </si>
  <si>
    <t>14.0225574392301</t>
  </si>
  <si>
    <t>20.6855877306245</t>
  </si>
  <si>
    <t>34.6223707315316</t>
  </si>
  <si>
    <t>55.9753254437569</t>
  </si>
  <si>
    <t>51.9788933465452</t>
  </si>
  <si>
    <t>115.65291501439</t>
  </si>
  <si>
    <t>235.515443582343</t>
  </si>
  <si>
    <t>116.874075405794</t>
  </si>
  <si>
    <t>213.72584787991</t>
  </si>
  <si>
    <t>2.46857747074409</t>
  </si>
  <si>
    <t>2.53924769032905</t>
  </si>
  <si>
    <t>1.48655561735562</t>
  </si>
  <si>
    <t>1.99535026569468</t>
  </si>
  <si>
    <t>0.452820818960831</t>
  </si>
  <si>
    <t>0.416222711990557</t>
  </si>
  <si>
    <t>-0.542368624517749</t>
  </si>
  <si>
    <t>6.86677567883129</t>
  </si>
  <si>
    <t>2.0428603536138</t>
  </si>
  <si>
    <t>3.0018083172566</t>
  </si>
  <si>
    <t>4.10363946619412</t>
  </si>
  <si>
    <t>7.68439771269558</t>
  </si>
  <si>
    <t>16.761195079324</t>
  </si>
  <si>
    <t>11.6291444872522</t>
  </si>
  <si>
    <t>3.78921485584216</t>
  </si>
  <si>
    <t>8.16395466890485</t>
  </si>
  <si>
    <t>9.70658132140881</t>
  </si>
  <si>
    <t>5.4560401274267</t>
  </si>
  <si>
    <t>11.0477932212242</t>
  </si>
  <si>
    <t>9.72205568294373</t>
  </si>
  <si>
    <t>9.29205468630911</t>
  </si>
  <si>
    <t>7.72247004475221</t>
  </si>
  <si>
    <t>8.89221275604793</t>
  </si>
  <si>
    <t>5.53608293030337</t>
  </si>
  <si>
    <t>-1.73595432904898</t>
  </si>
  <si>
    <t>-1.14033178200231</t>
  </si>
  <si>
    <t>2.17022646198564</t>
  </si>
  <si>
    <t>-0.166872375317354</t>
  </si>
  <si>
    <t>-0.923678429871956</t>
  </si>
  <si>
    <t>-0.827466513277315</t>
  </si>
  <si>
    <t>0.0842697584777454</t>
  </si>
  <si>
    <t>34.0413670820881</t>
  </si>
  <si>
    <t>7.11300728573589</t>
  </si>
  <si>
    <t>4.16151734103398</t>
  </si>
  <si>
    <t>1.97782917379958</t>
  </si>
  <si>
    <t>2.77903090647411</t>
  </si>
  <si>
    <t>-0.525447722709572</t>
  </si>
  <si>
    <t>1.3086598487922</t>
  </si>
  <si>
    <t>6.99493519580557</t>
  </si>
  <si>
    <t>1.90464530864327</t>
  </si>
  <si>
    <t>-0.922879933708558</t>
  </si>
  <si>
    <t>-0.134935110953364</t>
  </si>
  <si>
    <t>4.72087875420317</t>
  </si>
  <si>
    <t>2.88549200196928</t>
  </si>
  <si>
    <t>6.58871245134355</t>
  </si>
  <si>
    <t>8.21654273074127</t>
  </si>
  <si>
    <t>-1.68903868254876</t>
  </si>
  <si>
    <t>1.60441579019933</t>
  </si>
  <si>
    <t>3.85747038355476</t>
  </si>
  <si>
    <t>3.27411157616761</t>
  </si>
  <si>
    <t>1.18613046995503</t>
  </si>
  <si>
    <t>-1.51585973451603</t>
  </si>
  <si>
    <t>1.06978461964601</t>
  </si>
  <si>
    <t>0.955649520089025</t>
  </si>
  <si>
    <t>0.598916826886537</t>
  </si>
  <si>
    <t>-0.839644464738328</t>
  </si>
  <si>
    <t>2.08580185181253</t>
  </si>
  <si>
    <t>1.60273383045899</t>
  </si>
  <si>
    <t>1.44730627584974</t>
  </si>
  <si>
    <t>8.72786615579552</t>
  </si>
  <si>
    <t>3.85182919223391</t>
  </si>
  <si>
    <t>0.331807725132393</t>
  </si>
  <si>
    <t>0.468580568677112</t>
  </si>
  <si>
    <t>0.925318690191077</t>
  </si>
  <si>
    <t>0.564619471904422</t>
  </si>
  <si>
    <t>1.08280919421094</t>
  </si>
  <si>
    <t>2.10099401626297</t>
  </si>
  <si>
    <t>0.36175998153692</t>
  </si>
  <si>
    <t>1.43729436349335</t>
  </si>
  <si>
    <t>2.27723055956248</t>
  </si>
  <si>
    <t>1.54696201847693</t>
  </si>
  <si>
    <t>4.85354530242307</t>
  </si>
  <si>
    <t>5.72602281502184</t>
  </si>
  <si>
    <t>13.2098511250541</t>
  </si>
  <si>
    <t>16.315573040436</t>
  </si>
  <si>
    <t>2.88902717475952</t>
  </si>
  <si>
    <t>1.71985346383113</t>
  </si>
  <si>
    <t>2.0066785459034</t>
  </si>
  <si>
    <t>4.04187885560737</t>
  </si>
  <si>
    <t>5.2354005316555</t>
  </si>
  <si>
    <t>5.87548935259991</t>
  </si>
  <si>
    <t>4.53295551219097</t>
  </si>
  <si>
    <t>3.17143964984059</t>
  </si>
  <si>
    <t>0.787919952347593</t>
  </si>
  <si>
    <t>-1.46548381178779</t>
  </si>
  <si>
    <t>-1.25281578687675</t>
  </si>
  <si>
    <t>0.532427941572664</t>
  </si>
  <si>
    <t>5.43072131692747</t>
  </si>
  <si>
    <t>4.15917047818115</t>
  </si>
  <si>
    <t>4.69742330546458</t>
  </si>
  <si>
    <t>4.43534521070245</t>
  </si>
  <si>
    <t>1.38770305954598</t>
  </si>
  <si>
    <t>3.45618677483372</t>
  </si>
  <si>
    <t>3.46273962769924</t>
  </si>
  <si>
    <t>3.17627830929234</t>
  </si>
  <si>
    <t>1.50622281220359</t>
  </si>
  <si>
    <t>1.08499221815259</t>
  </si>
  <si>
    <t>-1.32884855456203</t>
  </si>
  <si>
    <t>-3.57782977150977</t>
  </si>
  <si>
    <t>3.86347751783269</t>
  </si>
  <si>
    <t>-1.81443173071348</t>
  </si>
  <si>
    <t>-0.896915632384648</t>
  </si>
  <si>
    <t>-1.79904886938878</t>
  </si>
  <si>
    <t>3.95952821977868</t>
  </si>
  <si>
    <t>1.9005186505386</t>
  </si>
  <si>
    <t>1.8441830136442</t>
  </si>
  <si>
    <t>5.91682447669695</t>
  </si>
  <si>
    <t>-1.38155543169427</t>
  </si>
  <si>
    <t>2.95392464373782</t>
  </si>
  <si>
    <t>1.10780871344616</t>
  </si>
  <si>
    <t>1.17079820355097</t>
  </si>
  <si>
    <t>0.495345771200874</t>
  </si>
  <si>
    <t>-0.431059391871671</t>
  </si>
  <si>
    <t>-0.267270041634802</t>
  </si>
  <si>
    <t>3.07195500966418</t>
  </si>
  <si>
    <t>0.489627028998726</t>
  </si>
  <si>
    <t>2.89404191400374</t>
  </si>
  <si>
    <t>3.60410043476227</t>
  </si>
  <si>
    <t>-0.20441464095768</t>
  </si>
  <si>
    <t>-2.43859056928547</t>
  </si>
  <si>
    <t>10.2637667092318</t>
  </si>
  <si>
    <t>13.4781380113655</t>
  </si>
  <si>
    <t>-3.06902994364776</t>
  </si>
  <si>
    <t>13.1443402864278</t>
  </si>
  <si>
    <t>12.9976793240904</t>
  </si>
  <si>
    <t>9.40918931289119</t>
  </si>
  <si>
    <t>16.812045312894</t>
  </si>
  <si>
    <t>3.45363961178332</t>
  </si>
  <si>
    <t>34.1069392365889</t>
  </si>
  <si>
    <t>13.1570526040328</t>
  </si>
  <si>
    <t>17.0186132550504</t>
  </si>
  <si>
    <t>27.9370884948888</t>
  </si>
  <si>
    <t>9.53881927848347</t>
  </si>
  <si>
    <t>12.0838917199116</t>
  </si>
  <si>
    <t>8.47322244221299</t>
  </si>
  <si>
    <t>11.1526820904396</t>
  </si>
  <si>
    <t>7.67457922142414</t>
  </si>
  <si>
    <t>5.55906379443005</t>
  </si>
  <si>
    <t>9.90700224559815</t>
  </si>
  <si>
    <t>11.2791035553013</t>
  </si>
  <si>
    <t>25.8870813257842</t>
  </si>
  <si>
    <t>3.76283717550221</t>
  </si>
  <si>
    <t>10.6993061146418</t>
  </si>
  <si>
    <t>9.29434531558914</t>
  </si>
  <si>
    <t>6.42916214677736</t>
  </si>
  <si>
    <t>1.74527790331425</t>
  </si>
  <si>
    <t>4.47682788873855</t>
  </si>
  <si>
    <t>4.65219263177319</t>
  </si>
  <si>
    <t>2.3522743375372</t>
  </si>
  <si>
    <t>3.67027557918389</t>
  </si>
  <si>
    <t>0.344942428061586</t>
  </si>
  <si>
    <t>7.85787438297851</t>
  </si>
  <si>
    <t>-1.32591732051718</t>
  </si>
  <si>
    <t>-5.504745457506</t>
  </si>
  <si>
    <t>2.01661207154767</t>
  </si>
  <si>
    <t>-0.000326809401443029</t>
  </si>
  <si>
    <t>0.000111865346738682</t>
  </si>
  <si>
    <t>0.00016475570998864</t>
  </si>
  <si>
    <t>-0.000278402465099248</t>
  </si>
  <si>
    <t>5.19710047035468</t>
  </si>
  <si>
    <t>2.73346870869982</t>
  </si>
  <si>
    <t>-5.85071363430353</t>
  </si>
  <si>
    <t>6.66686738774899</t>
  </si>
  <si>
    <t>14.1650840822582</t>
  </si>
  <si>
    <t>-2.1423387947427</t>
  </si>
  <si>
    <t>-6.92952042750973</t>
  </si>
  <si>
    <t>23.2251971597501</t>
  </si>
  <si>
    <t>14.1608119373019</t>
  </si>
  <si>
    <t>19.7468635853453</t>
  </si>
  <si>
    <t>23.850144872309</t>
  </si>
  <si>
    <t>11.5357313213431</t>
  </si>
  <si>
    <t>-6.00875058256085</t>
  </si>
  <si>
    <t>18.5016273255263</t>
  </si>
  <si>
    <t>19.4389560072009</t>
  </si>
  <si>
    <t>39.7672585975682</t>
  </si>
  <si>
    <t>68.8897065046575</t>
  </si>
  <si>
    <t>78.5038040081836</t>
  </si>
  <si>
    <t>165.676645869541</t>
  </si>
  <si>
    <t>64.2882425011477</t>
  </si>
  <si>
    <t>61.4912801976863</t>
  </si>
  <si>
    <t>70.5915477015397</t>
  </si>
  <si>
    <t>128.761666619689</t>
  </si>
  <si>
    <t>82.0235798402792</t>
  </si>
  <si>
    <t>26.7363212387901</t>
  </si>
  <si>
    <t>25.062043752076</t>
  </si>
  <si>
    <t>33.5979877376705</t>
  </si>
  <si>
    <t>29.5804868075413</t>
  </si>
  <si>
    <t>2.25276836625167</t>
  </si>
  <si>
    <t>23.7751228806973</t>
  </si>
  <si>
    <t>17.1938519293375</t>
  </si>
  <si>
    <t>3.28114136455662</t>
  </si>
  <si>
    <t>168.053006806488</t>
  </si>
  <si>
    <t>-3.93416601033874</t>
  </si>
  <si>
    <t>13.197685378053</t>
  </si>
  <si>
    <t>12.8264540838063</t>
  </si>
  <si>
    <t>16.6157668889868</t>
  </si>
  <si>
    <t>12.492989875478</t>
  </si>
  <si>
    <t>6.60201885994177</t>
  </si>
  <si>
    <t>8.54806994820652</t>
  </si>
  <si>
    <t>17.4339240319793</t>
  </si>
  <si>
    <t>17.295115798704</t>
  </si>
  <si>
    <t>12.0412148525003</t>
  </si>
  <si>
    <t>6.95914982637184</t>
  </si>
  <si>
    <t>19.6403377509812</t>
  </si>
  <si>
    <t>5.85170885537505</t>
  </si>
  <si>
    <t>8.95600063695517</t>
  </si>
  <si>
    <t>14.0105639405151</t>
  </si>
  <si>
    <t>9.91558334836972</t>
  </si>
  <si>
    <t>13.2769444949676</t>
  </si>
  <si>
    <t>7.43295884720851</t>
  </si>
  <si>
    <t>26.9524276570781</t>
  </si>
  <si>
    <t>29.2160488413443</t>
  </si>
  <si>
    <t>-1.1753173608947</t>
  </si>
  <si>
    <t>-0.393507621936834</t>
  </si>
  <si>
    <t>0.19483186713029</t>
  </si>
  <si>
    <t>0.425428249230862</t>
  </si>
  <si>
    <t>4.83751153291409</t>
  </si>
  <si>
    <t>0.806457522522351</t>
  </si>
  <si>
    <t>0.400316542998354</t>
  </si>
  <si>
    <t>8.84136569851248</t>
  </si>
  <si>
    <t>9.6491479831566</t>
  </si>
  <si>
    <t>9.88797935999375</t>
  </si>
  <si>
    <t>17.6342113918004</t>
  </si>
  <si>
    <t>18.3216298528567</t>
  </si>
  <si>
    <t>0.960013082364398</t>
  </si>
  <si>
    <t>15.5624071981715</t>
  </si>
  <si>
    <t>22.6012882564872</t>
  </si>
  <si>
    <t>2.00938789958767</t>
  </si>
  <si>
    <t>5.55290061909739</t>
  </si>
  <si>
    <t>1.58899797213157</t>
  </si>
  <si>
    <t>3.05408729621168</t>
  </si>
  <si>
    <t>3.15378065896392</t>
  </si>
  <si>
    <t>-0.94815922337537</t>
  </si>
  <si>
    <t>2.3739437095546</t>
  </si>
  <si>
    <t>3.90575551112049</t>
  </si>
  <si>
    <t>3.3553952451945</t>
  </si>
  <si>
    <t>5.10572833645764</t>
  </si>
  <si>
    <t>7.42039831139694</t>
  </si>
  <si>
    <t>3.41992302194576</t>
  </si>
  <si>
    <t>8.59328373641921</t>
  </si>
  <si>
    <t>9.80412818425471</t>
  </si>
  <si>
    <t>10.9290340708784</t>
  </si>
  <si>
    <t>6.58171861061977</t>
  </si>
  <si>
    <t>3.38380837413172</t>
  </si>
  <si>
    <t>4.23009518302409</t>
  </si>
  <si>
    <t>0.994105168134183</t>
  </si>
  <si>
    <t>3.27263167049688</t>
  </si>
  <si>
    <t>3.31363165513974</t>
  </si>
  <si>
    <t>1.51063301186223</t>
  </si>
  <si>
    <t>2.96567141336874</t>
  </si>
  <si>
    <t>2.71767338213316</t>
  </si>
  <si>
    <t>4.29476326031077</t>
  </si>
  <si>
    <t>4.33269226745863</t>
  </si>
  <si>
    <t>4.39535754973457</t>
  </si>
  <si>
    <t>3.50229909686419</t>
  </si>
  <si>
    <t>-0.0338953396293391</t>
  </si>
  <si>
    <t>2.59792051504036</t>
  </si>
  <si>
    <t>2.475549962784</t>
  </si>
  <si>
    <t>0.631311695261005</t>
  </si>
  <si>
    <t>0.993230854860357</t>
  </si>
  <si>
    <t>1.307617777231</t>
  </si>
  <si>
    <t>0.657746207396585</t>
  </si>
  <si>
    <t>0.986566456267596</t>
  </si>
  <si>
    <t>1.71626308707515</t>
  </si>
  <si>
    <t>0.848014701105342</t>
  </si>
  <si>
    <t>0.653512318599752</t>
  </si>
  <si>
    <t>4.14207468599355</t>
  </si>
  <si>
    <t>7.143242839221</t>
  </si>
  <si>
    <t>2.7288450232809</t>
  </si>
  <si>
    <t>1.82751509450425</t>
  </si>
  <si>
    <t>1.55463608639049</t>
  </si>
  <si>
    <t>2.56773358739586</t>
  </si>
  <si>
    <t>2.70347841383587</t>
  </si>
  <si>
    <t>2.38676892433671</t>
  </si>
  <si>
    <t>2.45182791541232</t>
  </si>
  <si>
    <t>2.01088269657863</t>
  </si>
  <si>
    <t>1.6678752719362</t>
  </si>
  <si>
    <t>2.01207243460763</t>
  </si>
  <si>
    <t>-1.9723865877712</t>
  </si>
  <si>
    <t>2.83196979232221</t>
  </si>
  <si>
    <t>0.999377268139739</t>
  </si>
  <si>
    <t>1.43035574550051</t>
  </si>
  <si>
    <t>0.152699197986834</t>
  </si>
  <si>
    <t>3.12004460358166</t>
  </si>
  <si>
    <t>2.00061717503941</t>
  </si>
  <si>
    <t>0.388644528758022</t>
  </si>
  <si>
    <t>-0.742700250740796</t>
  </si>
  <si>
    <t>1.31670533871484</t>
  </si>
  <si>
    <t>1.74335584048488</t>
  </si>
  <si>
    <t>2.06429610242003</t>
  </si>
  <si>
    <t>0.914100160109228</t>
  </si>
  <si>
    <t>0.344576815256147</t>
  </si>
  <si>
    <t>1.84143317836185</t>
  </si>
  <si>
    <t>2.7646735234789</t>
  </si>
  <si>
    <t>9.78760222945397</t>
  </si>
  <si>
    <t>-0.82402964548983</t>
  </si>
  <si>
    <t>13.1034263111952</t>
  </si>
  <si>
    <t>12.8949230668111</t>
  </si>
  <si>
    <t>-3.20636522705752</t>
  </si>
  <si>
    <t>-0.324413640168828</t>
  </si>
  <si>
    <t>3.39737536562656</t>
  </si>
  <si>
    <t>6.5223846924134</t>
  </si>
  <si>
    <t>8.61212740387214</t>
  </si>
  <si>
    <t>-0.566535421885661</t>
  </si>
  <si>
    <t>10.0018870467418</t>
  </si>
  <si>
    <t>10.6281141882513</t>
  </si>
  <si>
    <t>15.2872312897992</t>
  </si>
  <si>
    <t>17.2695781685296</t>
  </si>
  <si>
    <t>12.3093831570197</t>
  </si>
  <si>
    <t>15.6770100975822</t>
  </si>
  <si>
    <t>89.6000215004788</t>
  </si>
  <si>
    <t>19.6921365199916</t>
  </si>
  <si>
    <t>28.4330071321634</t>
  </si>
  <si>
    <t>36.4711581824299</t>
  </si>
  <si>
    <t>71.6084015617209</t>
  </si>
  <si>
    <t>28.0181242716795</t>
  </si>
  <si>
    <t>39.0604267284057</t>
  </si>
  <si>
    <t>29.7061239387591</t>
  </si>
  <si>
    <t>63.9323172078169</t>
  </si>
  <si>
    <t>102.704467581385</t>
  </si>
  <si>
    <t>215.830205539544</t>
  </si>
  <si>
    <t>35.5290140050371</t>
  </si>
  <si>
    <t>25.0005043882989</t>
  </si>
  <si>
    <t>54.6634870137718</t>
  </si>
  <si>
    <t>55.8147453417915</t>
  </si>
  <si>
    <t>31.4999969298742</t>
  </si>
  <si>
    <t>29.9323763003659</t>
  </si>
  <si>
    <t>33.6111065976064</t>
  </si>
  <si>
    <t>21.9556451811188</t>
  </si>
  <si>
    <t>14.3876863044206</t>
  </si>
  <si>
    <t>14.6097983167277</t>
  </si>
  <si>
    <t>8.24338668888598</t>
  </si>
  <si>
    <t>7.72046671062576</t>
  </si>
  <si>
    <t>16.0638020616769</t>
  </si>
  <si>
    <t>-6.86776599891034</t>
  </si>
  <si>
    <t>3.51717021973346</t>
  </si>
  <si>
    <t>2.05988988555681</t>
  </si>
  <si>
    <t>2.37613172422517</t>
  </si>
  <si>
    <t>-15.3469023050206</t>
  </si>
  <si>
    <t>-2.88779805597117</t>
  </si>
  <si>
    <t>5.77054398305643</t>
  </si>
  <si>
    <t>-10.4668138347536</t>
  </si>
  <si>
    <t>8.92321069866951</t>
  </si>
  <si>
    <t>6.94895320598204</t>
  </si>
  <si>
    <t>0.597727181659508</t>
  </si>
  <si>
    <t>4.97532968432834</t>
  </si>
  <si>
    <t>11.8594164700306</t>
  </si>
  <si>
    <t>5.36583593677899</t>
  </si>
  <si>
    <t>7.3886001174333</t>
  </si>
  <si>
    <t>4.5724656131988</t>
  </si>
  <si>
    <t>85.5841901503822</t>
  </si>
  <si>
    <t>17.8992911381943</t>
  </si>
  <si>
    <t>24.5816708667068</t>
  </si>
  <si>
    <t>28.8693543195707</t>
  </si>
  <si>
    <t>79.2183508682465</t>
  </si>
  <si>
    <t>84.1527429423523</t>
  </si>
  <si>
    <t>19.1017136778035</t>
  </si>
  <si>
    <t>12.5286894504112</t>
  </si>
  <si>
    <t>8.12865616706782</t>
  </si>
  <si>
    <t>13.8856609004848</t>
  </si>
  <si>
    <t>13.839225499575</t>
  </si>
  <si>
    <t>8.8316860769138</t>
  </si>
  <si>
    <t>8.4369259125118</t>
  </si>
  <si>
    <t>4.95030895713286</t>
  </si>
  <si>
    <t>11.0023151879629</t>
  </si>
  <si>
    <t>6.04404445896019</t>
  </si>
  <si>
    <t>7.8010852139731</t>
  </si>
  <si>
    <t>2.90940668005459</t>
  </si>
  <si>
    <t>2.16912087992016</t>
  </si>
  <si>
    <t>1.54382768559221</t>
  </si>
  <si>
    <t>2.99735460836095</t>
  </si>
  <si>
    <t>1.99999940277962</t>
  </si>
  <si>
    <t>2.34783114136296</t>
  </si>
  <si>
    <t>5.68404945078089</t>
  </si>
  <si>
    <t>10.5159219499465</t>
  </si>
  <si>
    <t>13.8402321392915</t>
  </si>
  <si>
    <t>4.12004653533484</t>
  </si>
  <si>
    <t>1.28037535067494</t>
  </si>
  <si>
    <t>3.85955208091369</t>
  </si>
  <si>
    <t>10.9448052413917</t>
  </si>
  <si>
    <t>10.2919849515809</t>
  </si>
  <si>
    <t>10.4461251876848</t>
  </si>
  <si>
    <t>12.7409349281657</t>
  </si>
  <si>
    <t>11.8638552478514</t>
  </si>
  <si>
    <t>8.024221995461</t>
  </si>
  <si>
    <t>9.61162965797724</t>
  </si>
  <si>
    <t>9.15994113825138</t>
  </si>
  <si>
    <t>10.4082837311963</t>
  </si>
  <si>
    <t>8.67101474106172</t>
  </si>
  <si>
    <t>23.8310252650339</t>
  </si>
  <si>
    <t>9.99812532063849</t>
  </si>
  <si>
    <t>5.08805758617257</t>
  </si>
  <si>
    <t>6.94749109270616</t>
  </si>
  <si>
    <t>7.75843693367269</t>
  </si>
  <si>
    <t>8.84439624700958</t>
  </si>
  <si>
    <t>6.55399065644978</t>
  </si>
  <si>
    <t>3.86243458570234</t>
  </si>
  <si>
    <t>5.81434413395987</t>
  </si>
  <si>
    <t>7.68840142534579</t>
  </si>
  <si>
    <t>7.56269974481235</t>
  </si>
  <si>
    <t>9.75092298812891</t>
  </si>
  <si>
    <t>4.78100029080551</t>
  </si>
  <si>
    <t>2.85603411987745</t>
  </si>
  <si>
    <t>5.90670766327823</t>
  </si>
  <si>
    <t>4.80427142532388</t>
  </si>
  <si>
    <t>-11.8293295391053</t>
  </si>
  <si>
    <t>12.9264024311492</t>
  </si>
  <si>
    <t>38.8333429721931</t>
  </si>
  <si>
    <t>46.5069047554802</t>
  </si>
  <si>
    <t>36.5121584994857</t>
  </si>
  <si>
    <t>-26.7002845822567</t>
  </si>
  <si>
    <t>17.6893321393151</t>
  </si>
  <si>
    <t>3.13425473123863</t>
  </si>
  <si>
    <t>1.63024682646285</t>
  </si>
  <si>
    <t>3.7019603833054</t>
  </si>
  <si>
    <t>2.83779272893581</t>
  </si>
  <si>
    <t>2.71222764713974</t>
  </si>
  <si>
    <t>4.5398067822355</t>
  </si>
  <si>
    <t>3.51414655935717</t>
  </si>
  <si>
    <t>5.56553386565341</t>
  </si>
  <si>
    <t>10.3188724632545</t>
  </si>
  <si>
    <t>14.4892090698909</t>
  </si>
  <si>
    <t>11.286974864322</t>
  </si>
  <si>
    <t>10.1095397022797</t>
  </si>
  <si>
    <t>10.5799394870567</t>
  </si>
  <si>
    <t>8.86103068374191</t>
  </si>
  <si>
    <t>11.4550041162189</t>
  </si>
  <si>
    <t>12.8646273399031</t>
  </si>
  <si>
    <t>10.6252870249993</t>
  </si>
  <si>
    <t>10.8392558019708</t>
  </si>
  <si>
    <t>6.96128200795714</t>
  </si>
  <si>
    <t>5.94683478932345</t>
  </si>
  <si>
    <t>3.36037257272762</t>
  </si>
  <si>
    <t>5.64097124955398</t>
  </si>
  <si>
    <t>9.19547306727744</t>
  </si>
  <si>
    <t>5.61835942319506</t>
  </si>
  <si>
    <t>3.81334835981615</t>
  </si>
  <si>
    <t>3.08839123897887</t>
  </si>
  <si>
    <t>2.92789713727939</t>
  </si>
  <si>
    <t>4.56511461778215</t>
  </si>
  <si>
    <t>4.80529528782022</t>
  </si>
  <si>
    <t>4.1041617498425</t>
  </si>
  <si>
    <t>2.70224724381033</t>
  </si>
  <si>
    <t>4.28056265157745</t>
  </si>
  <si>
    <t>5.63049185397639</t>
  </si>
  <si>
    <t>8.29018747603367</t>
  </si>
  <si>
    <t>12.5480739892703</t>
  </si>
  <si>
    <t>9.75826445116513</t>
  </si>
  <si>
    <t>6.64959262379877</t>
  </si>
  <si>
    <t>12.8610060580281</t>
  </si>
  <si>
    <t>6.45370674424963</t>
  </si>
  <si>
    <t>3.02831268774926</t>
  </si>
  <si>
    <t>2.7869098819283</t>
  </si>
  <si>
    <t>2.24218127684152</t>
  </si>
  <si>
    <t>1.32705754283985</t>
  </si>
  <si>
    <t>2.77328121859048</t>
  </si>
  <si>
    <t>1.90545540481198</t>
  </si>
  <si>
    <t>2.2149806797436</t>
  </si>
  <si>
    <t>1.94998202111621</t>
  </si>
  <si>
    <t>1.78508543297745</t>
  </si>
  <si>
    <t>0.402303195023002</t>
  </si>
  <si>
    <t>2.92731350035407</t>
  </si>
  <si>
    <t>5.71661624053541</t>
  </si>
  <si>
    <t>4.3740620157435</t>
  </si>
  <si>
    <t>-6.19413576798131</t>
  </si>
  <si>
    <t>3.61303983130364</t>
  </si>
  <si>
    <t>20.5895100059358</t>
  </si>
  <si>
    <t>1.23132746798224</t>
  </si>
  <si>
    <t>-0.830229865827221</t>
  </si>
  <si>
    <t>0.816728300436026</t>
  </si>
  <si>
    <t>-4.80766176918176</t>
  </si>
  <si>
    <t>-0.531043826818035</t>
  </si>
  <si>
    <t>24.639980007431</t>
  </si>
  <si>
    <t>25.9039284864759</t>
  </si>
  <si>
    <t>-0.392853972285707</t>
  </si>
  <si>
    <t>0.469319260828087</t>
  </si>
  <si>
    <t>15.587584385592</t>
  </si>
  <si>
    <t>-2.24528847916254</t>
  </si>
  <si>
    <t>28.7347735420046</t>
  </si>
  <si>
    <t>44.7541184885392</t>
  </si>
  <si>
    <t>33.3219758698073</t>
  </si>
  <si>
    <t>39.3575097844403</t>
  </si>
  <si>
    <t>42.2390438110288</t>
  </si>
  <si>
    <t>25.3451937487011</t>
  </si>
  <si>
    <t>39.5587242691663</t>
  </si>
  <si>
    <t>75.3876340294399</t>
  </si>
  <si>
    <t>74.1896126763799</t>
  </si>
  <si>
    <t>50.0639161288971</t>
  </si>
  <si>
    <t>99.2359560303157</t>
  </si>
  <si>
    <t>39.1139821397442</t>
  </si>
  <si>
    <t>16.0000191920269</t>
  </si>
  <si>
    <t>7.90479558956943</t>
  </si>
  <si>
    <t>9.97601520165648</t>
  </si>
  <si>
    <t>7.18447295504446</t>
  </si>
  <si>
    <t>11.5148122597808</t>
  </si>
  <si>
    <t>13.8397977822705</t>
  </si>
  <si>
    <t>14.8393417321248</t>
  </si>
  <si>
    <t>19.0925741408707</t>
  </si>
  <si>
    <t>13.3249989171462</t>
  </si>
  <si>
    <t>9.60258189970895</t>
  </si>
  <si>
    <t>28.8282864494996</t>
  </si>
  <si>
    <t>13.9533488007692</t>
  </si>
  <si>
    <t>6.96532412446513</t>
  </si>
  <si>
    <t>11.6807042204602</t>
  </si>
  <si>
    <t>6.46776354057626</t>
  </si>
  <si>
    <t>7.20255760722401</t>
  </si>
  <si>
    <t>4.62269799152351</t>
  </si>
  <si>
    <t>4.50369709639151</t>
  </si>
  <si>
    <t>7.05347169543845</t>
  </si>
  <si>
    <t>4.08077375939095</t>
  </si>
  <si>
    <t>8.91966149527528</t>
  </si>
  <si>
    <t>11.2643680903642</t>
  </si>
  <si>
    <t>9.26827734771341</t>
  </si>
  <si>
    <t>15.7806509935932</t>
  </si>
  <si>
    <t>21.6884761062027</t>
  </si>
  <si>
    <t>3.79775567442124</t>
  </si>
  <si>
    <t>0.196254935101265</t>
  </si>
  <si>
    <t>1.63252105805797</t>
  </si>
  <si>
    <t>2.94961654585006</t>
  </si>
  <si>
    <t>3.08986462201489</t>
  </si>
  <si>
    <t>4.26345448404659</t>
  </si>
  <si>
    <t>10.8100970451919</t>
  </si>
  <si>
    <t>-0.190339299486652</t>
  </si>
  <si>
    <t>15.1579450029071</t>
  </si>
  <si>
    <t>7.55455597179903</t>
  </si>
  <si>
    <t>7.03240516483143</t>
  </si>
  <si>
    <t>11.4007062429351</t>
  </si>
  <si>
    <t>4.41073704063454</t>
  </si>
  <si>
    <t>0.475938662315542</t>
  </si>
  <si>
    <t>-0.313079241866063</t>
  </si>
  <si>
    <t>-0.939542487183417</t>
  </si>
  <si>
    <t>1.25184094872542</t>
  </si>
  <si>
    <t>17.2588237181322</t>
  </si>
  <si>
    <t>9.89739124703175</t>
  </si>
  <si>
    <t>49.9084300296269</t>
  </si>
  <si>
    <t>12.3376365857229</t>
  </si>
  <si>
    <t>34.8989224864435</t>
  </si>
  <si>
    <t>157.453710886709</t>
  </si>
  <si>
    <t>438.263725772759</t>
  </si>
  <si>
    <t>276.753845395386</t>
  </si>
  <si>
    <t>11.8825503719107</t>
  </si>
  <si>
    <t>17.2116243166659</t>
  </si>
  <si>
    <t>73.9731867593173</t>
  </si>
  <si>
    <t>60.7428213798917</t>
  </si>
  <si>
    <t>39.530228233387</t>
  </si>
  <si>
    <t>37.4532823192579</t>
  </si>
  <si>
    <t>21.3179782161229</t>
  </si>
  <si>
    <t>12.8379278475888</t>
  </si>
  <si>
    <t>15.5398119400855</t>
  </si>
  <si>
    <t>39.0361246319048</t>
  </si>
  <si>
    <t>6.4252012519074</t>
  </si>
  <si>
    <t>15.5211432201182</t>
  </si>
  <si>
    <t>6.48362424782576</t>
  </si>
  <si>
    <t>7.19655419062693</t>
  </si>
  <si>
    <t>13.8444468459506</t>
  </si>
  <si>
    <t>10.7352006048331</t>
  </si>
  <si>
    <t>0.383766168173977</t>
  </si>
  <si>
    <t>1.58368715816022</t>
  </si>
  <si>
    <t>4.85459060945995</t>
  </si>
  <si>
    <t>24.0693638258796</t>
  </si>
  <si>
    <t>28.1451055406702</t>
  </si>
  <si>
    <t>5.66059377089626</t>
  </si>
  <si>
    <t>5.17890859157816</t>
  </si>
  <si>
    <t>45.2177563492464</t>
  </si>
  <si>
    <t>62.0745334560841</t>
  </si>
  <si>
    <t>49.4232837396802</t>
  </si>
  <si>
    <t>32.2686064902092</t>
  </si>
  <si>
    <t>34.607140083354</t>
  </si>
  <si>
    <t>11.2146162986406</t>
  </si>
  <si>
    <t>15.5779147056439</t>
  </si>
  <si>
    <t>9.8910681373068</t>
  </si>
  <si>
    <t>4.68033984186214</t>
  </si>
  <si>
    <t>4.72932550418921</t>
  </si>
  <si>
    <t>5.00367407361483</t>
  </si>
  <si>
    <t>7.29395135651527</t>
  </si>
  <si>
    <t>9.68117960433668</t>
  </si>
  <si>
    <t>4.04623615991737</t>
  </si>
  <si>
    <t>5.44607996105175</t>
  </si>
  <si>
    <t>5.90529817118028</t>
  </si>
  <si>
    <t>2.64656711097582</t>
  </si>
  <si>
    <t>1.17772604127171</t>
  </si>
  <si>
    <t>2.98536275879336</t>
  </si>
  <si>
    <t>-1.12257190426035</t>
  </si>
  <si>
    <t>0.470528037018013</t>
  </si>
  <si>
    <t>1.61977068406445</t>
  </si>
  <si>
    <t>1.33888228226206</t>
  </si>
  <si>
    <t>0.534061780956677</t>
  </si>
  <si>
    <t>-0.132601652541283</t>
  </si>
  <si>
    <t>-0.185693219770044</t>
  </si>
  <si>
    <t>-0.390909938960164</t>
  </si>
  <si>
    <t>1.18187358611384</t>
  </si>
  <si>
    <t>2.10864784120307</t>
  </si>
  <si>
    <t>2.40120775491499</t>
  </si>
  <si>
    <t>2.24393114860719</t>
  </si>
  <si>
    <t>7.48894730705902</t>
  </si>
  <si>
    <t>10.1364912548588</t>
  </si>
  <si>
    <t>94.9277875541253</t>
  </si>
  <si>
    <t>208.17782277309</t>
  </si>
  <si>
    <t>37.0791193186463</t>
  </si>
  <si>
    <t>22.589236406677</t>
  </si>
  <si>
    <t>15.155058667176</t>
  </si>
  <si>
    <t>11.4966416139632</t>
  </si>
  <si>
    <t>8.30053665459974</t>
  </si>
  <si>
    <t>7.41428806465807</t>
  </si>
  <si>
    <t>6.5408556099006</t>
  </si>
  <si>
    <t>8.70000614877415</t>
  </si>
  <si>
    <t>7.61980985590355</t>
  </si>
  <si>
    <t>5.66345782357303</t>
  </si>
  <si>
    <t>3.35817484405874</t>
  </si>
  <si>
    <t>1.50299789756312</t>
  </si>
  <si>
    <t>2.22359964757672</t>
  </si>
  <si>
    <t>4.20025128686945</t>
  </si>
  <si>
    <t>4.50501550359247</t>
  </si>
  <si>
    <t>-0.491469663518984</t>
  </si>
  <si>
    <t>1.36451861108193</t>
  </si>
  <si>
    <t>0.626619401658687</t>
  </si>
  <si>
    <t>0.631553050140269</t>
  </si>
  <si>
    <t>0.867195845770979</t>
  </si>
  <si>
    <t>1.28762872790161</t>
  </si>
  <si>
    <t>2.1809554232366</t>
  </si>
  <si>
    <t>1.18953023258868</t>
  </si>
  <si>
    <t>2.68996436135656</t>
  </si>
  <si>
    <t>6.51715101546723</t>
  </si>
  <si>
    <t>10.0501057520513</t>
  </si>
  <si>
    <t>2.93737835041019</t>
  </si>
  <si>
    <t>4.0202671158756</t>
  </si>
  <si>
    <t>2.7619012052017</t>
  </si>
  <si>
    <t>4.39853248860645</t>
  </si>
  <si>
    <t>5.99314021216031</t>
  </si>
  <si>
    <t>6.54798108734573</t>
  </si>
  <si>
    <t>5.0102390904752</t>
  </si>
  <si>
    <t>2.39151832835715</t>
  </si>
  <si>
    <t>3.41821097256178</t>
  </si>
  <si>
    <t>5.17310768871873</t>
  </si>
  <si>
    <t>7.11028810426215</t>
  </si>
  <si>
    <t>6.97316536609213</t>
  </si>
  <si>
    <t>7.03377037281902</t>
  </si>
  <si>
    <t>9.45814670826894</t>
  </si>
  <si>
    <t>11.918966412479</t>
  </si>
  <si>
    <t>10.5295691754217</t>
  </si>
  <si>
    <t>9.54906715208419</t>
  </si>
  <si>
    <t>11.7165099049294</t>
  </si>
  <si>
    <t>8.76734224773226</t>
  </si>
  <si>
    <t>8.08460534650519</t>
  </si>
  <si>
    <t>9.95406204032167</t>
  </si>
  <si>
    <t>7.63598203769244</t>
  </si>
  <si>
    <t>6.40450682754603</t>
  </si>
  <si>
    <t>6.32272325993377</t>
  </si>
  <si>
    <t>7.92466691023212</t>
  </si>
  <si>
    <t>9.47382071415691</t>
  </si>
  <si>
    <t>1.01534119781775</t>
  </si>
  <si>
    <t>2.21227113708235</t>
  </si>
  <si>
    <t>2.5024217543818</t>
  </si>
  <si>
    <t>3.70492901717989</t>
  </si>
  <si>
    <t>1.05235025565578</t>
  </si>
  <si>
    <t>1.49858117943363</t>
  </si>
  <si>
    <t>0.867072198769463</t>
  </si>
  <si>
    <t>1.00391345454651</t>
  </si>
  <si>
    <t>1.57193733934425</t>
  </si>
  <si>
    <t>1.62347188399643</t>
  </si>
  <si>
    <t>1.8478562751048</t>
  </si>
  <si>
    <t>0.41463529336707</t>
  </si>
  <si>
    <t>0.764452784934761</t>
  </si>
  <si>
    <t>1.74607307016446</t>
  </si>
  <si>
    <t>2.92412818796939</t>
  </si>
  <si>
    <t>3.36159327618984</t>
  </si>
  <si>
    <t>2.35890020403473</t>
  </si>
  <si>
    <t>1.03025947287551</t>
  </si>
  <si>
    <t>1.11730008631683</t>
  </si>
  <si>
    <t>0.949517917737836</t>
  </si>
  <si>
    <t>1.01164751434032</t>
  </si>
  <si>
    <t>1.83270691050184</t>
  </si>
  <si>
    <t>2.25343232544076</t>
  </si>
  <si>
    <t>1.65202001199931</t>
  </si>
  <si>
    <t>2.22655133855243</t>
  </si>
  <si>
    <t>2.61612019490897</t>
  </si>
  <si>
    <t>2.42065007708676</t>
  </si>
  <si>
    <t>1.79366288715698</t>
  </si>
  <si>
    <t>2.7406333444759</t>
  </si>
  <si>
    <t>5.78193714856063</t>
  </si>
  <si>
    <t>6.14906969650426</t>
  </si>
  <si>
    <t>7.12484416978508</t>
  </si>
  <si>
    <t>9.62726502294498</t>
  </si>
  <si>
    <t>25.2306765558379</t>
  </si>
  <si>
    <t>10.2889454822052</t>
  </si>
  <si>
    <t>4.2137318840232</t>
  </si>
  <si>
    <t>13.5702783875818</t>
  </si>
  <si>
    <t>10.5599584961412</t>
  </si>
  <si>
    <t>13.5877053732983</t>
  </si>
  <si>
    <t>8.20953778308559</t>
  </si>
  <si>
    <t>3.51034453345262</t>
  </si>
  <si>
    <t>15.1796855611054</t>
  </si>
  <si>
    <t>11.0649666289942</t>
  </si>
  <si>
    <t>5.9873722723693</t>
  </si>
  <si>
    <t>1.11311695570319</t>
  </si>
  <si>
    <t>24.1326094906132</t>
  </si>
  <si>
    <t>2.89173725080846</t>
  </si>
  <si>
    <t>30.3849073796422</t>
  </si>
  <si>
    <t>8.77775047847651</t>
  </si>
  <si>
    <t>11.1882501385417</t>
  </si>
  <si>
    <t>17.3897594883067</t>
  </si>
  <si>
    <t>10.9704267437488</t>
  </si>
  <si>
    <t>16.6493806511786</t>
  </si>
  <si>
    <t>7.68236513309029</t>
  </si>
  <si>
    <t>11.3448411809325</t>
  </si>
  <si>
    <t>7.40527799272625</t>
  </si>
  <si>
    <t>5.37005904671244</t>
  </si>
  <si>
    <t>25.342941717642</t>
  </si>
  <si>
    <t>8.94261935672024</t>
  </si>
  <si>
    <t>6.00549567737518</t>
  </si>
  <si>
    <t>3.87128784547623</t>
  </si>
  <si>
    <t>4.04116194744795</t>
  </si>
  <si>
    <t>5.01429789090137</t>
  </si>
  <si>
    <t>10.4255760885952</t>
  </si>
  <si>
    <t>9.76992430013273</t>
  </si>
  <si>
    <t>3.19717545893681</t>
  </si>
  <si>
    <t>5.34094513529033</t>
  </si>
  <si>
    <t>8.74837350194572</t>
  </si>
  <si>
    <t>2.38017574836624</t>
  </si>
  <si>
    <t>6.31006367634119</t>
  </si>
  <si>
    <t>5.72703207972572</t>
  </si>
  <si>
    <t>6.51814335933494</t>
  </si>
  <si>
    <t>5.89607425928853</t>
  </si>
  <si>
    <t>3.50177180405096</t>
  </si>
  <si>
    <t>2.54846036774322</t>
  </si>
  <si>
    <t>4.86403113991642</t>
  </si>
  <si>
    <t>0.167992453327443</t>
  </si>
  <si>
    <t>9.76589853061334</t>
  </si>
  <si>
    <t>1.62022800466512</t>
  </si>
  <si>
    <t>1.12875903023384</t>
  </si>
  <si>
    <t>0.295015877945247</t>
  </si>
  <si>
    <t>3.87309650875972</t>
  </si>
  <si>
    <t>2.41867590016453</t>
  </si>
  <si>
    <t>31.0605071174675</t>
  </si>
  <si>
    <t>4.00778518211102</t>
  </si>
  <si>
    <t>-0.320844612000187</t>
  </si>
  <si>
    <t>2.55581757014862</t>
  </si>
  <si>
    <t>-0.096963578940688</t>
  </si>
  <si>
    <t>0.759240923003787</t>
  </si>
  <si>
    <t>1.31368166079125</t>
  </si>
  <si>
    <t>4.64369866790126</t>
  </si>
  <si>
    <t>3.46083611779808</t>
  </si>
  <si>
    <t>2.02312138728323</t>
  </si>
  <si>
    <t>1.45690288202813</t>
  </si>
  <si>
    <t>0.599020604281449</t>
  </si>
  <si>
    <t>-0.00246294913198142</t>
  </si>
  <si>
    <t>4.37958454460581</t>
  </si>
  <si>
    <t>2.45082023923473</t>
  </si>
  <si>
    <t>-7.47426557621745</t>
  </si>
  <si>
    <t>2.03924607082391</t>
  </si>
  <si>
    <t>3.39807020656309</t>
  </si>
  <si>
    <t>2.35162374020157</t>
  </si>
  <si>
    <t>2.90537958289478</t>
  </si>
  <si>
    <t>1.57443033533058</t>
  </si>
  <si>
    <t>27.7112179404</t>
  </si>
  <si>
    <t>20.9343671658419</t>
  </si>
  <si>
    <t>13.5072364277506</t>
  </si>
  <si>
    <t>9.13417048405334</t>
  </si>
  <si>
    <t>43.8052476919152</t>
  </si>
  <si>
    <t>-0.45523946562848</t>
  </si>
  <si>
    <t>17.0099683670188</t>
  </si>
  <si>
    <t>31.0359214861763</t>
  </si>
  <si>
    <t>7.34665178348087</t>
  </si>
  <si>
    <t>1.72612433450811</t>
  </si>
  <si>
    <t>3.18700465907085</t>
  </si>
  <si>
    <t>3.1332451227357</t>
  </si>
  <si>
    <t>2.2794112337051</t>
  </si>
  <si>
    <t>5.74667769450335</t>
  </si>
  <si>
    <t>3.67382337186521</t>
  </si>
  <si>
    <t>2.12576591385761</t>
  </si>
  <si>
    <t>6.37017748565415</t>
  </si>
  <si>
    <t>-2.04315668579625</t>
  </si>
  <si>
    <t>4.66825525992283</t>
  </si>
  <si>
    <t>2.65603359305877</t>
  </si>
  <si>
    <t>-2.07293038336191</t>
  </si>
  <si>
    <t>-6.08026715563722</t>
  </si>
  <si>
    <t>0.874655608207902</t>
  </si>
  <si>
    <t>10.4117836445154</t>
  </si>
  <si>
    <t>2.05663474416527</t>
  </si>
  <si>
    <t>1.25194515123741</t>
  </si>
  <si>
    <t>6.15676158548635</t>
  </si>
  <si>
    <t>24.674119952404</t>
  </si>
  <si>
    <t>0.45864511054863</t>
  </si>
  <si>
    <t>1.44234444771681</t>
  </si>
  <si>
    <t>11.0793956861201</t>
  </si>
  <si>
    <t>31.9263160249952</t>
  </si>
  <si>
    <t>28.1819635812916</t>
  </si>
  <si>
    <t>-2.11971044632016</t>
  </si>
  <si>
    <t>1.06438138123271</t>
  </si>
  <si>
    <t>10.4372838765698</t>
  </si>
  <si>
    <t>5.64023151837689</t>
  </si>
  <si>
    <t>6.43587163230623</t>
  </si>
  <si>
    <t>-1.00318641871358</t>
  </si>
  <si>
    <t>-2.29456846888873</t>
  </si>
  <si>
    <t>2.33249048759716</t>
  </si>
  <si>
    <t>3.44738196587787</t>
  </si>
  <si>
    <t>0.126950238609624</t>
  </si>
  <si>
    <t>5.23042858538314</t>
  </si>
  <si>
    <t>2.75005993802337</t>
  </si>
  <si>
    <t>1.52239094163566</t>
  </si>
  <si>
    <t>-0.932509493159856</t>
  </si>
  <si>
    <t>-0.565431830039103</t>
  </si>
  <si>
    <t>-2.74775082385237</t>
  </si>
  <si>
    <t>22.5011921106247</t>
  </si>
  <si>
    <t>-2.95205309007281</t>
  </si>
  <si>
    <t>7.59091299043087</t>
  </si>
  <si>
    <t>0.937731458959632</t>
  </si>
  <si>
    <t>4.32359578317309</t>
  </si>
  <si>
    <t>-3.17530683126216</t>
  </si>
  <si>
    <t>0.894965293338345</t>
  </si>
  <si>
    <t>8.1523145570706</t>
  </si>
  <si>
    <t>-8.35412629212598</t>
  </si>
  <si>
    <t>19.3559530148506</t>
  </si>
  <si>
    <t>27.7336249167066</t>
  </si>
  <si>
    <t>11.7221938009908</t>
  </si>
  <si>
    <t>6.93719250081648</t>
  </si>
  <si>
    <t>9.05830830285821</t>
  </si>
  <si>
    <t>19.0616583772759</t>
  </si>
  <si>
    <t>1.73997193742113</t>
  </si>
  <si>
    <t>11.2665167832413</t>
  </si>
  <si>
    <t>1.01704622446586</t>
  </si>
  <si>
    <t>30.4503196519935</t>
  </si>
  <si>
    <t>25.6832768309677</t>
  </si>
  <si>
    <t>23.443423949845</t>
  </si>
  <si>
    <t>30.0238812367079</t>
  </si>
  <si>
    <t>23.8225663973854</t>
  </si>
  <si>
    <t>5.58194055508412</t>
  </si>
  <si>
    <t>4.88389983631374</t>
  </si>
  <si>
    <t>14.0896830498087</t>
  </si>
  <si>
    <t>5.41155285509424</t>
  </si>
  <si>
    <t>10.1710796886465</t>
  </si>
  <si>
    <t>-0.717712586814741</t>
  </si>
  <si>
    <t>9.70098596983003</t>
  </si>
  <si>
    <t>0.394124325358419</t>
  </si>
  <si>
    <t>-1.43064021841795</t>
  </si>
  <si>
    <t>10.3263712398652</t>
  </si>
  <si>
    <t>11.9504489708053</t>
  </si>
  <si>
    <t>10.7690643740435</t>
  </si>
  <si>
    <t>6.8992650940543</t>
  </si>
  <si>
    <t>11.5740778155847</t>
  </si>
  <si>
    <t>26.2462552485551</t>
  </si>
  <si>
    <t>31.7701939095293</t>
  </si>
  <si>
    <t>37.0945840345087</t>
  </si>
  <si>
    <t>38.2145477487644</t>
  </si>
  <si>
    <t>36.8710415587113</t>
  </si>
  <si>
    <t>37.2209382232321</t>
  </si>
  <si>
    <t>13.1879402830296</t>
  </si>
  <si>
    <t>19.8313540100224</t>
  </si>
  <si>
    <t>61.5864142890263</t>
  </si>
  <si>
    <t>118.274086326127</t>
  </si>
  <si>
    <t>112.14365352308</t>
  </si>
  <si>
    <t>0.756185324269183</t>
  </si>
  <si>
    <t>2.62467548724537</t>
  </si>
  <si>
    <t>2.57677899551956</t>
  </si>
  <si>
    <t>0.623168365108711</t>
  </si>
  <si>
    <t>2.21538461538462</t>
  </si>
  <si>
    <t>3.87215550797131</t>
  </si>
  <si>
    <t>-0.959943373384348</t>
  </si>
  <si>
    <t>-10.1302434239062</t>
  </si>
  <si>
    <t>23.8242458240874</t>
  </si>
  <si>
    <t>10.6403018542625</t>
  </si>
  <si>
    <t>12.7470391990364</t>
  </si>
  <si>
    <t>5.06282790068819</t>
  </si>
  <si>
    <t>1.53457996041548</t>
  </si>
  <si>
    <t>5.6420649793486</t>
  </si>
  <si>
    <t>8.2312516729027</t>
  </si>
  <si>
    <t>5.66570163304911</t>
  </si>
  <si>
    <t>5.98287514510287</t>
  </si>
  <si>
    <t>3.27928791907497</t>
  </si>
  <si>
    <t>2.03146493895743</t>
  </si>
  <si>
    <t>2.06733982748017</t>
  </si>
  <si>
    <t>8.99174877486901</t>
  </si>
  <si>
    <t>6.71359429875471</t>
  </si>
  <si>
    <t>3.73569349604588</t>
  </si>
  <si>
    <t>8.61801944417242</t>
  </si>
  <si>
    <t>9.89977571152785</t>
  </si>
  <si>
    <t>8.18975797080374</t>
  </si>
  <si>
    <t>8.73490443580813</t>
  </si>
  <si>
    <t>8.0547582837101</t>
  </si>
  <si>
    <t>9.2207836482545</t>
  </si>
  <si>
    <t>0.0121269458297064</t>
  </si>
  <si>
    <t>24.066353134175</t>
  </si>
  <si>
    <t>-5.11319482905881</t>
  </si>
  <si>
    <t>-16.9328260825259</t>
  </si>
  <si>
    <t>-3.13308180987801</t>
  </si>
  <si>
    <t>9.36193041017259</t>
  </si>
  <si>
    <t>-1.25261064954201</t>
  </si>
  <si>
    <t>8.01232903488547</t>
  </si>
  <si>
    <t>3.0734989661165</t>
  </si>
  <si>
    <t>-12.9065538294357</t>
  </si>
  <si>
    <t>-1.31460371890813</t>
  </si>
  <si>
    <t>43.5449637733589</t>
  </si>
  <si>
    <t>8.83312726645855</t>
  </si>
  <si>
    <t>11.4584549508316</t>
  </si>
  <si>
    <t>3.78278546499355</t>
  </si>
  <si>
    <t>-7.57286628466451</t>
  </si>
  <si>
    <t>5.2898048599024</t>
  </si>
  <si>
    <t>13.797652751767</t>
  </si>
  <si>
    <t>1.90781944012426</t>
  </si>
  <si>
    <t>0.0790046920912317</t>
  </si>
  <si>
    <t>9.73425647986646</t>
  </si>
  <si>
    <t>28.1119336760507</t>
  </si>
  <si>
    <t>9.98442792041423</t>
  </si>
  <si>
    <t>3.30193426256776</t>
  </si>
  <si>
    <t>8.64881979028074</t>
  </si>
  <si>
    <t>-9.55875447756326</t>
  </si>
  <si>
    <t>1.09724571223187</t>
  </si>
  <si>
    <t>-4.14136740417744</t>
  </si>
  <si>
    <t>0.645785332472741</t>
  </si>
  <si>
    <t>-8.48001725832678</t>
  </si>
  <si>
    <t>-1.40083927949904</t>
  </si>
  <si>
    <t>0.0282519135155042</t>
  </si>
  <si>
    <t>5.01465777807508</t>
  </si>
  <si>
    <t>-5.45489640763718</t>
  </si>
  <si>
    <t>7.16657628897821</t>
  </si>
  <si>
    <t>15.145121891457</t>
  </si>
  <si>
    <t>-0.936604165489314</t>
  </si>
  <si>
    <t>4.40917556141376</t>
  </si>
  <si>
    <t>11.8446603112013</t>
  </si>
  <si>
    <t>10.2476641287466</t>
  </si>
  <si>
    <t>8.47751185383023</t>
  </si>
  <si>
    <t>7.47506009571129</t>
  </si>
  <si>
    <t>3.86015928813319</t>
  </si>
  <si>
    <t>7.819157355407</t>
  </si>
  <si>
    <t>7.96211849972875</t>
  </si>
  <si>
    <t>6.97641986027351</t>
  </si>
  <si>
    <t>8.50321977991968</t>
  </si>
  <si>
    <t>5.15041470927051</t>
  </si>
  <si>
    <t>4.59005094492848</t>
  </si>
  <si>
    <t>5.7769601471735</t>
  </si>
  <si>
    <t>96.2296807967452</t>
  </si>
  <si>
    <t>887.571722496244</t>
  </si>
  <si>
    <t>973.277616990762</t>
  </si>
  <si>
    <t>269.726302767998</t>
  </si>
  <si>
    <t>139.981243098184</t>
  </si>
  <si>
    <t>10.8730542489216</t>
  </si>
  <si>
    <t>18.1427225039311</t>
  </si>
  <si>
    <t>25.3131431205105</t>
  </si>
  <si>
    <t>10.1786742562821</t>
  </si>
  <si>
    <t>5.52848268747924</t>
  </si>
  <si>
    <t>8.2425569788367</t>
  </si>
  <si>
    <t>8.28117532269766</t>
  </si>
  <si>
    <t>7.53186262009364</t>
  </si>
  <si>
    <t>10.3567699439691</t>
  </si>
  <si>
    <t>11.9620669564471</t>
  </si>
  <si>
    <t>10.8192404902347</t>
  </si>
  <si>
    <t>8.20084709330651</t>
  </si>
  <si>
    <t>3.65868395013121</t>
  </si>
  <si>
    <t>-6.94682998696793</t>
  </si>
  <si>
    <t>1.45983872364191</t>
  </si>
  <si>
    <t>-2.32407248263566</t>
  </si>
  <si>
    <t>5.73775859915348</t>
  </si>
  <si>
    <t>0.0609454260907825</t>
  </si>
  <si>
    <t>-1.62125040819991</t>
  </si>
  <si>
    <t>12.3932368535163</t>
  </si>
  <si>
    <t>-0.372352688114432</t>
  </si>
  <si>
    <t>3.13437416817652</t>
  </si>
  <si>
    <t>42.0320807065715</t>
  </si>
  <si>
    <t>-4.26383525378778</t>
  </si>
  <si>
    <t>14.2100141013494</t>
  </si>
  <si>
    <t>20.6574056845155</t>
  </si>
  <si>
    <t>-12.3041865376947</t>
  </si>
  <si>
    <t>7.5469987413527</t>
  </si>
  <si>
    <t>10.4657265795636</t>
  </si>
  <si>
    <t>12.6474222750633</t>
  </si>
  <si>
    <t>7.08675789698097</t>
  </si>
  <si>
    <t>14.2601237152809</t>
  </si>
  <si>
    <t>1.87944529930814</t>
  </si>
  <si>
    <t>3.40143735085408</t>
  </si>
  <si>
    <t>5.59479993708582</t>
  </si>
  <si>
    <t>1.65884167925765</t>
  </si>
  <si>
    <t>2.58577645265122</t>
  </si>
  <si>
    <t>0.992354543440086</t>
  </si>
  <si>
    <t>2.97594444257834</t>
  </si>
  <si>
    <t>2.67109282645418</t>
  </si>
  <si>
    <t>3.24543460439628</t>
  </si>
  <si>
    <t>-8.19677350934612</t>
  </si>
  <si>
    <t>35.8423813711266</t>
  </si>
  <si>
    <t>5.3879278063591</t>
  </si>
  <si>
    <t>2.03603454597328</t>
  </si>
  <si>
    <t>9.55663247337893</t>
  </si>
  <si>
    <t>1.11512719389448</t>
  </si>
  <si>
    <t>10.0494567461461</t>
  </si>
  <si>
    <t>1.63405347420718</t>
  </si>
  <si>
    <t>5.02785556565668</t>
  </si>
  <si>
    <t>-2.89310698803745</t>
  </si>
  <si>
    <t>-1.90788897317589</t>
  </si>
  <si>
    <t>5.87615776622891</t>
  </si>
  <si>
    <t>-0.508763232978126</t>
  </si>
  <si>
    <t>4.96379216848348</t>
  </si>
  <si>
    <t>9.07419890830103</t>
  </si>
  <si>
    <t>-0.0933359947250096</t>
  </si>
  <si>
    <t>2.81959506363634</t>
  </si>
  <si>
    <t>1.75039252974665</t>
  </si>
  <si>
    <t>1.68327590063203</t>
  </si>
  <si>
    <t>0.479875773843148</t>
  </si>
  <si>
    <t>2.20271127261411</t>
  </si>
  <si>
    <t>1.45776475423236</t>
  </si>
  <si>
    <t>-0.88495153357762</t>
  </si>
  <si>
    <t>0.454262222511389</t>
  </si>
  <si>
    <t>0.01194354395939</t>
  </si>
  <si>
    <t>1.93311361980237</t>
  </si>
  <si>
    <t>2.46636746396649</t>
  </si>
  <si>
    <t>4.15581315078867</t>
  </si>
  <si>
    <t>2.59456529883668</t>
  </si>
  <si>
    <t>3.69863251011905</t>
  </si>
  <si>
    <t>0.540499290557534</t>
  </si>
  <si>
    <t>-1.16673681214564</t>
  </si>
  <si>
    <t>2.67778345968976</t>
  </si>
  <si>
    <t>4.31657267302027</t>
  </si>
  <si>
    <t>8.24532872520763</t>
  </si>
  <si>
    <t>-1.66769262494486</t>
  </si>
  <si>
    <t>-0.252985512003249</t>
  </si>
  <si>
    <t>-4.99519860794794</t>
  </si>
  <si>
    <t>-0.78632329442101</t>
  </si>
  <si>
    <t>6.33693551322982</t>
  </si>
  <si>
    <t>18.4456429506447</t>
  </si>
  <si>
    <t>20.3346923691587</t>
  </si>
  <si>
    <t>3.48802342846857</t>
  </si>
  <si>
    <t>4.49708516723513</t>
  </si>
  <si>
    <t>6.01469871133595</t>
  </si>
  <si>
    <t>9.69718271551842</t>
  </si>
  <si>
    <t>8.6455774659964</t>
  </si>
  <si>
    <t>12.7024827905098</t>
  </si>
  <si>
    <t>8.37242257435142</t>
  </si>
  <si>
    <t>5.05785464424613</t>
  </si>
  <si>
    <t>3.6491556533808</t>
  </si>
  <si>
    <t>1.44786657859639</t>
  </si>
  <si>
    <t>2.17720276750025</t>
  </si>
  <si>
    <t>1.6531553058301</t>
  </si>
  <si>
    <t>4.72321351314125</t>
  </si>
  <si>
    <t>5.91839654888264</t>
  </si>
  <si>
    <t>6.11674308707329</t>
  </si>
  <si>
    <t>5.77318216244282</t>
  </si>
  <si>
    <t>5.74652378137894</t>
  </si>
  <si>
    <t>4.49045413125464</t>
  </si>
  <si>
    <t>4.67276354647998</t>
  </si>
  <si>
    <t>4.09814092384286</t>
  </si>
  <si>
    <t>4.42116836632678</t>
  </si>
  <si>
    <t>8.06371045697034</t>
  </si>
  <si>
    <t>-2.57695297761677</t>
  </si>
  <si>
    <t>1.33104995932025</t>
  </si>
  <si>
    <t>1.91753224493053</t>
  </si>
  <si>
    <t>1.69045805604154</t>
  </si>
  <si>
    <t>2.1495490160917</t>
  </si>
  <si>
    <t>3.56925942602997</t>
  </si>
  <si>
    <t>5.09155618304895</t>
  </si>
  <si>
    <t>5.1042132730291</t>
  </si>
  <si>
    <t>2.47333774189036</t>
  </si>
  <si>
    <t>5.13378035159961</t>
  </si>
  <si>
    <t>0.194772130958171</t>
  </si>
  <si>
    <t>4.08098922673743</t>
  </si>
  <si>
    <t>3.7430981204437</t>
  </si>
  <si>
    <t>1.90914444199674</t>
  </si>
  <si>
    <t>1.77874589235417</t>
  </si>
  <si>
    <t>1.44146536528029</t>
  </si>
  <si>
    <t>0.722113573412514</t>
  </si>
  <si>
    <t>2.63616761998928</t>
  </si>
  <si>
    <t>1.8999449899777</t>
  </si>
  <si>
    <t>1.42858616420727</t>
  </si>
  <si>
    <t>1.01442340642497</t>
  </si>
  <si>
    <t>-1.29877505741581</t>
  </si>
  <si>
    <t>1.77107226345396</t>
  </si>
  <si>
    <t>4.76699578735654</t>
  </si>
  <si>
    <t>1.22023811822058</t>
  </si>
  <si>
    <t>-4.02900157355316</t>
  </si>
  <si>
    <t>5.82299572608119</t>
  </si>
  <si>
    <t>-2.57441539130541</t>
  </si>
  <si>
    <t>7.26277902274315</t>
  </si>
  <si>
    <t>6.28991299918663</t>
  </si>
  <si>
    <t>99.6335110908983</t>
  </si>
  <si>
    <t>574.014511227964</t>
  </si>
  <si>
    <t>1207.2110489489</t>
  </si>
  <si>
    <t>263.011478064155</t>
  </si>
  <si>
    <t>294.530765618633</t>
  </si>
  <si>
    <t>430.412728198188</t>
  </si>
  <si>
    <t>65.2512001901191</t>
  </si>
  <si>
    <t>87.8763481550034</t>
  </si>
  <si>
    <t>26.5011437514061</t>
  </si>
  <si>
    <t>22.631873605948</t>
  </si>
  <si>
    <t>30.947706315931</t>
  </si>
  <si>
    <t>18.8197026147069</t>
  </si>
  <si>
    <t>27.0864689117309</t>
  </si>
  <si>
    <t>17.4315785210811</t>
  </si>
  <si>
    <t>9.51432466210065</t>
  </si>
  <si>
    <t>21.0624388683286</t>
  </si>
  <si>
    <t>27.2380030941036</t>
  </si>
  <si>
    <t>28.1634875601911</t>
  </si>
  <si>
    <t>12.1262014941935</t>
  </si>
  <si>
    <t>12.4616677349709</t>
  </si>
  <si>
    <t>13.3243555693147</t>
  </si>
  <si>
    <t>11.8685155888293</t>
  </si>
  <si>
    <t>4.76666135833671</t>
  </si>
  <si>
    <t>6.86625094979701</t>
  </si>
  <si>
    <t>0.541389756844993</t>
  </si>
  <si>
    <t>9.80546714084267</t>
  </si>
  <si>
    <t>2.49222755648458</t>
  </si>
  <si>
    <t>1.65596010469615</t>
  </si>
  <si>
    <t>10.0445095549154</t>
  </si>
  <si>
    <t>2.18821998125314</t>
  </si>
  <si>
    <t>-2.72340436737647</t>
  </si>
  <si>
    <t>8.31275760659524</t>
  </si>
  <si>
    <t>-20.8603561293651</t>
  </si>
  <si>
    <t>106.160919660581</t>
  </si>
  <si>
    <t>3089.15254991916</t>
  </si>
  <si>
    <t>1133.99014566884</t>
  </si>
  <si>
    <t>705.718482580622</t>
  </si>
  <si>
    <t>1014.01161581983</t>
  </si>
  <si>
    <t>61.8000441061326</t>
  </si>
  <si>
    <t>17.6168033195453</t>
  </si>
  <si>
    <t>23.4645481936837</t>
  </si>
  <si>
    <t>32.3148627412749</t>
  </si>
  <si>
    <t>25.1531001485651</t>
  </si>
  <si>
    <t>27.1543298649025</t>
  </si>
  <si>
    <t>18.3477638214348</t>
  </si>
  <si>
    <t>12.249959293056</t>
  </si>
  <si>
    <t>9.26934465401983</t>
  </si>
  <si>
    <t>59.7403855468372</t>
  </si>
  <si>
    <t>9.76101613509299</t>
  </si>
  <si>
    <t>2.30608815331743</t>
  </si>
  <si>
    <t>12.8574543671204</t>
  </si>
  <si>
    <t>8.27008408241873</t>
  </si>
  <si>
    <t>1.15244583252145</t>
  </si>
  <si>
    <t>0.669180966750076</t>
  </si>
  <si>
    <t>-5.15329778752206</t>
  </si>
  <si>
    <t>-4.86560287903114</t>
  </si>
  <si>
    <t>-1.54244268478659</t>
  </si>
  <si>
    <t>1.21087594013873</t>
  </si>
  <si>
    <t>4.38275226849976</t>
  </si>
  <si>
    <t>-4.34974180757671</t>
  </si>
  <si>
    <t>2.77178000998204</t>
  </si>
  <si>
    <t>11.0418828298503</t>
  </si>
  <si>
    <t>-3.2837127112537</t>
  </si>
  <si>
    <t>2.80281118325811</t>
  </si>
  <si>
    <t>3.45636104634404</t>
  </si>
  <si>
    <t>4.18462879341764</t>
  </si>
  <si>
    <t>3.14622198258362</t>
  </si>
  <si>
    <t>3.0227182895499</t>
  </si>
  <si>
    <t>3.33431240633365</t>
  </si>
  <si>
    <t>5.22413736484989</t>
  </si>
  <si>
    <t>6.83435272667143</t>
  </si>
  <si>
    <t>15.7523147439525</t>
  </si>
  <si>
    <t>24.4823374025764</t>
  </si>
  <si>
    <t>16.229944320709</t>
  </si>
  <si>
    <t>9.96385803170011</t>
  </si>
  <si>
    <t>14.2501196175415</t>
  </si>
  <si>
    <t>15.3687069794649</t>
  </si>
  <si>
    <t>20.4494448024666</t>
  </si>
  <si>
    <t>10.4202108327662</t>
  </si>
  <si>
    <t>3.8829960652083</t>
  </si>
  <si>
    <t>5.58059737402084</t>
  </si>
  <si>
    <t>2.89623994561317</t>
  </si>
  <si>
    <t>2.67571827706805</t>
  </si>
  <si>
    <t>3.64352138690504</t>
  </si>
  <si>
    <t>2.23494687277949</t>
  </si>
  <si>
    <t>2.76448783843382</t>
  </si>
  <si>
    <t>1.84282304408084</t>
  </si>
  <si>
    <t>4.75974433357869</t>
  </si>
  <si>
    <t>6.82104951744238</t>
  </si>
  <si>
    <t>4.5594542173226</t>
  </si>
  <si>
    <t>4.06212623567983</t>
  </si>
  <si>
    <t>15.155653655469</t>
  </si>
  <si>
    <t>4.75647481950965</t>
  </si>
  <si>
    <t>2.87291199375824</t>
  </si>
  <si>
    <t>3.06200842996122</t>
  </si>
  <si>
    <t>8.1600908527484</t>
  </si>
  <si>
    <t>0.231034202777252</t>
  </si>
  <si>
    <t>3.87677883316961</t>
  </si>
  <si>
    <t>7.18520115234584</t>
  </si>
  <si>
    <t>11.8340283174281</t>
  </si>
  <si>
    <t>5.39203771110913</t>
  </si>
  <si>
    <t>-10.4851308048803</t>
  </si>
  <si>
    <t>1.83747719818945</t>
  </si>
  <si>
    <t>2.38059845195224</t>
  </si>
  <si>
    <t>8.47751518449822</t>
  </si>
  <si>
    <t>10.9637989502854</t>
  </si>
  <si>
    <t>11.5656732746114</t>
  </si>
  <si>
    <t>6.1604670783707</t>
  </si>
  <si>
    <t>16.6427681770437</t>
  </si>
  <si>
    <t>-0.72805110472585</t>
  </si>
  <si>
    <t>7.20272656720353</t>
  </si>
  <si>
    <t>0.141367073258863</t>
  </si>
  <si>
    <t>-0.212799455428609</t>
  </si>
  <si>
    <t>-1.36269499343967</t>
  </si>
  <si>
    <t>5.16428345869988</t>
  </si>
  <si>
    <t>-19.2266531049002</t>
  </si>
  <si>
    <t>59.0838497110713</t>
  </si>
  <si>
    <t>11.4585263071185</t>
  </si>
  <si>
    <t>-20.8334380271277</t>
  </si>
  <si>
    <t>0.954490547032037</t>
  </si>
  <si>
    <t>2.74820045370649</t>
  </si>
  <si>
    <t>4.50027018979038</t>
  </si>
  <si>
    <t>2.44784411201879</t>
  </si>
  <si>
    <t>2.67134371331224</t>
  </si>
  <si>
    <t>1.1659452549003</t>
  </si>
  <si>
    <t>3.97737193212916</t>
  </si>
  <si>
    <t>24.9972714331264</t>
  </si>
  <si>
    <t>24.9725481827151</t>
  </si>
  <si>
    <t>7.86516630913667</t>
  </si>
  <si>
    <t>6.51438327130536</t>
  </si>
  <si>
    <t>10.2361564360177</t>
  </si>
  <si>
    <t>16.1705682804512</t>
  </si>
  <si>
    <t>6.80510089276258</t>
  </si>
  <si>
    <t>9.46130270346552</t>
  </si>
  <si>
    <t>0.0657706671105274</t>
  </si>
  <si>
    <t>28.6260002001203</t>
  </si>
  <si>
    <t>-3.42260102303989</t>
  </si>
  <si>
    <t>-0.117974143918758</t>
  </si>
  <si>
    <t>2.82722308583867</t>
  </si>
  <si>
    <t>7.8661084274205</t>
  </si>
  <si>
    <t>7.61930034121107</t>
  </si>
  <si>
    <t>11.3997048992014</t>
  </si>
  <si>
    <t>8.40895777293549</t>
  </si>
  <si>
    <t>8.25224653875016</t>
  </si>
  <si>
    <t>18.2436676645624</t>
  </si>
  <si>
    <t>4.4067477359236</t>
  </si>
  <si>
    <t>4.43244325889145</t>
  </si>
  <si>
    <t>4.90887981438752</t>
  </si>
  <si>
    <t>7.72157994907818</t>
  </si>
  <si>
    <t>0.475221374667939</t>
  </si>
  <si>
    <t>-2.29125163479002</t>
  </si>
  <si>
    <t>0.0415389306808009</t>
  </si>
  <si>
    <t>5.20195788917211</t>
  </si>
  <si>
    <t>2.97355538261547</t>
  </si>
  <si>
    <t>5.57528645959195</t>
  </si>
  <si>
    <t>4.93734088158944</t>
  </si>
  <si>
    <t>4.72800475373694</t>
  </si>
  <si>
    <t>0.43844596361491</t>
  </si>
  <si>
    <t>2.07802980858338</t>
  </si>
  <si>
    <t>-4.24012171994993</t>
  </si>
  <si>
    <t>3.04750995003815</t>
  </si>
  <si>
    <t>3.70102990592218</t>
  </si>
  <si>
    <t>-2.47877376920123</t>
  </si>
  <si>
    <t>2.75322489296417</t>
  </si>
  <si>
    <t>-5.57303185267614</t>
  </si>
  <si>
    <t>4.60952361478959</t>
  </si>
  <si>
    <t>8.92237534623523</t>
  </si>
  <si>
    <t>-0.0542716259356126</t>
  </si>
  <si>
    <t>1.87371663098781</t>
  </si>
  <si>
    <t>6.63536247579511</t>
  </si>
  <si>
    <t>11.1099220509449</t>
  </si>
  <si>
    <t>21.1827068800424</t>
  </si>
  <si>
    <t>57.5116685266811</t>
  </si>
  <si>
    <t>24.5714566446821</t>
  </si>
  <si>
    <t>13.342294232176</t>
  </si>
  <si>
    <t>3.16482061013022</t>
  </si>
  <si>
    <t>24.7079832307756</t>
  </si>
  <si>
    <t>22.7370409761982</t>
  </si>
  <si>
    <t>7.21981445159872</t>
  </si>
  <si>
    <t>12.1619468015049</t>
  </si>
  <si>
    <t>6.3246727796258</t>
  </si>
  <si>
    <t>6.01070714102359</t>
  </si>
  <si>
    <t>1.23759805904599</t>
  </si>
  <si>
    <t>-1.24966910644881</t>
  </si>
  <si>
    <t>4.85267158195875</t>
  </si>
  <si>
    <t>4.15797138177156</t>
  </si>
  <si>
    <t>7.1840103131335</t>
  </si>
  <si>
    <t>15.4888864078281</t>
  </si>
  <si>
    <t>1.57239169096131</t>
  </si>
  <si>
    <t>-6.9148572793612</t>
  </si>
  <si>
    <t>4.16928787404554</t>
  </si>
  <si>
    <t>1.84954320173001</t>
  </si>
  <si>
    <t>-3.54356763782603</t>
  </si>
  <si>
    <t>-1.85648387898057</t>
  </si>
  <si>
    <t>4.30318181247706</t>
  </si>
  <si>
    <t>12.0431530642792</t>
  </si>
  <si>
    <t>2.79394763478622</t>
  </si>
  <si>
    <t>-5.19253491668657</t>
  </si>
  <si>
    <t>10.4785614283141</t>
  </si>
  <si>
    <t>8.88422470453017</t>
  </si>
  <si>
    <t>13.3214257161692</t>
  </si>
  <si>
    <t>1.72921265884327</t>
  </si>
  <si>
    <t>12.7518502876051</t>
  </si>
  <si>
    <t>23.792521003189</t>
  </si>
  <si>
    <t>-27.6317920499278</t>
  </si>
  <si>
    <t>12.7333361257462</t>
  </si>
  <si>
    <t>15.7297032514581</t>
  </si>
  <si>
    <t>0.344697728081428</t>
  </si>
  <si>
    <t>1.65391111573305</t>
  </si>
  <si>
    <t>-0.916060796862865</t>
  </si>
  <si>
    <t>-8.73361424910222</t>
  </si>
  <si>
    <t>-0.741516049133921</t>
  </si>
  <si>
    <t>8.21366055257951</t>
  </si>
  <si>
    <t>2.68705726829177</t>
  </si>
  <si>
    <t>-3.81228212859769</t>
  </si>
  <si>
    <t>-3.79188317365001</t>
  </si>
  <si>
    <t>19.0933595979048</t>
  </si>
  <si>
    <t>20.8145233815985</t>
  </si>
  <si>
    <t>-10.183883266448</t>
  </si>
  <si>
    <t>6.4895559210123</t>
  </si>
  <si>
    <t>30.7004273276761</t>
  </si>
  <si>
    <t>11.367368400359</t>
  </si>
  <si>
    <t>16.6120629551202</t>
  </si>
  <si>
    <t>1.52790153741998</t>
  </si>
  <si>
    <t>4.13144803882224</t>
  </si>
  <si>
    <t>1.32910787193109</t>
  </si>
  <si>
    <t>1.3807636599136</t>
  </si>
  <si>
    <t>6.59928788620157</t>
  </si>
  <si>
    <t>5.48330617352926</t>
  </si>
  <si>
    <t>2.88672356635449</t>
  </si>
  <si>
    <t>8.56080334109936</t>
  </si>
  <si>
    <t>4.9945603416174</t>
  </si>
  <si>
    <t>2.89755292556768</t>
  </si>
  <si>
    <t>6.46492999055477</t>
  </si>
  <si>
    <t>10.3878412067223</t>
  </si>
  <si>
    <t>12.7987624458011</t>
  </si>
  <si>
    <t>11.4107480094767</t>
  </si>
  <si>
    <t>16.0076605170415</t>
  </si>
  <si>
    <t>12.7007164005817</t>
  </si>
  <si>
    <t>6.9812027481691</t>
  </si>
  <si>
    <t>3.59712104139886</t>
  </si>
  <si>
    <t>3.52266784764339</t>
  </si>
  <si>
    <t>5.17071147982769</t>
  </si>
  <si>
    <t>7.7041939592454</t>
  </si>
  <si>
    <t>8.82928330730503</t>
  </si>
  <si>
    <t>4.47650447770722</t>
  </si>
  <si>
    <t>7.03680208904586</t>
  </si>
  <si>
    <t>4.69134337171741</t>
  </si>
  <si>
    <t>4.52605766638574</t>
  </si>
  <si>
    <t>5.3510954461247</t>
  </si>
  <si>
    <t>4.35659524908014</t>
  </si>
  <si>
    <t>14.1253365327371</t>
  </si>
  <si>
    <t>3.27167597647902</t>
  </si>
  <si>
    <t>3.36141895778627</t>
  </si>
  <si>
    <t>3.28357941152886</t>
  </si>
  <si>
    <t>3.91357764557321</t>
  </si>
  <si>
    <t>2.28480283262084</t>
  </si>
  <si>
    <t>2.68475626739917</t>
  </si>
  <si>
    <t>3.35160946012441</t>
  </si>
  <si>
    <t>4.17583607671025</t>
  </si>
  <si>
    <t>3.83382638659022</t>
  </si>
  <si>
    <t>2.12647656280636</t>
  </si>
  <si>
    <t>6.34032425229705</t>
  </si>
  <si>
    <t>9.46502454900151</t>
  </si>
  <si>
    <t>4.57111406039029</t>
  </si>
  <si>
    <t>4.66181078103054</t>
  </si>
  <si>
    <t>4.66466047449812</t>
  </si>
  <si>
    <t>4.2138400764201</t>
  </si>
  <si>
    <t>4.93496360110481</t>
  </si>
  <si>
    <t>7.13521222424285</t>
  </si>
  <si>
    <t>6.80569317573834</t>
  </si>
  <si>
    <t>4.51678033390613</t>
  </si>
  <si>
    <t>3.05495595357709</t>
  </si>
  <si>
    <t>8.88763642233521</t>
  </si>
  <si>
    <t>4.37340043959567</t>
  </si>
  <si>
    <t>5.78893779037435</t>
  </si>
  <si>
    <t>6.4166944802911</t>
  </si>
  <si>
    <t>2.35243651899155</t>
  </si>
  <si>
    <t>5.94759067350768</t>
  </si>
  <si>
    <t>5.93989052660011</t>
  </si>
  <si>
    <t>4.76015624386707</t>
  </si>
  <si>
    <t>6.87631710287759</t>
  </si>
  <si>
    <t>8.64450444669336</t>
  </si>
  <si>
    <t>16.9020871544943</t>
  </si>
  <si>
    <t>10.9756760490106</t>
  </si>
  <si>
    <t>21.9302187016976</t>
  </si>
  <si>
    <t>28.9923473546045</t>
  </si>
  <si>
    <t>21.3092400682888</t>
  </si>
  <si>
    <t>15.6126574914859</t>
  </si>
  <si>
    <t>24.0890232450352</t>
  </si>
  <si>
    <t>47.5411467102416</t>
  </si>
  <si>
    <t>76.7208667189401</t>
  </si>
  <si>
    <t>93.0032247916414</t>
  </si>
  <si>
    <t>44.0570704966979</t>
  </si>
  <si>
    <t>28.2268344007077</t>
  </si>
  <si>
    <t>26.2582454161426</t>
  </si>
  <si>
    <t>48.2368326072076</t>
  </si>
  <si>
    <t>53.054476874505</t>
  </si>
  <si>
    <t>36.0068855504432</t>
  </si>
  <si>
    <t>33.6122290331458</t>
  </si>
  <si>
    <t>69.0181311101417</t>
  </si>
  <si>
    <t>75.4048306122696</t>
  </si>
  <si>
    <t>58.2443981066746</t>
  </si>
  <si>
    <t>59.1641068909336</t>
  </si>
  <si>
    <t>65.1994382769795</t>
  </si>
  <si>
    <t>68.3794283559812</t>
  </si>
  <si>
    <t>104.749137215122</t>
  </si>
  <si>
    <t>86.007542441817</t>
  </si>
  <si>
    <t>77.223512216706</t>
  </si>
  <si>
    <t>81.4548625820616</t>
  </si>
  <si>
    <t>143.639661614673</t>
  </si>
  <si>
    <t>54.2799583040521</t>
  </si>
  <si>
    <t>49.3607762430324</t>
  </si>
  <si>
    <t>52.9797606802043</t>
  </si>
  <si>
    <t>37.5748208317121</t>
  </si>
  <si>
    <t>23.2892809893822</t>
  </si>
  <si>
    <t>12.427511075424</t>
  </si>
  <si>
    <t>9.37620636352707</t>
  </si>
  <si>
    <t>6.1997582025374</t>
  </si>
  <si>
    <t>5.44644910319889</t>
  </si>
  <si>
    <t>7.42267328660553</t>
  </si>
  <si>
    <t>6.2801096970818</t>
  </si>
  <si>
    <t>7.38951863770303</t>
  </si>
  <si>
    <t>7.84491693010263</t>
  </si>
  <si>
    <t>8.13047807814451</t>
  </si>
  <si>
    <t>10.9824216683285</t>
  </si>
  <si>
    <t>16.5122765099312</t>
  </si>
  <si>
    <t>13.8677568970462</t>
  </si>
  <si>
    <t>14.7893415893496</t>
  </si>
  <si>
    <t>28.9730004765532</t>
  </si>
  <si>
    <t>96.0361986700836</t>
  </si>
  <si>
    <t>68.233934158098</t>
  </si>
  <si>
    <t>6.75785274097022</t>
  </si>
  <si>
    <t>6.8233689677481</t>
  </si>
  <si>
    <t>6.86427415936058</t>
  </si>
  <si>
    <t>6.82454151971406</t>
  </si>
  <si>
    <t>6.72036293257764</t>
  </si>
  <si>
    <t>6.64959504747395</t>
  </si>
  <si>
    <t>6.89427062130437</t>
  </si>
  <si>
    <t>7.24822462274497</t>
  </si>
  <si>
    <t>6.68818432108691</t>
  </si>
  <si>
    <t>6.15525289535326</t>
  </si>
  <si>
    <t>6.1406859937596</t>
  </si>
  <si>
    <t>8.11308950866379</t>
  </si>
  <si>
    <t>9.07121236790775</t>
  </si>
  <si>
    <t>3.79517068985787</t>
  </si>
  <si>
    <t>3.6601992108485</t>
  </si>
  <si>
    <t>5.93828160766053</t>
  </si>
  <si>
    <t>3.34257788334318</t>
  </si>
  <si>
    <t>6.45370516777346</t>
  </si>
  <si>
    <t>9.89266872902579</t>
  </si>
  <si>
    <t>2.04941878460987</t>
  </si>
  <si>
    <t>2.64307163479893</t>
  </si>
  <si>
    <t>2.54643474492336</t>
  </si>
  <si>
    <t>-4.66491334138077</t>
  </si>
  <si>
    <t>12.6922634550864</t>
  </si>
  <si>
    <t>-1.30535237376276</t>
  </si>
  <si>
    <t>2.74064672352952</t>
  </si>
  <si>
    <t>14.4533616980466</t>
  </si>
  <si>
    <t>3.84615384615385</t>
  </si>
  <si>
    <t>4.83091787439614</t>
  </si>
  <si>
    <t>1.17302052785921</t>
  </si>
  <si>
    <t>5.73643410852713</t>
  </si>
  <si>
    <t>1.49488591660112</t>
  </si>
  <si>
    <t>4.12698412698414</t>
  </si>
  <si>
    <t>-0.833333333333329</t>
  </si>
  <si>
    <t>4.77941176470587</t>
  </si>
  <si>
    <t>1.05263157894737</t>
  </si>
  <si>
    <t>-0.568181818181813</t>
  </si>
  <si>
    <t>1.64133738601822</t>
  </si>
  <si>
    <t>2.17391304347827</t>
  </si>
  <si>
    <t>0.877192982456165</t>
  </si>
  <si>
    <t>3.20315928038613</t>
  </si>
  <si>
    <t>8.16326530612245</t>
  </si>
  <si>
    <t>2.96996222836934</t>
  </si>
  <si>
    <t>7.29559359114998</t>
  </si>
  <si>
    <t>6.43874385090449</t>
  </si>
  <si>
    <t>0.890825244312992</t>
  </si>
  <si>
    <t>4.68476572711678</t>
  </si>
  <si>
    <t>5.54755647980927</t>
  </si>
  <si>
    <t>6.0040987048763</t>
  </si>
  <si>
    <t>5.37916806094813</t>
  </si>
  <si>
    <t>0.594193758943447</t>
  </si>
  <si>
    <t>4.87991172988788</t>
  </si>
  <si>
    <t>-2.4342903050844</t>
  </si>
  <si>
    <t>2.72912272873343</t>
  </si>
  <si>
    <t>-1.18349041536867</t>
  </si>
  <si>
    <t>0.889836908635644</t>
  </si>
  <si>
    <t>1.7240539879611</t>
  </si>
  <si>
    <t>3.52049574624573</t>
  </si>
  <si>
    <t>6.27553755521015</t>
  </si>
  <si>
    <t>19.5373650689805</t>
  </si>
  <si>
    <t>14.3032786378808</t>
  </si>
  <si>
    <t>24.3361209926008</t>
  </si>
  <si>
    <t>18.1608173906812</t>
  </si>
  <si>
    <t>17.7343913738496</t>
  </si>
  <si>
    <t>19.0193132868659</t>
  </si>
  <si>
    <t>21.5715014720727</t>
  </si>
  <si>
    <t>20.4435259631883</t>
  </si>
  <si>
    <t>34.025414192289</t>
  </si>
  <si>
    <t>25.4601393713035</t>
  </si>
  <si>
    <t>35.3475693754848</t>
  </si>
  <si>
    <t>36.3742899772871</t>
  </si>
  <si>
    <t>20.600743960078</t>
  </si>
  <si>
    <t>22.4491856838903</t>
  </si>
  <si>
    <t>28.1126043575673</t>
  </si>
  <si>
    <t>25.3754811221571</t>
  </si>
  <si>
    <t>24.4619863302073</t>
  </si>
  <si>
    <t>31.169954274434</t>
  </si>
  <si>
    <t>26.8619513563324</t>
  </si>
  <si>
    <t>19.3136558404147</t>
  </si>
  <si>
    <t>20.5872321472553</t>
  </si>
  <si>
    <t>14.2221136262033</t>
  </si>
  <si>
    <t>11.5400000000194</t>
  </si>
  <si>
    <t>8.20110424713742</t>
  </si>
  <si>
    <t>4.81596921527445</t>
  </si>
  <si>
    <t>7.2330306793359</t>
  </si>
  <si>
    <t>8.41868264342142</t>
  </si>
  <si>
    <t>6.88562313045458</t>
  </si>
  <si>
    <t>6.42620252324851</t>
  </si>
  <si>
    <t>5.51009528749724</t>
  </si>
  <si>
    <t>9.09938952758738</t>
  </si>
  <si>
    <t>16.3807546294266</t>
  </si>
  <si>
    <t>9.04166245405979</t>
  </si>
  <si>
    <t>9.42871625296149</t>
  </si>
  <si>
    <t>12.1984228784034</t>
  </si>
  <si>
    <t>10.4838939974038</t>
  </si>
  <si>
    <t>9.66618357795825</t>
  </si>
  <si>
    <t>6.05084588935551</t>
  </si>
  <si>
    <t>7.59136402332241</t>
  </si>
  <si>
    <t>7.47203366759727</t>
  </si>
  <si>
    <t>2.63812393333545</t>
  </si>
  <si>
    <t>2.2804089300173</t>
  </si>
  <si>
    <t>6.42301399038681</t>
  </si>
  <si>
    <t>2.67430327389397</t>
  </si>
  <si>
    <t>2.76261483337198</t>
  </si>
  <si>
    <t>2.74821189393757</t>
  </si>
  <si>
    <t>45.9444926023523</t>
  </si>
  <si>
    <t>25.2768096195851</t>
  </si>
  <si>
    <t>120.335946714458</t>
  </si>
  <si>
    <t>137.280875148514</t>
  </si>
  <si>
    <t>180.988011722353</t>
  </si>
  <si>
    <t>189.975114519253</t>
  </si>
  <si>
    <t>115.446731043868</t>
  </si>
  <si>
    <t>44.3800896723577</t>
  </si>
  <si>
    <t>26.0193366992486</t>
  </si>
  <si>
    <t>45.0680290895542</t>
  </si>
  <si>
    <t>30.1368714509449</t>
  </si>
  <si>
    <t>6.84849755188941</t>
  </si>
  <si>
    <t>9.37643763633046</t>
  </si>
  <si>
    <t>4.57248128243326</t>
  </si>
  <si>
    <t>3.09526851918858</t>
  </si>
  <si>
    <t>8.78570685152494</t>
  </si>
  <si>
    <t>-0.113130550582341</t>
  </si>
  <si>
    <t>4.53447581165479</t>
  </si>
  <si>
    <t>-3.1695563374238</t>
  </si>
  <si>
    <t>15.5875499834451</t>
  </si>
  <si>
    <t>-1.74118529180637</t>
  </si>
  <si>
    <t>2.40562021541911</t>
  </si>
  <si>
    <t>7.32124731768336</t>
  </si>
  <si>
    <t>6.36427654779246</t>
  </si>
  <si>
    <t>85.3532752350575</t>
  </si>
  <si>
    <t>5.63761163813462</t>
  </si>
  <si>
    <t>3.83745560625658</t>
  </si>
  <si>
    <t>5.10630732385718</t>
  </si>
  <si>
    <t>5.18785986456285</t>
  </si>
  <si>
    <t>2.54511929619305</t>
  </si>
  <si>
    <t>4.92228673099149</t>
  </si>
  <si>
    <t>6.74801516641013</t>
  </si>
  <si>
    <t>1.71812831864311</t>
  </si>
  <si>
    <t>3.84709320994432</t>
  </si>
  <si>
    <t>16.2490856973604</t>
  </si>
  <si>
    <t>96.1028654623425</t>
  </si>
  <si>
    <t>1768.23262154427</t>
  </si>
  <si>
    <t>3333.58542243342</t>
  </si>
  <si>
    <t>952.995953408471</t>
  </si>
  <si>
    <t>415.809881576547</t>
  </si>
  <si>
    <t>66.1456615578695</t>
  </si>
  <si>
    <t>18.0737954563027</t>
  </si>
  <si>
    <t>12.0120177685888</t>
  </si>
  <si>
    <t>27.3999267140709</t>
  </si>
  <si>
    <t>27.5014120289019</t>
  </si>
  <si>
    <t>8.16433975330762</t>
  </si>
  <si>
    <t>15.3107362837374</t>
  </si>
  <si>
    <t>24.0960586139239</t>
  </si>
  <si>
    <t>14.85249547084</t>
  </si>
  <si>
    <t>22.8423440433556</t>
  </si>
  <si>
    <t>29.0201144092657</t>
  </si>
  <si>
    <t>12.6299289738027</t>
  </si>
  <si>
    <t>13.6732282073329</t>
  </si>
  <si>
    <t>14.1819086626365</t>
  </si>
  <si>
    <t>7.98256111045039</t>
  </si>
  <si>
    <t>4.30879343709354</t>
  </si>
  <si>
    <t>15.9017375254406</t>
  </si>
  <si>
    <t>38.8816797571771</t>
  </si>
  <si>
    <t>17.097134924235</t>
  </si>
  <si>
    <t>22.0983174978017</t>
  </si>
  <si>
    <t>15.3985303493458</t>
  </si>
  <si>
    <t>8.24622626771318</t>
  </si>
  <si>
    <t>10.2949601365333</t>
  </si>
  <si>
    <t>24.8047567705188</t>
  </si>
  <si>
    <t>34.9152851391436</t>
  </si>
  <si>
    <t>18.4804556382296</t>
  </si>
  <si>
    <t>2.21811729015192</t>
  </si>
  <si>
    <t>2.45602603735099</t>
  </si>
  <si>
    <t>2.16640358830106</t>
  </si>
  <si>
    <t>2.4499676995852</t>
  </si>
  <si>
    <t>2.52930072630761</t>
  </si>
  <si>
    <t>2.45048080375919</t>
  </si>
  <si>
    <t>3.71951528425233</t>
  </si>
  <si>
    <t>4.52175221431018</t>
  </si>
  <si>
    <t>5.92259368068036</t>
  </si>
  <si>
    <t>6.68129344803649</t>
  </si>
  <si>
    <t>23.1729375353202</t>
  </si>
  <si>
    <t>10.7146878079944</t>
  </si>
  <si>
    <t>10.9858614120919</t>
  </si>
  <si>
    <t>10.512397302477</t>
  </si>
  <si>
    <t>9.50919888329011</t>
  </si>
  <si>
    <t>17.7998576349561</t>
  </si>
  <si>
    <t>8.46026531041193</t>
  </si>
  <si>
    <t>7.37566728984906</t>
  </si>
  <si>
    <t>7.13811511682935</t>
  </si>
  <si>
    <t>8.5221700989364</t>
  </si>
  <si>
    <t>7.06278616655511</t>
  </si>
  <si>
    <t>4.62629172702368</t>
  </si>
  <si>
    <t>9.12098419415883</t>
  </si>
  <si>
    <t>7.47856247739051</t>
  </si>
  <si>
    <t>8.50493838061991</t>
  </si>
  <si>
    <t>10.4680787736351</t>
  </si>
  <si>
    <t>10.8383194557783</t>
  </si>
  <si>
    <t>10.2476573329036</t>
  </si>
  <si>
    <t>7.05967193842537</t>
  </si>
  <si>
    <t>2.2886520447835</t>
  </si>
  <si>
    <t>6.26041691056771</t>
  </si>
  <si>
    <t>6.86607781635307</t>
  </si>
  <si>
    <t>4.10537097679503</t>
  </si>
  <si>
    <t>2.7873578090036</t>
  </si>
  <si>
    <t>2.44995393434078</t>
  </si>
  <si>
    <t>2.225597196259</t>
  </si>
  <si>
    <t>2.84037333962361</t>
  </si>
  <si>
    <t>3.72517272790744</t>
  </si>
  <si>
    <t>3.38351570970698</t>
  </si>
  <si>
    <t>2.42928788594818</t>
  </si>
  <si>
    <t>1.37769394521326</t>
  </si>
  <si>
    <t>6.46020956710567</t>
  </si>
  <si>
    <t>4.56377769107739</t>
  </si>
  <si>
    <t>18.4268832404697</t>
  </si>
  <si>
    <t>11.9906197425643</t>
  </si>
  <si>
    <t>19.8987148062058</t>
  </si>
  <si>
    <t>40.3515161198777</t>
  </si>
  <si>
    <t>62.1847863137506</t>
  </si>
  <si>
    <t>72.3177829725742</t>
  </si>
  <si>
    <t>78.5284907508745</t>
  </si>
  <si>
    <t>116.249173598281</t>
  </si>
  <si>
    <t>27.0802271887489</t>
  </si>
  <si>
    <t>4.18747063657409</t>
  </si>
  <si>
    <t>31.6899694042383</t>
  </si>
  <si>
    <t>69.1670664788519</t>
  </si>
  <si>
    <t>191.574116422974</t>
  </si>
  <si>
    <t>28.4870381751439</t>
  </si>
  <si>
    <t>65.9778798447024</t>
  </si>
  <si>
    <t>47.2914924151707</t>
  </si>
  <si>
    <t>55.60669161937</t>
  </si>
  <si>
    <t>46.8016609899079</t>
  </si>
  <si>
    <t>79.2081947056121</t>
  </si>
  <si>
    <t>54.7627009793287</t>
  </si>
  <si>
    <t>27.344599505113</t>
  </si>
  <si>
    <t>18.1622668925605</t>
  </si>
  <si>
    <t>53.7310470710603</t>
  </si>
  <si>
    <t>56.3496068277738</t>
  </si>
  <si>
    <t>74.0171614543227</t>
  </si>
  <si>
    <t>70.9633350849444</t>
  </si>
  <si>
    <t>72.7839912222861</t>
  </si>
  <si>
    <t>74.6363917846918</t>
  </si>
  <si>
    <t>76.0794661481766</t>
  </si>
  <si>
    <t>106.836676498035</t>
  </si>
  <si>
    <t>100.808167622167</t>
  </si>
  <si>
    <t>59.6236226966025</t>
  </si>
  <si>
    <t>47.8519288929306</t>
  </si>
  <si>
    <t>38.9571823642866</t>
  </si>
  <si>
    <t>41.0483268728721</t>
  </si>
  <si>
    <t>26.4317377794743</t>
  </si>
  <si>
    <t>27.4851660952394</t>
  </si>
  <si>
    <t>12.3839054585972</t>
  </si>
  <si>
    <t>3.53930849282203</t>
  </si>
  <si>
    <t>4.82661833265487</t>
  </si>
  <si>
    <t>12.6162766389703</t>
  </si>
  <si>
    <t>16.5416351537692</t>
  </si>
  <si>
    <t>10.1050559964877</t>
  </si>
  <si>
    <t>0.677868373740196</t>
  </si>
  <si>
    <t>7.41439912975062</t>
  </si>
  <si>
    <t>10.3149681755111</t>
  </si>
  <si>
    <t>8.90238857828685</t>
  </si>
  <si>
    <t>8.6170745452345</t>
  </si>
  <si>
    <t>5.74685698442181</t>
  </si>
  <si>
    <t>9.87542024568336</t>
  </si>
  <si>
    <t>9.41291247372213</t>
  </si>
  <si>
    <t>8.99924666884517</t>
  </si>
  <si>
    <t>10.2206566034525</t>
  </si>
  <si>
    <t>9.85542032172539</t>
  </si>
  <si>
    <t>8.16545835238871</t>
  </si>
  <si>
    <t>5.68017140929055</t>
  </si>
  <si>
    <t>7.52556005706775</t>
  </si>
  <si>
    <t>8.25633406013463</t>
  </si>
  <si>
    <t>10.9766432085298</t>
  </si>
  <si>
    <t>11.1806219609622</t>
  </si>
  <si>
    <t>4.24465355140362</t>
  </si>
  <si>
    <t>3.4309701895517</t>
  </si>
  <si>
    <t>1.08838601136843</t>
  </si>
  <si>
    <t>3.15127936555442</t>
  </si>
  <si>
    <t>4.32612666024035</t>
  </si>
  <si>
    <t>5.4799234412211</t>
  </si>
  <si>
    <t>8.99869300901824</t>
  </si>
  <si>
    <t>6.21333271642577</t>
  </si>
  <si>
    <t>7.03393065562001</t>
  </si>
  <si>
    <t>9.03310538792248</t>
  </si>
  <si>
    <t>9.46216408749201</t>
  </si>
  <si>
    <t>6.17840414954172</t>
  </si>
  <si>
    <t>3.91690878504356</t>
  </si>
  <si>
    <t>3.16252525583639</t>
  </si>
  <si>
    <t>2.01389253563396</t>
  </si>
  <si>
    <t>2.47738846679574</t>
  </si>
  <si>
    <t>3.52749985937888</t>
  </si>
  <si>
    <t>3.92075948089523</t>
  </si>
  <si>
    <t>2.13519841812374</t>
  </si>
  <si>
    <t>2.09668848657614</t>
  </si>
  <si>
    <t>1.41509811709537</t>
  </si>
  <si>
    <t>2.25168991597403</t>
  </si>
  <si>
    <t>1.9743147047601</t>
  </si>
  <si>
    <t>2.68908760322005</t>
  </si>
  <si>
    <t>2.70925848658695</t>
  </si>
  <si>
    <t>1.92670969899538</t>
  </si>
  <si>
    <t>1.21528668186946</t>
  </si>
  <si>
    <t>1.74161805258845</t>
  </si>
  <si>
    <t>2.29089027694276</t>
  </si>
  <si>
    <t>1.32883273821459</t>
  </si>
  <si>
    <t>-1.30707973725613</t>
  </si>
  <si>
    <t>1.38053329328937</t>
  </si>
  <si>
    <t>3.9796893528447</t>
  </si>
  <si>
    <t>90.7272799986183</t>
  </si>
  <si>
    <t>712.149260299591</t>
  </si>
  <si>
    <t>1238.59527057915</t>
  </si>
  <si>
    <t>370.943953266935</t>
  </si>
  <si>
    <t>81.5552546856372</t>
  </si>
  <si>
    <t>66.0870678114849</t>
  </si>
  <si>
    <t>38.9979555922978</t>
  </si>
  <si>
    <t>44.1153632835812</t>
  </si>
  <si>
    <t>47.2926152132159</t>
  </si>
  <si>
    <t>45.2394762791821</t>
  </si>
  <si>
    <t>45.4831275096349</t>
  </si>
  <si>
    <t>26.7651832011081</t>
  </si>
  <si>
    <t>15.918274272174</t>
  </si>
  <si>
    <t>21.4308665644835</t>
  </si>
  <si>
    <t>23.4658082867024</t>
  </si>
  <si>
    <t>21.8970999284027</t>
  </si>
  <si>
    <t>26.791584982816</t>
  </si>
  <si>
    <t>17.2615651342413</t>
  </si>
  <si>
    <t>48.5816899500968</t>
  </si>
  <si>
    <t>21.6265099361492</t>
  </si>
  <si>
    <t>15.3987947017455</t>
  </si>
  <si>
    <t>11.9878914787951</t>
  </si>
  <si>
    <t>14.024917632322</t>
  </si>
  <si>
    <t>10.5006995149485</t>
  </si>
  <si>
    <t>8.93036849322681</t>
  </si>
  <si>
    <t>33.6793703839334</t>
  </si>
  <si>
    <t>25.8811586348502</t>
  </si>
  <si>
    <t>17.5760106233835</t>
  </si>
  <si>
    <t>10.6103382243685</t>
  </si>
  <si>
    <t>13.6929732776911</t>
  </si>
  <si>
    <t>14.4626563512753</t>
  </si>
  <si>
    <t>12.6585380276262</t>
  </si>
  <si>
    <t>2.50228803457063</t>
  </si>
  <si>
    <t>0.0537524862939591</t>
  </si>
  <si>
    <t>0.685817461134874</t>
  </si>
  <si>
    <t>3.84861522686431</t>
  </si>
  <si>
    <t>1.47356632926071</t>
  </si>
  <si>
    <t>6.56370656370655</t>
  </si>
  <si>
    <t>11.7276936810307</t>
  </si>
  <si>
    <t>3.31062441847774</t>
  </si>
  <si>
    <t>5.45223060439693</t>
  </si>
  <si>
    <t>0.0586217598504248</t>
  </si>
  <si>
    <t>4.22366213299097</t>
  </si>
  <si>
    <t>6.36318869096195</t>
  </si>
  <si>
    <t>25.4343176890309</t>
  </si>
  <si>
    <t>25.447625441696</t>
  </si>
  <si>
    <t>7.71460405407976</t>
  </si>
  <si>
    <t>37.253476807716</t>
  </si>
  <si>
    <t>12.3039547469434</t>
  </si>
  <si>
    <t>13.0259741761635</t>
  </si>
  <si>
    <t>13.0535456895008</t>
  </si>
  <si>
    <t>18.513116156098</t>
  </si>
  <si>
    <t>6.65911947787281</t>
  </si>
  <si>
    <t>5.18744451081106</t>
  </si>
  <si>
    <t>3.62027229151639</t>
  </si>
  <si>
    <t>1.58546235507838</t>
  </si>
  <si>
    <t>0.216495435974991</t>
  </si>
  <si>
    <t>5.50083765544289</t>
  </si>
  <si>
    <t>7.47199044437652</t>
  </si>
  <si>
    <t>2.53540643197381</t>
  </si>
  <si>
    <t>-1.19518312627417</t>
  </si>
  <si>
    <t>2.37029691590674</t>
  </si>
  <si>
    <t>1.31150699693903</t>
  </si>
  <si>
    <t>3.56525876147333</t>
  </si>
  <si>
    <t>1.35884176013687</t>
  </si>
  <si>
    <t>3.2110019999291</t>
  </si>
  <si>
    <t>1.81729585257806</t>
  </si>
  <si>
    <t>7.76171479001309</t>
  </si>
  <si>
    <t>0.206885090368885</t>
  </si>
  <si>
    <t>-2.17349074233006</t>
  </si>
  <si>
    <t>2.90358439275809</t>
  </si>
  <si>
    <t>3.7022730777342</t>
  </si>
  <si>
    <t>7.32641206478715</t>
  </si>
  <si>
    <t>2.25812236304104</t>
  </si>
  <si>
    <t>-1.14390723784288</t>
  </si>
  <si>
    <t>-0.318904485659587</t>
  </si>
  <si>
    <t>-0.444631190605605</t>
  </si>
  <si>
    <t>-0.73197382986011</t>
  </si>
  <si>
    <t>-0.593519522361845</t>
  </si>
  <si>
    <t>1.54854733183845</t>
  </si>
  <si>
    <t>2.31247061564642</t>
  </si>
  <si>
    <t>-0.392447955296817</t>
  </si>
  <si>
    <t>3.40404091410261</t>
  </si>
  <si>
    <t>0.665054138461869</t>
  </si>
  <si>
    <t>4.91982977988749</t>
  </si>
  <si>
    <t>-0.366502858121819</t>
  </si>
  <si>
    <t>2.16720883620462</t>
  </si>
  <si>
    <t>2.64492682981698</t>
  </si>
  <si>
    <t>2.4342268206811</t>
  </si>
  <si>
    <t>1.06509902850213</t>
  </si>
  <si>
    <t>1.77946177900697</t>
  </si>
  <si>
    <t>8.23265759174249</t>
  </si>
  <si>
    <t>6.26877681900044</t>
  </si>
  <si>
    <t>11.2003944899521</t>
  </si>
  <si>
    <t>50.1079687946294</t>
  </si>
  <si>
    <t>2.26299814945881</t>
  </si>
  <si>
    <t>6.1935443240511</t>
  </si>
  <si>
    <t>8.44842727068664</t>
  </si>
  <si>
    <t>6.08667532833445</t>
  </si>
  <si>
    <t>21.9455792548795</t>
  </si>
  <si>
    <t>28.0272395381624</t>
  </si>
  <si>
    <t>12.6063759126403</t>
  </si>
  <si>
    <t>4.28450348163129</t>
  </si>
  <si>
    <t>3.6352565830138</t>
  </si>
  <si>
    <t>42.5512565943692</t>
  </si>
  <si>
    <t>-1.17682323994541</t>
  </si>
  <si>
    <t>37.4445246543924</t>
  </si>
  <si>
    <t>18.4976599733232</t>
  </si>
  <si>
    <t>89.1631235890353</t>
  </si>
  <si>
    <t>41.7406571272428</t>
  </si>
  <si>
    <t>21.4496164274258</t>
  </si>
  <si>
    <t>28.244062356827</t>
  </si>
  <si>
    <t>31.6458241526824</t>
  </si>
  <si>
    <t>62.8906845843899</t>
  </si>
  <si>
    <t>51.7599018327265</t>
  </si>
  <si>
    <t>115.524717933329</t>
  </si>
  <si>
    <t>33.947459925683</t>
  </si>
  <si>
    <t>18.8902867025716</t>
  </si>
  <si>
    <t>26.1927100615555</t>
  </si>
  <si>
    <t>29.4528251104893</t>
  </si>
  <si>
    <t>7.99690405620458</t>
  </si>
  <si>
    <t>33.0228760786371</t>
  </si>
  <si>
    <t>34.9337557387369</t>
  </si>
  <si>
    <t>33.9537243385346</t>
  </si>
  <si>
    <t>29.6040593512976</t>
  </si>
  <si>
    <t>17.9043155490636</t>
  </si>
  <si>
    <t>15.4484777579669</t>
  </si>
  <si>
    <t>30.1324528534352</t>
  </si>
  <si>
    <t>7.83166636002666</t>
  </si>
  <si>
    <t>45.9432686985893</t>
  </si>
  <si>
    <t>28.1491909528854</t>
  </si>
  <si>
    <t>14.0594300642861</t>
  </si>
  <si>
    <t>35.5026746348335</t>
  </si>
  <si>
    <t>40.4404901065548</t>
  </si>
  <si>
    <t>5.96846393096911</t>
  </si>
  <si>
    <t>6.77327476185474</t>
  </si>
  <si>
    <t>12.6907616563095</t>
  </si>
  <si>
    <t>-2.16445000873266</t>
  </si>
  <si>
    <t>2.57652689535308</t>
  </si>
  <si>
    <t>-12.3556809610952</t>
  </si>
  <si>
    <t>5.97567704391486</t>
  </si>
  <si>
    <t>2.31766890279064</t>
  </si>
  <si>
    <t>6.3929376734505</t>
  </si>
  <si>
    <t>13.6632725550557</t>
  </si>
  <si>
    <t>-2.45302713987473</t>
  </si>
  <si>
    <t>-2.90516617398133</t>
  </si>
  <si>
    <t>3.18757755421872</t>
  </si>
  <si>
    <t>2.05180352239177</t>
  </si>
  <si>
    <t>0.634642014315531</t>
  </si>
  <si>
    <t>1.4937415019437</t>
  </si>
  <si>
    <t>2.07837613911349</t>
  </si>
  <si>
    <t>4.305187418871</t>
  </si>
  <si>
    <t>2.80323919722554</t>
  </si>
  <si>
    <t>5.03826726070469</t>
  </si>
  <si>
    <t>398.073085600057</t>
  </si>
  <si>
    <t>362.556321180275</t>
  </si>
  <si>
    <t>411.040253311166</t>
  </si>
  <si>
    <t>69.6887253529435</t>
  </si>
  <si>
    <t>42.0950981322183</t>
  </si>
  <si>
    <t>72.5463845950386</t>
  </si>
  <si>
    <t>32.629184460634</t>
  </si>
  <si>
    <t>17.4149746297907</t>
  </si>
  <si>
    <t>17.0401954191342</t>
  </si>
  <si>
    <t>8.69676711743546</t>
  </si>
  <si>
    <t>6.59740478176147</t>
  </si>
  <si>
    <t>8.83786412813899</t>
  </si>
  <si>
    <t>3.40882766527606</t>
  </si>
  <si>
    <t>2.62226478436138</t>
  </si>
  <si>
    <t>7.10960246291481</t>
  </si>
  <si>
    <t>8.43331213209085</t>
  </si>
  <si>
    <t>18.8105195707697</t>
  </si>
  <si>
    <t>8.56894797603766</t>
  </si>
  <si>
    <t>9.63022561216118</t>
  </si>
  <si>
    <t>22.6733161746106</t>
  </si>
  <si>
    <t>6.21562315120568</t>
  </si>
  <si>
    <t>42.3032672488557</t>
  </si>
  <si>
    <t>21.4136792818177</t>
  </si>
  <si>
    <t>9.07766069025038</t>
  </si>
  <si>
    <t>4.03852363752276</t>
  </si>
  <si>
    <t>3.69813796808818</t>
  </si>
  <si>
    <t>-1.71651170749655</t>
  </si>
  <si>
    <t>1.81953592779914</t>
  </si>
  <si>
    <t>4.36292014766431</t>
  </si>
  <si>
    <t>3.62664730027259</t>
  </si>
  <si>
    <t>2.88076792900642</t>
  </si>
  <si>
    <t>4.05124231712631</t>
  </si>
  <si>
    <t>1.90623130183931</t>
  </si>
  <si>
    <t>15.6822200765438</t>
  </si>
  <si>
    <t>8.09697231319497</t>
  </si>
  <si>
    <t>2.79760388710886</t>
  </si>
  <si>
    <t>12.1662231333461</t>
  </si>
  <si>
    <t>-3.45015152058646</t>
  </si>
  <si>
    <t>-2.97252719420267</t>
  </si>
  <si>
    <t>16.4751823391513</t>
  </si>
  <si>
    <t>-0.968104372346147</t>
  </si>
  <si>
    <t>10.2678485424025</t>
  </si>
  <si>
    <t>2.7861810511521</t>
  </si>
  <si>
    <t>2.06265987213476</t>
  </si>
  <si>
    <t>2.31030010629729</t>
  </si>
  <si>
    <t>1.73193882229019</t>
  </si>
  <si>
    <t>2.08519474360533</t>
  </si>
  <si>
    <t>4.59392521380535</t>
  </si>
  <si>
    <t>3.07863899898366</t>
  </si>
  <si>
    <t>3.62490552941837</t>
  </si>
  <si>
    <t>2.87442123407229</t>
  </si>
  <si>
    <t>0.798742786184519</t>
  </si>
  <si>
    <t>2.11687819436077</t>
  </si>
  <si>
    <t>0.41954189687101</t>
  </si>
  <si>
    <t>3.8727171595439</t>
  </si>
  <si>
    <t>7.16457057488044</t>
  </si>
  <si>
    <t>2.55471431211556</t>
  </si>
  <si>
    <t>-0.464035692443744</t>
  </si>
  <si>
    <t>3.00718624960781</t>
  </si>
  <si>
    <t>1.3918106721694</t>
  </si>
  <si>
    <t>5.86381979755184</t>
  </si>
  <si>
    <t>1.57698407705098</t>
  </si>
  <si>
    <t>5.36408692920448</t>
  </si>
  <si>
    <t>3.20664527462094</t>
  </si>
  <si>
    <t>3.27936283046665</t>
  </si>
  <si>
    <t>2.78534184329737</t>
  </si>
  <si>
    <t>0.699715546543558</t>
  </si>
  <si>
    <t>11.2255171861908</t>
  </si>
  <si>
    <t>11.3100213269124</t>
  </si>
  <si>
    <t>2.3919711871773</t>
  </si>
  <si>
    <t>3.01985692803105</t>
  </si>
  <si>
    <t>3.28400853467489</t>
  </si>
  <si>
    <t>2.99853839074031</t>
  </si>
  <si>
    <t>2.89849435960841</t>
  </si>
  <si>
    <t>5.46442517916023</t>
  </si>
  <si>
    <t>6.38813892875169</t>
  </si>
  <si>
    <t>11.847047061848</t>
  </si>
  <si>
    <t>16.7143554067789</t>
  </si>
  <si>
    <t>9.69308560827076</t>
  </si>
  <si>
    <t>7.79780140643917</t>
  </si>
  <si>
    <t>11.5122472330147</t>
  </si>
  <si>
    <t>7.17636851093515</t>
  </si>
  <si>
    <t>6.51341531670252</t>
  </si>
  <si>
    <t>7.9878494717877</t>
  </si>
  <si>
    <t>8.66565894474146</t>
  </si>
  <si>
    <t>8.08587553206087</t>
  </si>
  <si>
    <t>9.8081576345724</t>
  </si>
  <si>
    <t>6.61963807076031</t>
  </si>
  <si>
    <t>4.45657089524098</t>
  </si>
  <si>
    <t>4.69192834152023</t>
  </si>
  <si>
    <t>4.33968821867574</t>
  </si>
  <si>
    <t>4.93680801156091</t>
  </si>
  <si>
    <t>5.84689231193522</t>
  </si>
  <si>
    <t>7.85564891122797</t>
  </si>
  <si>
    <t>4.37192438013754</t>
  </si>
  <si>
    <t>5.45376406615243</t>
  </si>
  <si>
    <t>1.9309138942516</t>
  </si>
  <si>
    <t>2.80249234629785</t>
  </si>
  <si>
    <t>2.39413942110887</t>
  </si>
  <si>
    <t>1.85459318425899</t>
  </si>
  <si>
    <t>4.6247133783946</t>
  </si>
  <si>
    <t>7.18712218501408</t>
  </si>
  <si>
    <t>7.66601324566784</t>
  </si>
  <si>
    <t>25.2846802373508</t>
  </si>
  <si>
    <t>4.54041903805728</t>
  </si>
  <si>
    <t>15.1785724262158</t>
  </si>
  <si>
    <t>-2.94117594468636</t>
  </si>
  <si>
    <t>14.2923123610799</t>
  </si>
  <si>
    <t>21.9999972251731</t>
  </si>
  <si>
    <t>16.2219794153665</t>
  </si>
  <si>
    <t>20.904187770515</t>
  </si>
  <si>
    <t>17.8967657349869</t>
  </si>
  <si>
    <t>15.8656400381905</t>
  </si>
  <si>
    <t>1.53898221169604</t>
  </si>
  <si>
    <t>-0.309705940460475</t>
  </si>
  <si>
    <t>4.51742875789915</t>
  </si>
  <si>
    <t>18.3739883903076</t>
  </si>
  <si>
    <t>-2.79209414364159</t>
  </si>
  <si>
    <t>9.00643943300301</t>
  </si>
  <si>
    <t>8.56596841977273</t>
  </si>
  <si>
    <t>0.654729967403767</t>
  </si>
  <si>
    <t>68.2279527798493</t>
  </si>
  <si>
    <t>-6.97546285989371</t>
  </si>
  <si>
    <t>11.8364073965688</t>
  </si>
  <si>
    <t>1.12623382889694</t>
  </si>
  <si>
    <t>2.07489862101478</t>
  </si>
  <si>
    <t>1.48135158713414</t>
  </si>
  <si>
    <t>2.54749820051703</t>
  </si>
  <si>
    <t>7.48868949405777</t>
  </si>
  <si>
    <t>1.67772403527178</t>
  </si>
  <si>
    <t>-5.14594346625773</t>
  </si>
  <si>
    <t>-0.909859896408477</t>
  </si>
  <si>
    <t>4.02647526320095</t>
  </si>
  <si>
    <t>0.853113222017427</t>
  </si>
  <si>
    <t>3.96466639608224</t>
  </si>
  <si>
    <t>0.304905422515247</t>
  </si>
  <si>
    <t>1.09758340635358</t>
  </si>
  <si>
    <t>-0.401252917375643</t>
  </si>
  <si>
    <t>8.71088435704601</t>
  </si>
  <si>
    <t>-2.83312999171889</t>
  </si>
  <si>
    <t>6.30376606515529</t>
  </si>
  <si>
    <t>3.52540286006931</t>
  </si>
  <si>
    <t>0.353127123761723</t>
  </si>
  <si>
    <t>1.60143890288818</t>
  </si>
  <si>
    <t>0.607840658633862</t>
  </si>
  <si>
    <t>0.779254169265613</t>
  </si>
  <si>
    <t>0.440019143256507</t>
  </si>
  <si>
    <t>1.49891925129965</t>
  </si>
  <si>
    <t>0.962960139069509</t>
  </si>
  <si>
    <t>1.38110717217515</t>
  </si>
  <si>
    <t>6.11553993082821</t>
  </si>
  <si>
    <t>7.1987107549258</t>
  </si>
  <si>
    <t>16.3759078637702</t>
  </si>
  <si>
    <t>20.7843644356508</t>
  </si>
  <si>
    <t>45.7433427627653</t>
  </si>
  <si>
    <t>36.7700878974732</t>
  </si>
  <si>
    <t>13.2904926919581</t>
  </si>
  <si>
    <t>-8.34295175004308</t>
  </si>
  <si>
    <t>33.4609053609904</t>
  </si>
  <si>
    <t>23.3460519238341</t>
  </si>
  <si>
    <t>8.71188048361509</t>
  </si>
  <si>
    <t>10.8923428389302</t>
  </si>
  <si>
    <t>14.1133199884498</t>
  </si>
  <si>
    <t>18.5333535518157</t>
  </si>
  <si>
    <t>13.588647275421</t>
  </si>
  <si>
    <t>10.8882824348502</t>
  </si>
  <si>
    <t>20.377746235765</t>
  </si>
  <si>
    <t>-8.70527002029664</t>
  </si>
  <si>
    <t>23.6162920182449</t>
  </si>
  <si>
    <t>18.1136666696716</t>
  </si>
  <si>
    <t>9.20895704915077</t>
  </si>
  <si>
    <t>7.16332422002795</t>
  </si>
  <si>
    <t>46.4762512255778</t>
  </si>
  <si>
    <t>0.134410844260984</t>
  </si>
  <si>
    <t>18.5535661652076</t>
  </si>
  <si>
    <t>14.8536647661831</t>
  </si>
  <si>
    <t>1.55245133157604</t>
  </si>
  <si>
    <t>0.183994937544526</t>
  </si>
  <si>
    <t>3.00393350819306</t>
  </si>
  <si>
    <t>2.04864619056781</t>
  </si>
  <si>
    <t>3.00249847404524</t>
  </si>
  <si>
    <t>3.85498514945877</t>
  </si>
  <si>
    <t>3.92194309999758</t>
  </si>
  <si>
    <t>7.38669605401651</t>
  </si>
  <si>
    <t>4.69053537939482</t>
  </si>
  <si>
    <t>10.7214983484777</t>
  </si>
  <si>
    <t>17.1272320140504</t>
  </si>
  <si>
    <t>14.8176062024799</t>
  </si>
  <si>
    <t>10.5206209730623</t>
  </si>
  <si>
    <t>13.9617448705515</t>
  </si>
  <si>
    <t>23.0461655206101</t>
  </si>
  <si>
    <t>11.4064266045382</t>
  </si>
  <si>
    <t>14.5536580308889</t>
  </si>
  <si>
    <t>17.0691205854565</t>
  </si>
  <si>
    <t>11.1505445547794</t>
  </si>
  <si>
    <t>16.656865772349</t>
  </si>
  <si>
    <t>14.8480301619174</t>
  </si>
  <si>
    <t>15.4208324168045</t>
  </si>
  <si>
    <t>17.0816612788057</t>
  </si>
  <si>
    <t>15.6545219222237</t>
  </si>
  <si>
    <t>14.7140252811412</t>
  </si>
  <si>
    <t>13.3642582610797</t>
  </si>
  <si>
    <t>9.81218708489008</t>
  </si>
  <si>
    <t>8.02208799242219</t>
  </si>
  <si>
    <t>8.13743291858027</t>
  </si>
  <si>
    <t>8.07573837316775</t>
  </si>
  <si>
    <t>6.88883410122743</t>
  </si>
  <si>
    <t>9.18219141567356</t>
  </si>
  <si>
    <t>7.80047496305909</t>
  </si>
  <si>
    <t>12.537957905723</t>
  </si>
  <si>
    <t>6.39576358713289</t>
  </si>
  <si>
    <t>6.042171590455</t>
  </si>
  <si>
    <t>5.59700978064043</t>
  </si>
  <si>
    <t>6.06463701450308</t>
  </si>
  <si>
    <t>7.85033172851331</t>
  </si>
  <si>
    <t>8.6630418315964</t>
  </si>
  <si>
    <t>6.12843243160444</t>
  </si>
  <si>
    <t>5.53905643151262</t>
  </si>
  <si>
    <t>4.68520638813985</t>
  </si>
  <si>
    <t>5.84411140067347</t>
  </si>
  <si>
    <t>5.36654618468381</t>
  </si>
  <si>
    <t>5.54552812339873</t>
  </si>
  <si>
    <t>6.9521719608848</t>
  </si>
  <si>
    <t>5.47332197481477</t>
  </si>
  <si>
    <t>3.99329508509443</t>
  </si>
  <si>
    <t>4.61352469052481</t>
  </si>
  <si>
    <t>5.3913943350576</t>
  </si>
  <si>
    <t>6.53869058287115</t>
  </si>
  <si>
    <t>4.99247138395964</t>
  </si>
  <si>
    <t>-3.6558317516409</t>
  </si>
  <si>
    <t>0.403600057440983</t>
  </si>
  <si>
    <t>4.08310518698201</t>
  </si>
  <si>
    <t>10.5890550287602</t>
  </si>
  <si>
    <t>23.6418516015495</t>
  </si>
  <si>
    <t>0.262874459138416</t>
  </si>
  <si>
    <t>15.9399054440875</t>
  </si>
  <si>
    <t>22.9462097862278</t>
  </si>
  <si>
    <t>-11.3944057438464</t>
  </si>
  <si>
    <t>-7.49652375313784</t>
  </si>
  <si>
    <t>3.71051097004526</t>
  </si>
  <si>
    <t>19.8898473839698</t>
  </si>
  <si>
    <t>10.8221496863328</t>
  </si>
  <si>
    <t>-14.1698985843605</t>
  </si>
  <si>
    <t>15.2045869825003</t>
  </si>
  <si>
    <t>8.25401842691977</t>
  </si>
  <si>
    <t>12.6814879060828</t>
  </si>
  <si>
    <t>21.8890669832971</t>
  </si>
  <si>
    <t>11.7629156496757</t>
  </si>
  <si>
    <t>7.15861802485556</t>
  </si>
  <si>
    <t>6.13860129264607</t>
  </si>
  <si>
    <t>18.6293463518053</t>
  </si>
  <si>
    <t>18.331231799032</t>
  </si>
  <si>
    <t>41.1373505080315</t>
  </si>
  <si>
    <t>81.9883566993867</t>
  </si>
  <si>
    <t>62.0128982645801</t>
  </si>
  <si>
    <t>34.4903044484454</t>
  </si>
  <si>
    <t>80.8773347304922</t>
  </si>
  <si>
    <t>106.388920043291</t>
  </si>
  <si>
    <t>92.6545782085704</t>
  </si>
  <si>
    <t>165.533953807921</t>
  </si>
  <si>
    <t>143.658341657555</t>
  </si>
  <si>
    <t>80.7421986460103</t>
  </si>
  <si>
    <t>30.6111247595742</t>
  </si>
  <si>
    <t>24.3492595595263</t>
  </si>
  <si>
    <t>25.4025412591637</t>
  </si>
  <si>
    <t>16.9068728138218</t>
  </si>
  <si>
    <t>17.9238730663514</t>
  </si>
  <si>
    <t>32.6138705117288</t>
  </si>
  <si>
    <t>25.3312584622414</t>
  </si>
  <si>
    <t>19.390923266941</t>
  </si>
  <si>
    <t>17.6077236839923</t>
  </si>
  <si>
    <t>19.7168232055938</t>
  </si>
  <si>
    <t>16.6501990728872</t>
  </si>
  <si>
    <t>14.5422526759543</t>
  </si>
  <si>
    <t>12.9702107335817</t>
  </si>
  <si>
    <t>10.6402448170694</t>
  </si>
  <si>
    <t>5.55968566025587</t>
  </si>
  <si>
    <t>13.9509131934519</t>
  </si>
  <si>
    <t>11.1074132686175</t>
  </si>
  <si>
    <t>6.99222724900214</t>
  </si>
  <si>
    <t>9.73089122030567</t>
  </si>
  <si>
    <t>5.44052458126617</t>
  </si>
  <si>
    <t>6.65929211357343</t>
  </si>
  <si>
    <t>13.5761011694227</t>
  </si>
  <si>
    <t>10.0728370854916</t>
  </si>
  <si>
    <t>7.41157094843257</t>
  </si>
  <si>
    <t>7.63347048076743</t>
  </si>
  <si>
    <t>13.9138706178858</t>
  </si>
  <si>
    <t>25.1427776148297</t>
  </si>
  <si>
    <t>6.14031838965083</t>
  </si>
  <si>
    <t>7.09462960303757</t>
  </si>
  <si>
    <t>-2.04129982268228</t>
  </si>
  <si>
    <t>0.469617817286277</t>
  </si>
  <si>
    <t>-2.34773995622433</t>
  </si>
  <si>
    <t>6.14401173207837</t>
  </si>
  <si>
    <t>-3.72996653029961</t>
  </si>
  <si>
    <t>0.576561685526372</t>
  </si>
  <si>
    <t>3.86620676089859</t>
  </si>
  <si>
    <t>5.08033311276152</t>
  </si>
  <si>
    <t>-12.0531442365749</t>
  </si>
  <si>
    <t>6.1632539044042</t>
  </si>
  <si>
    <t>13.4535695071385</t>
  </si>
  <si>
    <t>20.4506559389504</t>
  </si>
  <si>
    <t>11.9337531313148</t>
  </si>
  <si>
    <t>-1.66790849176463</t>
  </si>
  <si>
    <t>8.50999910238919</t>
  </si>
  <si>
    <t>2.48122572407175</t>
  </si>
  <si>
    <t>15.1807299317835</t>
  </si>
  <si>
    <t>6.5990811519637</t>
  </si>
  <si>
    <t>3.85876198204294</t>
  </si>
  <si>
    <t>-10.5015046804234</t>
  </si>
  <si>
    <t>-16.5947477281779</t>
  </si>
  <si>
    <t>-17.0166590234817</t>
  </si>
  <si>
    <t>8.02588309824017</t>
  </si>
  <si>
    <t>7.78511669221666</t>
  </si>
  <si>
    <t>0.792932869854667</t>
  </si>
  <si>
    <t>-0.92043104560571</t>
  </si>
  <si>
    <t>-6.77730004305829</t>
  </si>
  <si>
    <t>-14.1296583416493</t>
  </si>
  <si>
    <t>-3.79112219212563</t>
  </si>
  <si>
    <t>-3.89567256193503</t>
  </si>
  <si>
    <t>3.03853825553458</t>
  </si>
  <si>
    <t>8.98438332840628</t>
  </si>
  <si>
    <t>-2.87904813795578</t>
  </si>
  <si>
    <t>-27.0486492703599</t>
  </si>
  <si>
    <t>0.627900021035586</t>
  </si>
  <si>
    <t>-0.130890211660429</t>
  </si>
  <si>
    <t>2.71295029474732</t>
  </si>
  <si>
    <t>8.80127560706312</t>
  </si>
  <si>
    <t>5.13660110663395</t>
  </si>
  <si>
    <t>-2.0176787072881</t>
  </si>
  <si>
    <t>0.894886823303793</t>
  </si>
  <si>
    <t>1.34922252949015</t>
  </si>
  <si>
    <t>95.4086596679546</t>
  </si>
  <si>
    <t>2.57553601961588</t>
  </si>
  <si>
    <t>2.17176103182936</t>
  </si>
  <si>
    <t>4.85594551850788</t>
  </si>
  <si>
    <t>8.09114024983452</t>
  </si>
  <si>
    <t>0.624974485152464</t>
  </si>
  <si>
    <t>0.367419652771034</t>
  </si>
  <si>
    <t>2.01409473434026</t>
  </si>
  <si>
    <t>199.324940858088</t>
  </si>
  <si>
    <t>3.55429024176341</t>
  </si>
  <si>
    <t>225.394648207397</t>
  </si>
  <si>
    <t>604.945864228018</t>
  </si>
  <si>
    <t>113.294980646573</t>
  </si>
  <si>
    <t>266.987151680516</t>
  </si>
  <si>
    <t>921.535651645931</t>
  </si>
  <si>
    <t>Eurozone</t>
  </si>
  <si>
    <t>yeah, doesnt work with inflation, tough to get this number make sense</t>
  </si>
  <si>
    <t>Wages Hungary</t>
  </si>
  <si>
    <t>Normalized</t>
  </si>
  <si>
    <t>Adjusted for inflation</t>
  </si>
  <si>
    <t>1970-12-31</t>
  </si>
  <si>
    <t>1971-03-31</t>
  </si>
  <si>
    <t>1971-06-30</t>
  </si>
  <si>
    <t>1971-09-30</t>
  </si>
  <si>
    <t>1971-12-31</t>
  </si>
  <si>
    <t>1972-03-31</t>
  </si>
  <si>
    <t>1972-06-30</t>
  </si>
  <si>
    <t>1972-09-30</t>
  </si>
  <si>
    <t>1972-12-31</t>
  </si>
  <si>
    <t>1973-03-31</t>
  </si>
  <si>
    <t>1973-06-30</t>
  </si>
  <si>
    <t>1973-09-30</t>
  </si>
  <si>
    <t>1973-12-31</t>
  </si>
  <si>
    <t>1974-03-31</t>
  </si>
  <si>
    <t>1974-06-30</t>
  </si>
  <si>
    <t>1974-09-30</t>
  </si>
  <si>
    <t>1974-12-31</t>
  </si>
  <si>
    <t>1975-03-31</t>
  </si>
  <si>
    <t>1975-06-30</t>
  </si>
  <si>
    <t>1975-09-30</t>
  </si>
  <si>
    <t>1975-12-31</t>
  </si>
  <si>
    <t>1976-03-31</t>
  </si>
  <si>
    <t>1976-06-30</t>
  </si>
  <si>
    <t>1976-09-30</t>
  </si>
  <si>
    <t>1976-12-31</t>
  </si>
  <si>
    <t>1977-03-31</t>
  </si>
  <si>
    <t>1977-06-30</t>
  </si>
  <si>
    <t>1977-09-30</t>
  </si>
  <si>
    <t>1977-12-31</t>
  </si>
  <si>
    <t>1978-03-31</t>
  </si>
  <si>
    <t>1978-06-30</t>
  </si>
  <si>
    <t>1978-09-30</t>
  </si>
  <si>
    <t>1978-12-31</t>
  </si>
  <si>
    <t>1979-03-31</t>
  </si>
  <si>
    <t>1979-06-30</t>
  </si>
  <si>
    <t>1979-09-30</t>
  </si>
  <si>
    <t>1979-12-31</t>
  </si>
  <si>
    <t>1980-03-31</t>
  </si>
  <si>
    <t>1980-06-30</t>
  </si>
  <si>
    <t>1980-09-30</t>
  </si>
  <si>
    <t>1980-12-31</t>
  </si>
  <si>
    <t>1981-03-31</t>
  </si>
  <si>
    <t>1981-06-30</t>
  </si>
  <si>
    <t>1981-09-30</t>
  </si>
  <si>
    <t>1981-12-31</t>
  </si>
  <si>
    <t>1982-03-31</t>
  </si>
  <si>
    <t>1982-06-30</t>
  </si>
  <si>
    <t>1982-09-30</t>
  </si>
  <si>
    <t>1982-12-31</t>
  </si>
  <si>
    <t>1983-03-31</t>
  </si>
  <si>
    <t>1983-06-30</t>
  </si>
  <si>
    <t>1983-09-30</t>
  </si>
  <si>
    <t>1983-12-31</t>
  </si>
  <si>
    <t>1984-03-31</t>
  </si>
  <si>
    <t>1984-06-30</t>
  </si>
  <si>
    <t>1984-09-30</t>
  </si>
  <si>
    <t>1984-12-31</t>
  </si>
  <si>
    <t>1985-03-31</t>
  </si>
  <si>
    <t>1985-06-30</t>
  </si>
  <si>
    <t>1985-09-30</t>
  </si>
  <si>
    <t>1985-12-31</t>
  </si>
  <si>
    <t>1986-03-31</t>
  </si>
  <si>
    <t>1986-06-30</t>
  </si>
  <si>
    <t>1986-09-30</t>
  </si>
  <si>
    <t>1986-12-31</t>
  </si>
  <si>
    <t>1987-03-31</t>
  </si>
  <si>
    <t>1987-06-30</t>
  </si>
  <si>
    <t>1987-09-30</t>
  </si>
  <si>
    <t>1987-12-31</t>
  </si>
  <si>
    <t>1988-03-31</t>
  </si>
  <si>
    <t>1988-06-30</t>
  </si>
  <si>
    <t>1988-09-30</t>
  </si>
  <si>
    <t>1988-12-31</t>
  </si>
  <si>
    <t>1989-03-31</t>
  </si>
  <si>
    <t>1989-06-30</t>
  </si>
  <si>
    <t>1989-09-30</t>
  </si>
  <si>
    <t>1989-12-31</t>
  </si>
  <si>
    <t>1990-03-31</t>
  </si>
  <si>
    <t>1990-06-30</t>
  </si>
  <si>
    <t>1990-09-30</t>
  </si>
  <si>
    <t>1990-12-31</t>
  </si>
  <si>
    <t>1991-03-31</t>
  </si>
  <si>
    <t>1991-06-30</t>
  </si>
  <si>
    <t>1991-09-30</t>
  </si>
  <si>
    <t>1991-12-31</t>
  </si>
  <si>
    <t>1992-03-31</t>
  </si>
  <si>
    <t>1992-06-30</t>
  </si>
  <si>
    <t>1992-09-30</t>
  </si>
  <si>
    <t>1992-12-31</t>
  </si>
  <si>
    <t>1993-03-31</t>
  </si>
  <si>
    <t>1993-06-30</t>
  </si>
  <si>
    <t>1993-09-30</t>
  </si>
  <si>
    <t>1993-12-31</t>
  </si>
  <si>
    <t>1994-03-31</t>
  </si>
  <si>
    <t>1994-06-30</t>
  </si>
  <si>
    <t>1994-09-30</t>
  </si>
  <si>
    <t>1994-12-31</t>
  </si>
  <si>
    <t>1995-03-31</t>
  </si>
  <si>
    <t>1995-06-30</t>
  </si>
  <si>
    <t>1995-09-30</t>
  </si>
  <si>
    <t>1995-12-31</t>
  </si>
  <si>
    <t>1996-03-31</t>
  </si>
  <si>
    <t>1996-06-30</t>
  </si>
  <si>
    <t>1996-09-30</t>
  </si>
  <si>
    <t>1996-12-31</t>
  </si>
  <si>
    <t>1997-03-31</t>
  </si>
  <si>
    <t>1997-06-30</t>
  </si>
  <si>
    <t>1997-09-30</t>
  </si>
  <si>
    <t>1997-12-31</t>
  </si>
  <si>
    <t>1998-03-31</t>
  </si>
  <si>
    <t>1998-06-30</t>
  </si>
  <si>
    <t>1998-09-30</t>
  </si>
  <si>
    <t>1998-12-31</t>
  </si>
  <si>
    <t>1999-03-31</t>
  </si>
  <si>
    <t>1999-06-30</t>
  </si>
  <si>
    <t>1999-09-30</t>
  </si>
  <si>
    <t>1999-12-31</t>
  </si>
  <si>
    <t>2000-03-31</t>
  </si>
  <si>
    <t>2000-06-30</t>
  </si>
  <si>
    <t>2000-09-30</t>
  </si>
  <si>
    <t>2000-12-31</t>
  </si>
  <si>
    <t>2001-03-31</t>
  </si>
  <si>
    <t>2001-06-30</t>
  </si>
  <si>
    <t>2001-09-30</t>
  </si>
  <si>
    <t>2001-12-31</t>
  </si>
  <si>
    <t>2002-03-31</t>
  </si>
  <si>
    <t>2002-06-30</t>
  </si>
  <si>
    <t>2002-09-30</t>
  </si>
  <si>
    <t>2002-12-31</t>
  </si>
  <si>
    <t>2003-03-31</t>
  </si>
  <si>
    <t>2003-06-30</t>
  </si>
  <si>
    <t>2003-09-30</t>
  </si>
  <si>
    <t>2003-12-31</t>
  </si>
  <si>
    <t>2004-03-31</t>
  </si>
  <si>
    <t>2004-06-30</t>
  </si>
  <si>
    <t>2004-09-30</t>
  </si>
  <si>
    <t>2004-12-31</t>
  </si>
  <si>
    <t>2005-03-31</t>
  </si>
  <si>
    <t>2005-06-30</t>
  </si>
  <si>
    <t>2005-09-30</t>
  </si>
  <si>
    <t>2005-12-31</t>
  </si>
  <si>
    <t>2006-03-31</t>
  </si>
  <si>
    <t>2006-06-30</t>
  </si>
  <si>
    <t>2006-09-30</t>
  </si>
  <si>
    <t>2006-12-31</t>
  </si>
  <si>
    <t>2007-03-31</t>
  </si>
  <si>
    <t>2007-06-30</t>
  </si>
  <si>
    <t>2007-09-30</t>
  </si>
  <si>
    <t>2007-12-31</t>
  </si>
  <si>
    <t>2008-03-31</t>
  </si>
  <si>
    <t>2008-06-30</t>
  </si>
  <si>
    <t>2008-09-30</t>
  </si>
  <si>
    <t>2008-12-31</t>
  </si>
  <si>
    <t>2009-03-31</t>
  </si>
  <si>
    <t>2009-06-30</t>
  </si>
  <si>
    <t>2009-09-30</t>
  </si>
  <si>
    <t>2009-12-31</t>
  </si>
  <si>
    <t>2010-03-31</t>
  </si>
  <si>
    <t>2010-06-30</t>
  </si>
  <si>
    <t>2010-09-30</t>
  </si>
  <si>
    <t>2010-12-31</t>
  </si>
  <si>
    <t>2011-03-31</t>
  </si>
  <si>
    <t>2011-06-30</t>
  </si>
  <si>
    <t>2011-09-30</t>
  </si>
  <si>
    <t>2011-12-31</t>
  </si>
  <si>
    <t>2012-03-31</t>
  </si>
  <si>
    <t>2012-06-30</t>
  </si>
  <si>
    <t>2012-09-30</t>
  </si>
  <si>
    <t>2012-12-31</t>
  </si>
  <si>
    <t>2013-03-31</t>
  </si>
  <si>
    <t>2013-06-30</t>
  </si>
  <si>
    <t>2013-09-30</t>
  </si>
  <si>
    <t>2013-12-31</t>
  </si>
  <si>
    <t>2014-03-31</t>
  </si>
  <si>
    <t>2014-06-30</t>
  </si>
  <si>
    <t>2014-09-30</t>
  </si>
  <si>
    <t>2014-12-31</t>
  </si>
  <si>
    <t>2015-03-31</t>
  </si>
  <si>
    <t>2015-06-30</t>
  </si>
  <si>
    <t>2015-09-30</t>
  </si>
  <si>
    <t>2015-12-31</t>
  </si>
  <si>
    <t>2016-03-31</t>
  </si>
  <si>
    <t>2016-06-30</t>
  </si>
  <si>
    <t>2016-09-30</t>
  </si>
  <si>
    <t>2016-12-31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</si>
  <si>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</si>
  <si>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</si>
  <si>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</si>
  <si>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</si>
  <si>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</si>
  <si>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</si>
  <si>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</si>
  <si>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</si>
  <si>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</si>
  <si>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</si>
  <si>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</si>
  <si>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</si>
  <si>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</si>
  <si>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</si>
  <si>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</si>
  <si>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</si>
  <si>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</si>
  <si>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</si>
  <si>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</si>
  <si>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</si>
  <si>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</si>
  <si>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</si>
  <si>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</si>
  <si>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</si>
  <si>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</si>
  <si>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</si>
  <si>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</si>
  <si>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</si>
  <si>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</si>
  <si>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</si>
  <si>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</si>
  <si>
    <t>Credit_GDP_NFC</t>
  </si>
  <si>
    <t>Domestic Banks to NFC</t>
  </si>
  <si>
    <t>Private to non-financial sector</t>
  </si>
  <si>
    <t>Foreign ratio</t>
  </si>
  <si>
    <t>Hungary REER</t>
  </si>
  <si>
    <t>Real Broad Effective Exchange Rate for Hungary (RBHUBIS)</t>
  </si>
  <si>
    <t>Renormalized</t>
  </si>
  <si>
    <t>US</t>
  </si>
  <si>
    <t>Nominal Interest rate diff v1</t>
  </si>
  <si>
    <t>UK</t>
  </si>
  <si>
    <t>Nominal Interest rate diff v2</t>
  </si>
  <si>
    <t>Nominal Interest rate diff v3</t>
  </si>
  <si>
    <t>Real Interest rate diff v1</t>
  </si>
  <si>
    <t>Real Interest rate diff v2</t>
  </si>
  <si>
    <t>Real Interest rate diff v3</t>
  </si>
  <si>
    <t>German data</t>
  </si>
  <si>
    <t>Lending rate</t>
  </si>
  <si>
    <t>Inflation</t>
  </si>
  <si>
    <t>German average real lending rate</t>
  </si>
  <si>
    <t>Real Lending Rate (%)</t>
  </si>
  <si>
    <t xml:space="preserve">avg </t>
  </si>
  <si>
    <t>Credit_GDP_NFC - no 1990 Foreign credit</t>
  </si>
  <si>
    <t>Relevant NFC Foreign credit</t>
  </si>
  <si>
    <t>Corrected ratio</t>
  </si>
  <si>
    <t>https://fred.stlouisfed.org/series/QHUNAM770A</t>
  </si>
  <si>
    <t>https://fred.stlouisfed.org/series/QHUPAM770A</t>
  </si>
  <si>
    <t>https://fred.stlouisfed.org/series/QHUPBM770A</t>
  </si>
  <si>
    <t>(a known BIS data break/reclassification when Hungary transitioned to a market economy, that from what I gathered mostly affected the post 1987 Banking Act )</t>
  </si>
  <si>
    <t>Links</t>
  </si>
  <si>
    <t>This is the quarter before the crisis</t>
  </si>
  <si>
    <t>Summarized in https://www.ksh.hu/statszemle_archive/1997/1997_01/1997_01_045.pdf</t>
  </si>
  <si>
    <t>Slight differences relative to the article because these are the official numbers from a website that has been made unavailable since then</t>
  </si>
  <si>
    <t>Can even go back to 1988, this one is until 1995, table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</si>
</sst>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9" formatCode="0.0"/>
  </numFmts>
  <fonts count="7" x14ac:knownFonts="1">
    <font>
      <sz val="11"/>
      <color theme="1"/>
      <name val="Calibri"/>
      <family val="2"/>
      <scheme val="minor"/>
    </font>
    <font>
      <sz val="11"/>
      <color rgb="FF495057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medium">
        <color rgb="FFEFF2F7"/>
      </left>
      <right style="medium">
        <color rgb="FF000000"/>
      </right>
      <top style="medium">
        <color rgb="FFEFF2F7"/>
      </top>
      <bottom/>
      <diagonal/>
    </border>
    <border>
      <left style="medium">
        <color rgb="FF000000"/>
      </left>
      <right style="medium">
        <color rgb="FFEFF2F7"/>
      </right>
      <top style="medium">
        <color rgb="FFEFF2F7"/>
      </top>
      <bottom/>
      <diagonal/>
    </border>
    <border>
      <left style="medium">
        <color rgb="FFEFF2F7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EFF2F7"/>
      </right>
      <top/>
      <bottom/>
      <diagonal/>
    </border>
    <border>
      <left style="medium">
        <color rgb="FFEFF2F7"/>
      </left>
      <right style="medium">
        <color rgb="FF000000"/>
      </right>
      <top/>
      <bottom style="medium">
        <color rgb="FFEFF2F7"/>
      </bottom>
      <diagonal/>
    </border>
    <border>
      <left style="medium">
        <color rgb="FF000000"/>
      </left>
      <right style="medium">
        <color rgb="FFEFF2F7"/>
      </right>
      <top/>
      <bottom style="medium">
        <color rgb="FFEFF2F7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3" fillId="0" borderId="0"/>
    <xf numFmtId="0" fontId="4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2" fillId="0" borderId="0" xfId="0" applyFont="1"/>
    <xf numFmtId="0" fontId="3" fillId="0" borderId="0" xfId="1"/>
    <xf numFmtId="0" fontId="0" fillId="4" borderId="7" xfId="0" applyFill="1" applyBorder="1"/>
    <xf numFmtId="0" fontId="0" fillId="0" borderId="7" xfId="0" applyBorder="1"/>
    <xf numFmtId="0" fontId="4" fillId="3" borderId="0" xfId="2"/>
    <xf numFmtId="0" fontId="0" fillId="4" borderId="8" xfId="0" applyFill="1" applyBorder="1"/>
    <xf numFmtId="0" fontId="0" fillId="0" borderId="8" xfId="0" applyBorder="1"/>
    <xf numFmtId="0" fontId="4" fillId="3" borderId="0" xfId="2" applyNumberFormat="1"/>
    <xf numFmtId="2" fontId="0" fillId="0" borderId="0" xfId="0" applyNumberFormat="1"/>
    <xf numFmtId="164" fontId="0" fillId="0" borderId="0" xfId="0" applyNumberFormat="1"/>
    <xf numFmtId="0" fontId="4" fillId="3" borderId="8" xfId="2" applyNumberFormat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9" fontId="0" fillId="0" borderId="0" xfId="0" applyNumberFormat="1"/>
    <xf numFmtId="0" fontId="6" fillId="0" borderId="0" xfId="3"/>
    <xf numFmtId="0" fontId="5" fillId="0" borderId="0" xfId="0" applyFont="1"/>
    <xf numFmtId="169" fontId="0" fillId="0" borderId="0" xfId="0" applyNumberFormat="1"/>
    <xf numFmtId="169" fontId="0" fillId="0" borderId="0" xfId="0" applyNumberFormat="1"/>
  </cellXfs>
  <cellStyles count="4">
    <cellStyle name="Good" xfId="2" builtinId="26"/>
    <cellStyle name="Hyperlink" xfId="3" builtinId="8"/>
    <cellStyle name="Normal" xfId="0" builtinId="0"/>
    <cellStyle name="Normal 2" xfId="1" xr:uid="{1250D672-BB91-4E21-8AEE-1828FA93A270}"/>
  </cellStyles>
  <dxfs count="15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A44C5898-810E-4BA1-848E-73B3BD69EDA9}" autoFormatId="16" applyNumberFormats="0" applyBorderFormats="0" applyFontFormats="0" applyPatternFormats="0" applyAlignmentFormats="0" applyWidthHeightFormats="0">
  <queryTableRefresh nextId="23">
    <queryTableFields count="22">
      <queryTableField id="1" name="Selected Nomen" tableColumnId="1"/>
      <queryTableField id="2" name="Native Nomen" tableColumnId="2"/>
      <queryTableField id="3" name="Reporter" tableColumnId="3"/>
      <queryTableField id="4" name="Reporter Name" tableColumnId="4"/>
      <queryTableField id="5" name="Product" tableColumnId="5"/>
      <queryTableField id="6" name="Product Name" tableColumnId="6"/>
      <queryTableField id="7" name="Partner" tableColumnId="7"/>
      <queryTableField id="8" name="Partner Name" tableColumnId="8"/>
      <queryTableField id="9" name="Tariff Year" tableColumnId="9"/>
      <queryTableField id="10" name="Trade Year" tableColumnId="10"/>
      <queryTableField id="11" name="Trade Source" tableColumnId="11"/>
      <queryTableField id="12" name="DutyType" tableColumnId="12"/>
      <queryTableField id="13" name="Simple Average" tableColumnId="13"/>
      <queryTableField id="14" name="Weighted Average" tableColumnId="14"/>
      <queryTableField id="15" name="Standard Deviation" tableColumnId="15"/>
      <queryTableField id="16" name="Minimum Rate" tableColumnId="16"/>
      <queryTableField id="17" name="Maximum Rate" tableColumnId="17"/>
      <queryTableField id="18" name="Nbr of Total Lines" tableColumnId="18"/>
      <queryTableField id="19" name="Nbr of DomesticPeaks" tableColumnId="19"/>
      <queryTableField id="20" name="Nbr of InternationalPeaks" tableColumnId="20"/>
      <queryTableField id="21" name="Imports Value in 1000 USD" tableColumnId="21"/>
      <queryTableField id="22" name="Binding Coverage" tableColumnId="2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5209C5-36B8-48AD-B5F8-221206A2333D}" autoFormatId="16" applyNumberFormats="0" applyBorderFormats="0" applyFontFormats="0" applyPatternFormats="0" applyAlignmentFormats="0" applyWidthHeightFormats="0">
  <queryTableRefresh nextId="71">
    <queryTableFields count="7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A67701C-88AE-4DC1-A65F-77A3558CAFDC}" autoFormatId="16" applyNumberFormats="0" applyBorderFormats="0" applyFontFormats="0" applyPatternFormats="0" applyAlignmentFormats="0" applyWidthHeightFormats="0">
  <queryTableRefresh nextId="71">
    <queryTableFields count="70">
      <queryTableField id="1" name="Data Source" tableColumnId="1"/>
      <queryTableField id="2" name="World Development Indicators" tableColumnId="2"/>
      <queryTableField id="3" name="Column1" tableColumnId="3"/>
      <queryTableField id="4" name="_1" tableColumnId="4"/>
      <queryTableField id="5" name="_2" tableColumnId="5"/>
      <queryTableField id="6" name="_3" tableColumnId="6"/>
      <queryTableField id="7" name="_4" tableColumnId="7"/>
      <queryTableField id="8" name="_5" tableColumnId="8"/>
      <queryTableField id="9" name="_6" tableColumnId="9"/>
      <queryTableField id="10" name="_7" tableColumnId="10"/>
      <queryTableField id="11" name="_8" tableColumnId="11"/>
      <queryTableField id="12" name="_9" tableColumnId="12"/>
      <queryTableField id="13" name="_10" tableColumnId="13"/>
      <queryTableField id="14" name="_11" tableColumnId="14"/>
      <queryTableField id="15" name="_12" tableColumnId="15"/>
      <queryTableField id="16" name="_13" tableColumnId="16"/>
      <queryTableField id="17" name="_14" tableColumnId="17"/>
      <queryTableField id="18" name="_15" tableColumnId="18"/>
      <queryTableField id="19" name="_16" tableColumnId="19"/>
      <queryTableField id="20" name="_17" tableColumnId="20"/>
      <queryTableField id="21" name="_18" tableColumnId="21"/>
      <queryTableField id="22" name="_19" tableColumnId="22"/>
      <queryTableField id="23" name="_20" tableColumnId="23"/>
      <queryTableField id="24" name="_21" tableColumnId="24"/>
      <queryTableField id="25" name="_22" tableColumnId="25"/>
      <queryTableField id="26" name="_23" tableColumnId="26"/>
      <queryTableField id="27" name="_24" tableColumnId="27"/>
      <queryTableField id="28" name="_25" tableColumnId="28"/>
      <queryTableField id="29" name="_26" tableColumnId="29"/>
      <queryTableField id="30" name="_27" tableColumnId="30"/>
      <queryTableField id="31" name="_28" tableColumnId="31"/>
      <queryTableField id="32" name="_29" tableColumnId="32"/>
      <queryTableField id="33" name="_30" tableColumnId="33"/>
      <queryTableField id="34" name="_31" tableColumnId="34"/>
      <queryTableField id="35" name="_32" tableColumnId="35"/>
      <queryTableField id="36" name="_33" tableColumnId="36"/>
      <queryTableField id="37" name="_34" tableColumnId="37"/>
      <queryTableField id="38" name="_35" tableColumnId="38"/>
      <queryTableField id="39" name="_36" tableColumnId="39"/>
      <queryTableField id="40" name="_37" tableColumnId="40"/>
      <queryTableField id="41" name="_38" tableColumnId="41"/>
      <queryTableField id="42" name="_39" tableColumnId="42"/>
      <queryTableField id="43" name="_40" tableColumnId="43"/>
      <queryTableField id="44" name="_41" tableColumnId="44"/>
      <queryTableField id="45" name="_42" tableColumnId="45"/>
      <queryTableField id="46" name="_43" tableColumnId="46"/>
      <queryTableField id="47" name="_44" tableColumnId="47"/>
      <queryTableField id="48" name="_45" tableColumnId="48"/>
      <queryTableField id="49" name="_46" tableColumnId="49"/>
      <queryTableField id="50" name="_47" tableColumnId="50"/>
      <queryTableField id="51" name="_48" tableColumnId="51"/>
      <queryTableField id="52" name="_49" tableColumnId="52"/>
      <queryTableField id="53" name="_50" tableColumnId="53"/>
      <queryTableField id="54" name="_51" tableColumnId="54"/>
      <queryTableField id="55" name="_52" tableColumnId="55"/>
      <queryTableField id="56" name="_53" tableColumnId="56"/>
      <queryTableField id="57" name="_54" tableColumnId="57"/>
      <queryTableField id="58" name="_55" tableColumnId="58"/>
      <queryTableField id="59" name="_56" tableColumnId="59"/>
      <queryTableField id="60" name="_57" tableColumnId="60"/>
      <queryTableField id="61" name="_58" tableColumnId="61"/>
      <queryTableField id="62" name="_59" tableColumnId="62"/>
      <queryTableField id="63" name="_60" tableColumnId="63"/>
      <queryTableField id="64" name="_61" tableColumnId="64"/>
      <queryTableField id="65" name="_62" tableColumnId="65"/>
      <queryTableField id="66" name="_63" tableColumnId="66"/>
      <queryTableField id="67" name="_64" tableColumnId="67"/>
      <queryTableField id="68" name="_65" tableColumnId="68"/>
      <queryTableField id="69" name="_66" tableColumnId="69"/>
      <queryTableField id="70" name="_67" tableColumnId="7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26B28D-26DD-43DB-9D4F-740AB4747BD9}" name="DataJobID_2866674_2866674_Laszlo" displayName="DataJobID_2866674_2866674_Laszlo" ref="A1:V31" tableType="queryTable" totalsRowShown="0">
  <autoFilter ref="A1:V31" xr:uid="{6E26B28D-26DD-43DB-9D4F-740AB4747BD9}"/>
  <tableColumns count="22">
    <tableColumn id="1" xr3:uid="{AB21F5E3-3F12-432A-B85E-70402BD279C3}" uniqueName="1" name="Selected Nomen" queryTableFieldId="1" dataDxfId="153"/>
    <tableColumn id="2" xr3:uid="{40CF8AF6-868B-4C90-83BD-53A6FB7C2EAA}" uniqueName="2" name="Native Nomen" queryTableFieldId="2" dataDxfId="152"/>
    <tableColumn id="3" xr3:uid="{CB5B1CB4-E725-4E10-96A6-EDD314B31577}" uniqueName="3" name="Reporter" queryTableFieldId="3"/>
    <tableColumn id="4" xr3:uid="{6051D247-28D6-4DC0-B098-FA93CCFCC88F}" uniqueName="4" name="Reporter Name" queryTableFieldId="4" dataDxfId="151"/>
    <tableColumn id="5" xr3:uid="{84B82CF1-475E-4D02-9404-7DE9AABF30C7}" uniqueName="5" name="Product" queryTableFieldId="5" dataDxfId="150"/>
    <tableColumn id="6" xr3:uid="{7CAA84CA-D73E-495D-B52A-1A4D093F3DEB}" uniqueName="6" name="Product Name" queryTableFieldId="6" dataDxfId="149"/>
    <tableColumn id="7" xr3:uid="{3A6F4272-E052-490C-92EC-3396F63A8DFD}" uniqueName="7" name="Partner" queryTableFieldId="7" dataDxfId="148"/>
    <tableColumn id="8" xr3:uid="{B833C8E2-7B20-494C-8103-7E5606F4F0A9}" uniqueName="8" name="Partner Name" queryTableFieldId="8" dataDxfId="147"/>
    <tableColumn id="9" xr3:uid="{9CF154BA-5380-41C8-8509-DA4147B7F8A0}" uniqueName="9" name="Tariff Year" queryTableFieldId="9"/>
    <tableColumn id="10" xr3:uid="{C77A9A96-78D3-48C0-9F4B-F37843F482C4}" uniqueName="10" name="Trade Year" queryTableFieldId="10"/>
    <tableColumn id="11" xr3:uid="{C83EE526-5A2E-4D04-ABE1-A9897B938D4F}" uniqueName="11" name="Trade Source" queryTableFieldId="11" dataDxfId="146"/>
    <tableColumn id="12" xr3:uid="{DA870DB4-A17C-4799-BABD-58489860F5EC}" uniqueName="12" name="DutyType" queryTableFieldId="12" dataDxfId="145"/>
    <tableColumn id="13" xr3:uid="{61DE8E79-F8A9-4044-9C08-3144BD63D825}" uniqueName="13" name="Simple Average" queryTableFieldId="13" dataDxfId="144"/>
    <tableColumn id="14" xr3:uid="{CC9D8AC6-F469-4D24-A9AC-68D84A7A601C}" uniqueName="14" name="Weighted Average" queryTableFieldId="14" dataDxfId="143"/>
    <tableColumn id="15" xr3:uid="{DE60537D-F5B9-4012-AEA1-4DA6CD3A8E94}" uniqueName="15" name="Standard Deviation" queryTableFieldId="15" dataDxfId="142"/>
    <tableColumn id="16" xr3:uid="{6653F0E3-13CA-4B4E-9138-6B6D2C8B1B6F}" uniqueName="16" name="Minimum Rate" queryTableFieldId="16"/>
    <tableColumn id="17" xr3:uid="{B528B19E-EA5F-4D68-8CA0-96D4E75B9569}" uniqueName="17" name="Maximum Rate" queryTableFieldId="17" dataDxfId="141"/>
    <tableColumn id="18" xr3:uid="{2D420441-51F8-4654-9F5F-F48E684FF9F4}" uniqueName="18" name="Nbr of Total Lines" queryTableFieldId="18"/>
    <tableColumn id="19" xr3:uid="{79D1F926-D0EF-4900-8A16-B7D58BC1C499}" uniqueName="19" name="Nbr of DomesticPeaks" queryTableFieldId="19"/>
    <tableColumn id="20" xr3:uid="{41D93B85-3FE5-465F-B425-C20362925511}" uniqueName="20" name="Nbr of InternationalPeaks" queryTableFieldId="20"/>
    <tableColumn id="21" xr3:uid="{086B77AE-956D-4363-AD07-BA42A3C3B29F}" uniqueName="21" name="Imports Value in 1000 USD" queryTableFieldId="21" dataDxfId="140"/>
    <tableColumn id="22" xr3:uid="{FD1A3253-EE40-44C5-A56F-ECF55C6F6067}" uniqueName="22" name="Binding Coverage" queryTableFieldId="22" dataDxfId="1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41BBDD-C5B4-48AB-AB9F-3378E4C1E8A0}" name="Table2" displayName="Table2" ref="A1:B28" totalsRowShown="0">
  <autoFilter ref="A1:B28" xr:uid="{E541BBDD-C5B4-48AB-AB9F-3378E4C1E8A0}"/>
  <tableColumns count="2">
    <tableColumn id="1" xr3:uid="{CA68FC6B-F2BB-4BAF-B2D4-14D3FD25820C}" name="year"/>
    <tableColumn id="2" xr3:uid="{31EF4334-0F9A-4422-9A20-634BDCDCDD78}" name="Column1" dataDxfId="138">
      <calculatedColumnFormula>100*C2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CDEA9C-9E86-4041-943F-A54202C48549}" name="API_FR_INR_LEND_DS2_en_csv_v2_92833" displayName="API_FR_INR_LEND_DS2_en_csv_v2_92833" ref="A1:BR272" tableType="queryTable" totalsRowShown="0">
  <autoFilter ref="A1:BR272" xr:uid="{9CCDEA9C-9E86-4041-943F-A54202C48549}"/>
  <tableColumns count="70">
    <tableColumn id="1" xr3:uid="{7204051D-CF66-4B74-A6F1-22084D1B5A3A}" uniqueName="1" name="Column1" queryTableFieldId="1" dataDxfId="137"/>
    <tableColumn id="2" xr3:uid="{A893B6C6-A11D-4CE4-B27B-43BB93EF72AA}" uniqueName="2" name="Column2" queryTableFieldId="2" dataDxfId="136"/>
    <tableColumn id="3" xr3:uid="{F1E17D0F-F456-463A-81F8-387330C3FFD9}" uniqueName="3" name="Column3" queryTableFieldId="3" dataDxfId="135"/>
    <tableColumn id="4" xr3:uid="{BB9BDEEE-7423-4251-88A2-C77B9EB7F4E7}" uniqueName="4" name="Column4" queryTableFieldId="4" dataDxfId="134"/>
    <tableColumn id="5" xr3:uid="{6E86BE86-6541-400E-8F49-AB495B4599BD}" uniqueName="5" name="Column5" queryTableFieldId="5" dataDxfId="133"/>
    <tableColumn id="6" xr3:uid="{C033B384-8CA9-48AC-93C1-8CCBE5340319}" uniqueName="6" name="Column6" queryTableFieldId="6" dataDxfId="132"/>
    <tableColumn id="7" xr3:uid="{F154AE15-3046-4AA2-BC57-9859012BEF5D}" uniqueName="7" name="Column7" queryTableFieldId="7" dataDxfId="131"/>
    <tableColumn id="8" xr3:uid="{6D4F5C7B-2ABB-4B00-B88B-31FDDD88EE2C}" uniqueName="8" name="Column8" queryTableFieldId="8" dataDxfId="130"/>
    <tableColumn id="9" xr3:uid="{76697234-6451-4410-A20D-72D6233C6F3E}" uniqueName="9" name="Column9" queryTableFieldId="9" dataDxfId="129"/>
    <tableColumn id="10" xr3:uid="{64F36D3F-F555-4C70-9075-0E07D675444B}" uniqueName="10" name="Column10" queryTableFieldId="10" dataDxfId="128"/>
    <tableColumn id="11" xr3:uid="{33916241-18D3-4CB0-A8F2-EFDEFB9CB29E}" uniqueName="11" name="Column11" queryTableFieldId="11" dataDxfId="127"/>
    <tableColumn id="12" xr3:uid="{1C69AEA4-C9F2-4193-80F8-CCDC5CD39F14}" uniqueName="12" name="Column12" queryTableFieldId="12" dataDxfId="126"/>
    <tableColumn id="13" xr3:uid="{134A8CDA-295E-4B08-B00C-CB0D545C1DF5}" uniqueName="13" name="Column13" queryTableFieldId="13" dataDxfId="125"/>
    <tableColumn id="14" xr3:uid="{0CA96020-D0F1-4F8D-AD9F-8B0F5C1F8E51}" uniqueName="14" name="Column14" queryTableFieldId="14" dataDxfId="124"/>
    <tableColumn id="15" xr3:uid="{FA05DF92-C213-43F7-A898-598B582FC58F}" uniqueName="15" name="Column15" queryTableFieldId="15" dataDxfId="123"/>
    <tableColumn id="16" xr3:uid="{4C1C9AB3-9C78-40F9-B1A2-1937DF99FD3A}" uniqueName="16" name="Column16" queryTableFieldId="16" dataDxfId="122"/>
    <tableColumn id="17" xr3:uid="{AAE4A3A7-F963-4FEA-B472-3FB60CCC3131}" uniqueName="17" name="Column17" queryTableFieldId="17" dataDxfId="121"/>
    <tableColumn id="18" xr3:uid="{8CC5CB5C-0CE2-4D28-985F-930CA3E2E696}" uniqueName="18" name="Column18" queryTableFieldId="18" dataDxfId="120"/>
    <tableColumn id="19" xr3:uid="{B10370DB-EC53-41AA-A7FD-3C171B9A82C4}" uniqueName="19" name="Column19" queryTableFieldId="19" dataDxfId="119"/>
    <tableColumn id="20" xr3:uid="{652B9D4C-2BDD-43C1-BA6A-0520FBA81C32}" uniqueName="20" name="Column20" queryTableFieldId="20" dataDxfId="118"/>
    <tableColumn id="21" xr3:uid="{0DD6B200-FAA6-416A-9C97-4182787182A2}" uniqueName="21" name="Column21" queryTableFieldId="21" dataDxfId="117"/>
    <tableColumn id="22" xr3:uid="{759A63E0-E60F-4D0C-AD01-88AC60824735}" uniqueName="22" name="Column22" queryTableFieldId="22" dataDxfId="116"/>
    <tableColumn id="23" xr3:uid="{CA836363-2BF5-4F78-B922-3FF59B60E7C5}" uniqueName="23" name="Column23" queryTableFieldId="23" dataDxfId="115"/>
    <tableColumn id="24" xr3:uid="{C843095B-015E-4694-8180-4EA83325BE2E}" uniqueName="24" name="Column24" queryTableFieldId="24" dataDxfId="114"/>
    <tableColumn id="25" xr3:uid="{C4BFB16F-C4F7-4947-9C6B-EDBF54711A22}" uniqueName="25" name="Column25" queryTableFieldId="25" dataDxfId="113"/>
    <tableColumn id="26" xr3:uid="{AC6C7308-F40A-45F8-865B-025E44B2904A}" uniqueName="26" name="Column26" queryTableFieldId="26" dataDxfId="112"/>
    <tableColumn id="27" xr3:uid="{B0AD2ED5-B13E-43B8-A4E6-F506713F6444}" uniqueName="27" name="Column27" queryTableFieldId="27" dataDxfId="111"/>
    <tableColumn id="28" xr3:uid="{5C2EEE3E-FB75-48D3-A570-8DB3AFE6B5B7}" uniqueName="28" name="Column28" queryTableFieldId="28" dataDxfId="110"/>
    <tableColumn id="29" xr3:uid="{79AA907A-9797-420E-8873-83DE426D7516}" uniqueName="29" name="Column29" queryTableFieldId="29" dataDxfId="109"/>
    <tableColumn id="30" xr3:uid="{D93B2008-3F2A-402C-9975-D74CACDFAE9F}" uniqueName="30" name="Column30" queryTableFieldId="30" dataDxfId="108"/>
    <tableColumn id="31" xr3:uid="{77B42E85-61AA-49DD-B76D-D5845585CE6E}" uniqueName="31" name="Column31" queryTableFieldId="31" dataDxfId="107"/>
    <tableColumn id="32" xr3:uid="{609136F4-3A4E-40AE-8229-DFF653DD8724}" uniqueName="32" name="Column32" queryTableFieldId="32" dataDxfId="106"/>
    <tableColumn id="33" xr3:uid="{B2A03583-676B-4390-B501-5753F7088478}" uniqueName="33" name="Column33" queryTableFieldId="33" dataDxfId="105"/>
    <tableColumn id="34" xr3:uid="{2C521D99-5DC3-4690-9E36-5887010B4399}" uniqueName="34" name="Column34" queryTableFieldId="34" dataDxfId="104"/>
    <tableColumn id="35" xr3:uid="{5461E594-07E1-4117-827D-88CF34D0F31F}" uniqueName="35" name="Column35" queryTableFieldId="35" dataDxfId="103"/>
    <tableColumn id="36" xr3:uid="{9A9A471A-46A7-4D44-89A0-ABDC414C657B}" uniqueName="36" name="Column36" queryTableFieldId="36" dataDxfId="102"/>
    <tableColumn id="37" xr3:uid="{D633AC72-7AF3-4E5D-A00B-DCD4F838CAD1}" uniqueName="37" name="Column37" queryTableFieldId="37" dataDxfId="101"/>
    <tableColumn id="38" xr3:uid="{8739EB73-130D-460B-A655-48DC79F30C64}" uniqueName="38" name="Column38" queryTableFieldId="38" dataDxfId="100"/>
    <tableColumn id="39" xr3:uid="{465D3FE2-75C6-4243-9B25-40B0E1EE7FC4}" uniqueName="39" name="Column39" queryTableFieldId="39" dataDxfId="99"/>
    <tableColumn id="40" xr3:uid="{C620CF83-48C4-4D0B-8133-543DC02CFAFD}" uniqueName="40" name="Column40" queryTableFieldId="40" dataDxfId="98"/>
    <tableColumn id="41" xr3:uid="{AAF389E2-C8AA-4A98-9A26-BCE5562EB0C3}" uniqueName="41" name="Column41" queryTableFieldId="41" dataDxfId="97"/>
    <tableColumn id="42" xr3:uid="{CE111FE8-26B2-424D-9C9D-606FED386954}" uniqueName="42" name="Column42" queryTableFieldId="42" dataDxfId="96"/>
    <tableColumn id="43" xr3:uid="{DBE77F83-FFD1-403E-A03E-80C00AB347E3}" uniqueName="43" name="Column43" queryTableFieldId="43" dataDxfId="95"/>
    <tableColumn id="44" xr3:uid="{B9A352B9-7A0E-42C2-83F7-1DB5CE4D5B5B}" uniqueName="44" name="Column44" queryTableFieldId="44" dataDxfId="94"/>
    <tableColumn id="45" xr3:uid="{0DB91467-71A5-46CB-A4E2-F662E11A9AE8}" uniqueName="45" name="Column45" queryTableFieldId="45" dataDxfId="93"/>
    <tableColumn id="46" xr3:uid="{13138255-643B-4E97-AEC5-A5EF988A4F26}" uniqueName="46" name="Column46" queryTableFieldId="46" dataDxfId="92"/>
    <tableColumn id="47" xr3:uid="{E2F97465-5B4E-4FCA-93F5-C8F523C312C8}" uniqueName="47" name="Column47" queryTableFieldId="47" dataDxfId="91"/>
    <tableColumn id="48" xr3:uid="{F4ED1A12-2BE6-4CD1-9C89-229D022F81FB}" uniqueName="48" name="Column48" queryTableFieldId="48" dataDxfId="90"/>
    <tableColumn id="49" xr3:uid="{82C44857-27AC-4092-AD43-E3B886E3BDF3}" uniqueName="49" name="Column49" queryTableFieldId="49" dataDxfId="89"/>
    <tableColumn id="50" xr3:uid="{B53F8EF2-DC53-42DE-AA92-C82FFB2A8A8C}" uniqueName="50" name="Column50" queryTableFieldId="50" dataDxfId="88"/>
    <tableColumn id="51" xr3:uid="{AE580C30-8133-4C6A-84F5-0A0B84B2A124}" uniqueName="51" name="Column51" queryTableFieldId="51" dataDxfId="87"/>
    <tableColumn id="52" xr3:uid="{722ABD60-953D-4E2F-82C9-223C75739808}" uniqueName="52" name="Column52" queryTableFieldId="52" dataDxfId="86"/>
    <tableColumn id="53" xr3:uid="{821E1609-575F-42E7-B119-2F6C5753D52A}" uniqueName="53" name="Column53" queryTableFieldId="53" dataDxfId="85"/>
    <tableColumn id="54" xr3:uid="{7518ACBE-66D7-4676-A6BA-554C90868EAB}" uniqueName="54" name="Column54" queryTableFieldId="54" dataDxfId="84"/>
    <tableColumn id="55" xr3:uid="{E148A21A-3405-4123-B334-1727D4B46DD2}" uniqueName="55" name="Column55" queryTableFieldId="55" dataDxfId="83"/>
    <tableColumn id="56" xr3:uid="{7B732E23-1CB6-4666-8E5F-28AB36A80094}" uniqueName="56" name="Column56" queryTableFieldId="56" dataDxfId="82"/>
    <tableColumn id="57" xr3:uid="{4EEFC585-649E-4995-A292-2AE7735C92E5}" uniqueName="57" name="Column57" queryTableFieldId="57" dataDxfId="81"/>
    <tableColumn id="58" xr3:uid="{6E59A860-3F73-44F6-BFFC-75E36D4F6B4E}" uniqueName="58" name="Column58" queryTableFieldId="58" dataDxfId="80"/>
    <tableColumn id="59" xr3:uid="{813BD2C3-C9FC-4A0B-8652-46378FBB54C5}" uniqueName="59" name="Column59" queryTableFieldId="59" dataDxfId="79"/>
    <tableColumn id="60" xr3:uid="{9494A400-49FB-4168-B6AB-AA7B088D056B}" uniqueName="60" name="Column60" queryTableFieldId="60" dataDxfId="78"/>
    <tableColumn id="61" xr3:uid="{C51B11B2-59BA-4D89-A1B1-C08F22F9CA54}" uniqueName="61" name="Column61" queryTableFieldId="61" dataDxfId="77"/>
    <tableColumn id="62" xr3:uid="{6CE9470B-CE54-46C9-A38A-B65CBCD7D672}" uniqueName="62" name="Column62" queryTableFieldId="62" dataDxfId="76"/>
    <tableColumn id="63" xr3:uid="{F3131F3D-C1F7-44EB-B0D3-A497E83171D2}" uniqueName="63" name="Column63" queryTableFieldId="63" dataDxfId="75"/>
    <tableColumn id="64" xr3:uid="{52DAF443-E48A-4F26-B8CA-C614E2A1F9B1}" uniqueName="64" name="Column64" queryTableFieldId="64" dataDxfId="74"/>
    <tableColumn id="65" xr3:uid="{9B99C9C1-17DC-4441-97A0-E6B9C9DF33B1}" uniqueName="65" name="Column65" queryTableFieldId="65" dataDxfId="73"/>
    <tableColumn id="66" xr3:uid="{EF91CCB3-5F1A-4DA6-89F0-5CD81228278F}" uniqueName="66" name="Column66" queryTableFieldId="66" dataDxfId="72"/>
    <tableColumn id="67" xr3:uid="{DAC6D0A2-DFAF-446B-8DC8-EE92437CCBD9}" uniqueName="67" name="Column67" queryTableFieldId="67" dataDxfId="71"/>
    <tableColumn id="68" xr3:uid="{BEC3DAD9-D9C9-4C98-8829-C83130A665A9}" uniqueName="68" name="Column68" queryTableFieldId="68" dataDxfId="70"/>
    <tableColumn id="69" xr3:uid="{959F938F-7ADA-4436-B824-3F86579A8061}" uniqueName="69" name="Column69" queryTableFieldId="69" dataDxfId="69"/>
    <tableColumn id="70" xr3:uid="{6EDB1BA5-8EC5-4BEA-AEDE-4FE38CCFC295}" uniqueName="70" name="Column70" queryTableFieldId="70" dataDxfId="6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BBB324B-D667-4037-9C04-9BF66300E3BD}" name="API_NY_GDP_DEFL_KD_ZG_DS2_en_csv_v2_85245" displayName="API_NY_GDP_DEFL_KD_ZG_DS2_en_csv_v2_85245" ref="A1:BR271" tableType="queryTable" totalsRowShown="0">
  <autoFilter ref="A1:BR271" xr:uid="{5BBB324B-D667-4037-9C04-9BF66300E3BD}"/>
  <tableColumns count="70">
    <tableColumn id="1" xr3:uid="{E59655E7-0D6A-4C2E-B2D2-BD1B12FF5F6B}" uniqueName="1" name="Data Source" queryTableFieldId="1" dataDxfId="67"/>
    <tableColumn id="2" xr3:uid="{B4642CFC-C5E2-492D-96EB-806A01A0345D}" uniqueName="2" name="World Development Indicators" queryTableFieldId="2" dataDxfId="66"/>
    <tableColumn id="3" xr3:uid="{299EC03D-B318-407A-A65A-C1EFD577BD32}" uniqueName="3" name="Column1" queryTableFieldId="3" dataDxfId="65"/>
    <tableColumn id="4" xr3:uid="{83E811F4-76B7-4201-913D-C8D98A9796E5}" uniqueName="4" name="_1" queryTableFieldId="4" dataDxfId="64"/>
    <tableColumn id="5" xr3:uid="{5B591EBB-6968-4E9D-9488-38AECE2B4BB2}" uniqueName="5" name="_2" queryTableFieldId="5"/>
    <tableColumn id="6" xr3:uid="{1BF873B0-805D-4128-A61A-8E94826876CE}" uniqueName="6" name="_3" queryTableFieldId="6" dataDxfId="63"/>
    <tableColumn id="7" xr3:uid="{82CB95FC-57F4-4D24-8951-8ABD3D7D05A4}" uniqueName="7" name="_4" queryTableFieldId="7" dataDxfId="62"/>
    <tableColumn id="8" xr3:uid="{B44A2014-8059-4906-A3BF-5355FF8DFCD9}" uniqueName="8" name="_5" queryTableFieldId="8" dataDxfId="61"/>
    <tableColumn id="9" xr3:uid="{2AF3656F-DA24-49A2-BB17-C45637112133}" uniqueName="9" name="_6" queryTableFieldId="9" dataDxfId="60"/>
    <tableColumn id="10" xr3:uid="{E07262E9-75DE-4622-B81D-EF090ABDBEEA}" uniqueName="10" name="_7" queryTableFieldId="10" dataDxfId="59"/>
    <tableColumn id="11" xr3:uid="{FC3EA519-269D-46CE-86D1-DF8D2FE403F3}" uniqueName="11" name="_8" queryTableFieldId="11" dataDxfId="58"/>
    <tableColumn id="12" xr3:uid="{D59D6883-77D9-423A-816E-A0E825926720}" uniqueName="12" name="_9" queryTableFieldId="12" dataDxfId="57"/>
    <tableColumn id="13" xr3:uid="{C50C73CF-6C1A-4858-BD80-44E0FDE76D76}" uniqueName="13" name="_10" queryTableFieldId="13" dataDxfId="56"/>
    <tableColumn id="14" xr3:uid="{DE31BFC9-665C-4B21-B3FE-C879CB6992F0}" uniqueName="14" name="_11" queryTableFieldId="14" dataDxfId="55"/>
    <tableColumn id="15" xr3:uid="{4EB18F87-8A80-4EB8-B061-A09F87C30D94}" uniqueName="15" name="_12" queryTableFieldId="15" dataDxfId="54"/>
    <tableColumn id="16" xr3:uid="{89EFF976-2814-498A-AF91-AF8BA9E8EF7F}" uniqueName="16" name="_13" queryTableFieldId="16" dataDxfId="53"/>
    <tableColumn id="17" xr3:uid="{FEC87427-51A0-4045-94D0-80585984F39C}" uniqueName="17" name="_14" queryTableFieldId="17" dataDxfId="52"/>
    <tableColumn id="18" xr3:uid="{13548628-C7AD-4442-8347-5515304B19B0}" uniqueName="18" name="_15" queryTableFieldId="18" dataDxfId="51"/>
    <tableColumn id="19" xr3:uid="{6E530F2B-8B5E-456D-9FC8-B2A6C782C75F}" uniqueName="19" name="_16" queryTableFieldId="19" dataDxfId="50"/>
    <tableColumn id="20" xr3:uid="{C3FA70DE-0A06-4656-8BED-83627728D3CE}" uniqueName="20" name="_17" queryTableFieldId="20" dataDxfId="49"/>
    <tableColumn id="21" xr3:uid="{E10D4D14-3DBD-4248-8A3F-E92079436022}" uniqueName="21" name="_18" queryTableFieldId="21" dataDxfId="48"/>
    <tableColumn id="22" xr3:uid="{473990D2-EA11-4683-B0BB-6956B6BABBFF}" uniqueName="22" name="_19" queryTableFieldId="22" dataDxfId="47"/>
    <tableColumn id="23" xr3:uid="{183C6900-9D5F-45FB-A157-FF39B73B5EA9}" uniqueName="23" name="_20" queryTableFieldId="23" dataDxfId="46"/>
    <tableColumn id="24" xr3:uid="{FFBDB10F-FC53-4724-ACB3-B1019D3BB933}" uniqueName="24" name="_21" queryTableFieldId="24" dataDxfId="45"/>
    <tableColumn id="25" xr3:uid="{83C9C89C-96AC-4A84-A8CE-5CD9E6A589D4}" uniqueName="25" name="_22" queryTableFieldId="25" dataDxfId="44"/>
    <tableColumn id="26" xr3:uid="{3A83762B-29C0-42AF-942A-99228E02DE5B}" uniqueName="26" name="_23" queryTableFieldId="26" dataDxfId="43"/>
    <tableColumn id="27" xr3:uid="{5D683C5F-9EDA-4C85-ABD4-BD9085FA3F9E}" uniqueName="27" name="_24" queryTableFieldId="27" dataDxfId="42"/>
    <tableColumn id="28" xr3:uid="{C79BFB8B-370D-4FE4-8D82-AF0111A1F465}" uniqueName="28" name="_25" queryTableFieldId="28" dataDxfId="41"/>
    <tableColumn id="29" xr3:uid="{866AC10B-6AF4-4201-BEEF-218C835CE9CF}" uniqueName="29" name="_26" queryTableFieldId="29" dataDxfId="40"/>
    <tableColumn id="30" xr3:uid="{7452A584-E5C7-4750-9254-DC8B3AC535C4}" uniqueName="30" name="_27" queryTableFieldId="30" dataDxfId="39"/>
    <tableColumn id="31" xr3:uid="{566E9960-A067-4CAC-989D-3DD983BE1840}" uniqueName="31" name="_28" queryTableFieldId="31" dataDxfId="38"/>
    <tableColumn id="32" xr3:uid="{4DA84F18-172C-4995-9410-8B0A41604B08}" uniqueName="32" name="_29" queryTableFieldId="32" dataDxfId="37"/>
    <tableColumn id="33" xr3:uid="{C55F5E44-30E9-4908-8EF6-036C84E5A324}" uniqueName="33" name="_30" queryTableFieldId="33" dataDxfId="36"/>
    <tableColumn id="34" xr3:uid="{56D7B416-8EE2-4AAF-806D-CEA8F86F3882}" uniqueName="34" name="_31" queryTableFieldId="34" dataDxfId="35"/>
    <tableColumn id="35" xr3:uid="{EEA1FF0C-59F2-4B70-9267-A6DE3AFBF271}" uniqueName="35" name="_32" queryTableFieldId="35" dataDxfId="34"/>
    <tableColumn id="36" xr3:uid="{C1A843D4-1D5F-4C14-97A1-B1BA65B29BA4}" uniqueName="36" name="_33" queryTableFieldId="36" dataDxfId="33"/>
    <tableColumn id="37" xr3:uid="{250F6C6E-5B18-4CFA-A4C1-806098EA92CC}" uniqueName="37" name="_34" queryTableFieldId="37" dataDxfId="32"/>
    <tableColumn id="38" xr3:uid="{25D0F7DE-8621-443F-95B1-276A2B53CA3C}" uniqueName="38" name="_35" queryTableFieldId="38" dataDxfId="31"/>
    <tableColumn id="39" xr3:uid="{0D250F0C-53C0-413B-9ED0-803DD79BB174}" uniqueName="39" name="_36" queryTableFieldId="39" dataDxfId="30"/>
    <tableColumn id="40" xr3:uid="{083FC308-7F5E-47AA-8870-55A2B5CF87BA}" uniqueName="40" name="_37" queryTableFieldId="40" dataDxfId="29"/>
    <tableColumn id="41" xr3:uid="{F7C884D4-A412-4AF8-BA3F-3F0CB3A34E92}" uniqueName="41" name="_38" queryTableFieldId="41" dataDxfId="28"/>
    <tableColumn id="42" xr3:uid="{CADB8841-37E2-4D7C-A7D2-2293AA1291F5}" uniqueName="42" name="_39" queryTableFieldId="42" dataDxfId="27"/>
    <tableColumn id="43" xr3:uid="{06BD5FCC-6D3E-4D44-B09F-80E8B16EEA46}" uniqueName="43" name="_40" queryTableFieldId="43" dataDxfId="26"/>
    <tableColumn id="44" xr3:uid="{E2459A57-C04F-4311-9A80-F942D0A92824}" uniqueName="44" name="_41" queryTableFieldId="44" dataDxfId="25"/>
    <tableColumn id="45" xr3:uid="{84C20935-1212-4150-A0B4-CF9DC8D53C41}" uniqueName="45" name="_42" queryTableFieldId="45" dataDxfId="24"/>
    <tableColumn id="46" xr3:uid="{011682F8-5A69-4125-86AF-84543BFBB8A8}" uniqueName="46" name="_43" queryTableFieldId="46" dataDxfId="23"/>
    <tableColumn id="47" xr3:uid="{8177BBCA-5FE5-4617-914E-3DAD95E99E38}" uniqueName="47" name="_44" queryTableFieldId="47" dataDxfId="22"/>
    <tableColumn id="48" xr3:uid="{4B608415-A603-4CC3-98FA-3322C44DE50E}" uniqueName="48" name="_45" queryTableFieldId="48" dataDxfId="21"/>
    <tableColumn id="49" xr3:uid="{67F7B883-9518-4C08-9946-CFBD2ADF4B2D}" uniqueName="49" name="_46" queryTableFieldId="49" dataDxfId="20"/>
    <tableColumn id="50" xr3:uid="{98981FB4-0B2F-4413-9576-73ABC7DE7606}" uniqueName="50" name="_47" queryTableFieldId="50" dataDxfId="19"/>
    <tableColumn id="51" xr3:uid="{9FFC2C81-864F-497A-AEA1-33865A37C474}" uniqueName="51" name="_48" queryTableFieldId="51" dataDxfId="18"/>
    <tableColumn id="52" xr3:uid="{6DC256F3-1325-4F20-94DC-5012C75931F9}" uniqueName="52" name="_49" queryTableFieldId="52" dataDxfId="17"/>
    <tableColumn id="53" xr3:uid="{92D996B2-37CC-4D15-AD60-06E0082F329A}" uniqueName="53" name="_50" queryTableFieldId="53" dataDxfId="16"/>
    <tableColumn id="54" xr3:uid="{BA679B64-BB4C-4358-BB8A-8D5C2C90C2FF}" uniqueName="54" name="_51" queryTableFieldId="54" dataDxfId="15"/>
    <tableColumn id="55" xr3:uid="{E5DBB1B5-7AD6-4197-AB33-E53C771EDF21}" uniqueName="55" name="_52" queryTableFieldId="55" dataDxfId="14"/>
    <tableColumn id="56" xr3:uid="{3148396B-C3B6-4D62-8DBD-07DF938D6B40}" uniqueName="56" name="_53" queryTableFieldId="56" dataDxfId="13"/>
    <tableColumn id="57" xr3:uid="{8DF9F12D-2780-44C2-A3E0-DBEE1FF5AE47}" uniqueName="57" name="_54" queryTableFieldId="57" dataDxfId="12"/>
    <tableColumn id="58" xr3:uid="{786DAE2B-6B93-4585-BD26-01C817BB53F4}" uniqueName="58" name="_55" queryTableFieldId="58" dataDxfId="11"/>
    <tableColumn id="59" xr3:uid="{651BBD3C-26C6-44FA-9B08-EF1ED9599E54}" uniqueName="59" name="_56" queryTableFieldId="59" dataDxfId="10"/>
    <tableColumn id="60" xr3:uid="{880EC3ED-F281-4591-8DE0-6332D98AFEA7}" uniqueName="60" name="_57" queryTableFieldId="60" dataDxfId="9"/>
    <tableColumn id="61" xr3:uid="{900C0846-9858-479E-BE58-4B9DBCFDE01F}" uniqueName="61" name="_58" queryTableFieldId="61" dataDxfId="8"/>
    <tableColumn id="62" xr3:uid="{38118640-1DC4-4706-A4C7-29B49B72834F}" uniqueName="62" name="_59" queryTableFieldId="62" dataDxfId="7"/>
    <tableColumn id="63" xr3:uid="{C75EFA29-7C8A-4F2D-AB8D-94D3E354B96F}" uniqueName="63" name="_60" queryTableFieldId="63" dataDxfId="6"/>
    <tableColumn id="64" xr3:uid="{1C0508BB-CAC1-453C-B215-79A6F48C23DD}" uniqueName="64" name="_61" queryTableFieldId="64" dataDxfId="5"/>
    <tableColumn id="65" xr3:uid="{B413DB69-CF59-422E-A36F-BFBF1D25BE69}" uniqueName="65" name="_62" queryTableFieldId="65" dataDxfId="4"/>
    <tableColumn id="66" xr3:uid="{E5DBE9F1-4F5D-46BE-A95C-AF424ED39B0E}" uniqueName="66" name="_63" queryTableFieldId="66" dataDxfId="3"/>
    <tableColumn id="67" xr3:uid="{61E751CA-6451-47AC-94FA-272E82D75835}" uniqueName="67" name="_64" queryTableFieldId="67" dataDxfId="2"/>
    <tableColumn id="68" xr3:uid="{658085FC-AA5D-46DC-A73D-6AB5EAA75BE6}" uniqueName="68" name="_65" queryTableFieldId="68" dataDxfId="1"/>
    <tableColumn id="69" xr3:uid="{906AC7EC-F961-4766-BFFE-1DCE55794309}" uniqueName="69" name="_66" queryTableFieldId="69"/>
    <tableColumn id="70" xr3:uid="{8BC45D01-E782-403D-940D-98F1A9891746}" uniqueName="70" name="_67" queryTableFieldId="7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QHUNAM770A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51"/>
  <sheetViews>
    <sheetView topLeftCell="A37" workbookViewId="0">
      <selection activeCell="D54" sqref="D54"/>
    </sheetView>
  </sheetViews>
  <sheetFormatPr defaultRowHeight="14.4" x14ac:dyDescent="0.3"/>
  <cols>
    <col min="1" max="1" width="13.44140625" bestFit="1" customWidth="1"/>
    <col min="2" max="2" width="26" bestFit="1" customWidth="1"/>
    <col min="3" max="3" width="5" bestFit="1" customWidth="1"/>
    <col min="4" max="4" width="21" bestFit="1" customWidth="1"/>
    <col min="5" max="5" width="17.6640625" customWidth="1"/>
    <col min="6" max="6" width="28.44140625" bestFit="1" customWidth="1"/>
    <col min="7" max="7" width="28.6640625" bestFit="1" customWidth="1"/>
    <col min="8" max="8" width="28.33203125" bestFit="1" customWidth="1"/>
    <col min="9" max="9" width="28.5546875" bestFit="1" customWidth="1"/>
    <col min="10" max="10" width="25.44140625" bestFit="1" customWidth="1"/>
    <col min="11" max="11" width="19.33203125" bestFit="1" customWidth="1"/>
    <col min="12" max="12" width="19.5546875" bestFit="1" customWidth="1"/>
    <col min="13" max="13" width="20.6640625" bestFit="1" customWidth="1"/>
    <col min="14" max="14" width="20.109375" bestFit="1" customWidth="1"/>
    <col min="15" max="15" width="22.5546875" bestFit="1" customWidth="1"/>
    <col min="16" max="16" width="18" bestFit="1" customWidth="1"/>
    <col min="17" max="17" width="28.6640625" bestFit="1" customWidth="1"/>
    <col min="18" max="18" width="29.88671875" bestFit="1" customWidth="1"/>
    <col min="19" max="19" width="28.109375" bestFit="1" customWidth="1"/>
    <col min="20" max="20" width="25.109375" bestFit="1" customWidth="1"/>
    <col min="21" max="21" width="14.88671875" bestFit="1" customWidth="1"/>
    <col min="22" max="22" width="14.5546875" bestFit="1" customWidth="1"/>
    <col min="23" max="23" width="34" bestFit="1" customWidth="1"/>
    <col min="24" max="24" width="31.33203125" bestFit="1" customWidth="1"/>
    <col min="25" max="25" width="32.44140625" bestFit="1" customWidth="1"/>
    <col min="26" max="26" width="20.6640625" bestFit="1" customWidth="1"/>
    <col min="27" max="27" width="23.109375" bestFit="1" customWidth="1"/>
    <col min="28" max="28" width="18.5546875" bestFit="1" customWidth="1"/>
    <col min="29" max="29" width="29.33203125" bestFit="1" customWidth="1"/>
    <col min="30" max="30" width="30.44140625" bestFit="1" customWidth="1"/>
    <col min="31" max="31" width="28.6640625" bestFit="1" customWidth="1"/>
    <col min="32" max="32" width="25.88671875" bestFit="1" customWidth="1"/>
    <col min="33" max="33" width="15.5546875" bestFit="1" customWidth="1"/>
    <col min="34" max="34" width="15.109375" bestFit="1" customWidth="1"/>
    <col min="35" max="35" width="35" bestFit="1" customWidth="1"/>
    <col min="36" max="36" width="31.88671875" bestFit="1" customWidth="1"/>
    <col min="37" max="37" width="33" bestFit="1" customWidth="1"/>
    <col min="38" max="38" width="19.66406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 t="s">
        <v>184</v>
      </c>
      <c r="C2">
        <v>1992</v>
      </c>
      <c r="D2">
        <v>100</v>
      </c>
      <c r="E2" t="s">
        <v>40</v>
      </c>
      <c r="F2">
        <v>2878</v>
      </c>
      <c r="G2">
        <v>4186</v>
      </c>
      <c r="H2">
        <v>100</v>
      </c>
      <c r="I2">
        <v>100</v>
      </c>
      <c r="J2">
        <v>-818605.06</v>
      </c>
      <c r="K2">
        <v>10054975.49</v>
      </c>
      <c r="L2">
        <v>10873580.539999999</v>
      </c>
      <c r="M2">
        <v>100</v>
      </c>
    </row>
    <row r="3" spans="1:38" x14ac:dyDescent="0.3">
      <c r="A3" t="s">
        <v>38</v>
      </c>
      <c r="B3" t="s">
        <v>78</v>
      </c>
      <c r="C3">
        <v>1992</v>
      </c>
      <c r="D3">
        <v>82.25</v>
      </c>
      <c r="E3" t="s">
        <v>40</v>
      </c>
      <c r="F3">
        <v>2855</v>
      </c>
      <c r="G3">
        <v>4174</v>
      </c>
      <c r="H3">
        <v>99.2</v>
      </c>
      <c r="I3">
        <v>99.71</v>
      </c>
      <c r="J3">
        <v>-472564.1</v>
      </c>
      <c r="K3">
        <v>8470842</v>
      </c>
      <c r="L3">
        <v>8943406.0999999996</v>
      </c>
      <c r="M3">
        <v>84.25</v>
      </c>
    </row>
    <row r="4" spans="1:38" x14ac:dyDescent="0.3">
      <c r="A4" t="s">
        <v>38</v>
      </c>
      <c r="B4" t="s">
        <v>72</v>
      </c>
      <c r="C4">
        <v>1992</v>
      </c>
      <c r="D4">
        <v>23.84</v>
      </c>
      <c r="E4" t="s">
        <v>40</v>
      </c>
      <c r="F4">
        <v>2284</v>
      </c>
      <c r="G4">
        <v>3861</v>
      </c>
      <c r="H4">
        <v>79.36</v>
      </c>
      <c r="I4">
        <v>92.24</v>
      </c>
      <c r="J4">
        <v>288537.86</v>
      </c>
      <c r="K4">
        <v>2880840.96</v>
      </c>
      <c r="L4">
        <v>2592303.1</v>
      </c>
      <c r="M4">
        <v>28.65</v>
      </c>
    </row>
    <row r="5" spans="1:38" x14ac:dyDescent="0.3">
      <c r="A5" t="s">
        <v>38</v>
      </c>
      <c r="B5" t="s">
        <v>153</v>
      </c>
      <c r="C5">
        <v>1992</v>
      </c>
      <c r="D5">
        <v>16.47</v>
      </c>
      <c r="E5" t="s">
        <v>40</v>
      </c>
      <c r="F5">
        <v>1749</v>
      </c>
      <c r="G5">
        <v>1238</v>
      </c>
      <c r="H5">
        <v>60.77</v>
      </c>
      <c r="I5">
        <v>29.57</v>
      </c>
      <c r="J5">
        <v>-442352</v>
      </c>
      <c r="K5">
        <v>1348553.98</v>
      </c>
      <c r="L5">
        <v>1790905.98</v>
      </c>
      <c r="M5">
        <v>13.41</v>
      </c>
    </row>
    <row r="6" spans="1:38" x14ac:dyDescent="0.3">
      <c r="A6" t="s">
        <v>38</v>
      </c>
      <c r="B6" t="s">
        <v>47</v>
      </c>
      <c r="C6">
        <v>1992</v>
      </c>
      <c r="D6">
        <v>14.59</v>
      </c>
      <c r="E6" t="s">
        <v>40</v>
      </c>
      <c r="F6">
        <v>1974</v>
      </c>
      <c r="G6">
        <v>3545</v>
      </c>
      <c r="H6">
        <v>68.59</v>
      </c>
      <c r="I6">
        <v>84.69</v>
      </c>
      <c r="J6">
        <v>-506808.96</v>
      </c>
      <c r="K6">
        <v>1079298.05</v>
      </c>
      <c r="L6">
        <v>1586107.01</v>
      </c>
      <c r="M6">
        <v>10.73</v>
      </c>
    </row>
    <row r="7" spans="1:38" x14ac:dyDescent="0.3">
      <c r="A7" t="s">
        <v>38</v>
      </c>
      <c r="B7" t="s">
        <v>104</v>
      </c>
      <c r="C7">
        <v>1992</v>
      </c>
      <c r="D7">
        <v>6.39</v>
      </c>
      <c r="E7" t="s">
        <v>40</v>
      </c>
      <c r="F7">
        <v>1220</v>
      </c>
      <c r="G7">
        <v>2659</v>
      </c>
      <c r="H7">
        <v>42.39</v>
      </c>
      <c r="I7">
        <v>63.52</v>
      </c>
      <c r="J7">
        <v>203292.03</v>
      </c>
      <c r="K7">
        <v>897590.02</v>
      </c>
      <c r="L7">
        <v>694297.98</v>
      </c>
      <c r="M7">
        <v>8.93</v>
      </c>
    </row>
    <row r="8" spans="1:38" x14ac:dyDescent="0.3">
      <c r="A8" t="s">
        <v>38</v>
      </c>
      <c r="B8" t="s">
        <v>69</v>
      </c>
      <c r="C8">
        <v>1992</v>
      </c>
      <c r="D8">
        <v>4.29</v>
      </c>
      <c r="E8" t="s">
        <v>40</v>
      </c>
      <c r="F8">
        <v>1555</v>
      </c>
      <c r="G8">
        <v>2025</v>
      </c>
      <c r="H8">
        <v>54.03</v>
      </c>
      <c r="I8">
        <v>48.38</v>
      </c>
      <c r="J8">
        <v>-218100.99</v>
      </c>
      <c r="K8">
        <v>248355.01</v>
      </c>
      <c r="L8">
        <v>466456</v>
      </c>
      <c r="M8">
        <v>2.4700000000000002</v>
      </c>
    </row>
    <row r="9" spans="1:38" x14ac:dyDescent="0.3">
      <c r="A9" t="s">
        <v>38</v>
      </c>
      <c r="B9" t="s">
        <v>77</v>
      </c>
      <c r="C9">
        <v>1992</v>
      </c>
      <c r="D9">
        <v>4.26</v>
      </c>
      <c r="E9" t="s">
        <v>40</v>
      </c>
      <c r="F9">
        <v>619</v>
      </c>
      <c r="G9">
        <v>1764</v>
      </c>
      <c r="H9">
        <v>21.51</v>
      </c>
      <c r="I9">
        <v>42.14</v>
      </c>
      <c r="J9">
        <v>-263343.99</v>
      </c>
      <c r="K9">
        <v>200210</v>
      </c>
      <c r="L9">
        <v>463553.99</v>
      </c>
      <c r="M9">
        <v>1.99</v>
      </c>
    </row>
    <row r="10" spans="1:38" x14ac:dyDescent="0.3">
      <c r="A10" t="s">
        <v>38</v>
      </c>
      <c r="B10" t="s">
        <v>132</v>
      </c>
      <c r="C10">
        <v>1992</v>
      </c>
      <c r="D10">
        <v>3.26</v>
      </c>
      <c r="E10" t="s">
        <v>40</v>
      </c>
      <c r="F10">
        <v>810</v>
      </c>
      <c r="G10">
        <v>2034</v>
      </c>
      <c r="H10">
        <v>28.14</v>
      </c>
      <c r="I10">
        <v>48.59</v>
      </c>
      <c r="J10">
        <v>23292.99</v>
      </c>
      <c r="K10">
        <v>377760.98</v>
      </c>
      <c r="L10">
        <v>354467.99</v>
      </c>
      <c r="M10">
        <v>3.76</v>
      </c>
    </row>
    <row r="11" spans="1:38" x14ac:dyDescent="0.3">
      <c r="A11" t="s">
        <v>38</v>
      </c>
      <c r="B11" t="s">
        <v>60</v>
      </c>
      <c r="C11">
        <v>1992</v>
      </c>
      <c r="D11">
        <v>3.18</v>
      </c>
      <c r="E11" t="s">
        <v>40</v>
      </c>
      <c r="F11">
        <v>945</v>
      </c>
      <c r="G11">
        <v>2268</v>
      </c>
      <c r="H11">
        <v>32.840000000000003</v>
      </c>
      <c r="I11">
        <v>54.18</v>
      </c>
      <c r="J11">
        <v>-151863.01</v>
      </c>
      <c r="K11">
        <v>194079.01</v>
      </c>
      <c r="L11">
        <v>345942.02</v>
      </c>
      <c r="M11">
        <v>1.93</v>
      </c>
    </row>
    <row r="12" spans="1:38" x14ac:dyDescent="0.3">
      <c r="A12" t="s">
        <v>38</v>
      </c>
      <c r="B12" t="s">
        <v>84</v>
      </c>
      <c r="C12">
        <v>1992</v>
      </c>
      <c r="D12">
        <v>3.12</v>
      </c>
      <c r="E12" t="s">
        <v>40</v>
      </c>
      <c r="F12">
        <v>826</v>
      </c>
      <c r="G12">
        <v>2250</v>
      </c>
      <c r="H12">
        <v>28.7</v>
      </c>
      <c r="I12">
        <v>53.75</v>
      </c>
      <c r="J12">
        <v>-4752</v>
      </c>
      <c r="K12">
        <v>334199.01</v>
      </c>
      <c r="L12">
        <v>338951.01</v>
      </c>
      <c r="M12">
        <v>3.32</v>
      </c>
    </row>
    <row r="13" spans="1:38" x14ac:dyDescent="0.3">
      <c r="A13" t="s">
        <v>38</v>
      </c>
      <c r="B13" t="s">
        <v>136</v>
      </c>
      <c r="C13">
        <v>1992</v>
      </c>
      <c r="D13">
        <v>3.01</v>
      </c>
      <c r="E13" t="s">
        <v>40</v>
      </c>
      <c r="F13">
        <v>877</v>
      </c>
      <c r="G13">
        <v>2237</v>
      </c>
      <c r="H13">
        <v>30.47</v>
      </c>
      <c r="I13">
        <v>53.44</v>
      </c>
      <c r="J13">
        <v>-97635.98</v>
      </c>
      <c r="K13">
        <v>230182</v>
      </c>
      <c r="L13">
        <v>327817.98</v>
      </c>
      <c r="M13">
        <v>2.29</v>
      </c>
    </row>
    <row r="14" spans="1:38" x14ac:dyDescent="0.3">
      <c r="A14" t="s">
        <v>38</v>
      </c>
      <c r="B14" t="s">
        <v>179</v>
      </c>
      <c r="C14">
        <v>1992</v>
      </c>
      <c r="D14">
        <v>2.91</v>
      </c>
      <c r="E14" t="s">
        <v>40</v>
      </c>
      <c r="F14">
        <v>738</v>
      </c>
      <c r="G14">
        <v>1948</v>
      </c>
      <c r="H14">
        <v>25.64</v>
      </c>
      <c r="I14">
        <v>46.54</v>
      </c>
      <c r="J14">
        <v>13832.99</v>
      </c>
      <c r="K14">
        <v>330409.98</v>
      </c>
      <c r="L14">
        <v>316576.99</v>
      </c>
      <c r="M14">
        <v>3.29</v>
      </c>
    </row>
    <row r="15" spans="1:38" x14ac:dyDescent="0.3">
      <c r="A15" t="s">
        <v>38</v>
      </c>
      <c r="B15" t="s">
        <v>86</v>
      </c>
      <c r="C15">
        <v>1992</v>
      </c>
      <c r="D15">
        <v>2.9</v>
      </c>
      <c r="E15" t="s">
        <v>40</v>
      </c>
      <c r="F15">
        <v>755</v>
      </c>
      <c r="G15">
        <v>2131</v>
      </c>
      <c r="H15">
        <v>26.23</v>
      </c>
      <c r="I15">
        <v>50.91</v>
      </c>
      <c r="J15">
        <v>-112321.02</v>
      </c>
      <c r="K15">
        <v>203372.99</v>
      </c>
      <c r="L15">
        <v>315694.02</v>
      </c>
      <c r="M15">
        <v>2.02</v>
      </c>
    </row>
    <row r="16" spans="1:38" x14ac:dyDescent="0.3">
      <c r="A16" t="s">
        <v>38</v>
      </c>
      <c r="B16" t="s">
        <v>107</v>
      </c>
      <c r="C16">
        <v>1992</v>
      </c>
      <c r="D16">
        <v>2.42</v>
      </c>
      <c r="E16" t="s">
        <v>40</v>
      </c>
      <c r="F16">
        <v>216</v>
      </c>
      <c r="G16">
        <v>1035</v>
      </c>
      <c r="H16">
        <v>7.51</v>
      </c>
      <c r="I16">
        <v>24.73</v>
      </c>
      <c r="J16">
        <v>-176909.99</v>
      </c>
      <c r="K16">
        <v>85763</v>
      </c>
      <c r="L16">
        <v>262672.99</v>
      </c>
      <c r="M16">
        <v>0.85</v>
      </c>
    </row>
    <row r="17" spans="1:13" x14ac:dyDescent="0.3">
      <c r="A17" t="s">
        <v>38</v>
      </c>
      <c r="B17" t="s">
        <v>52</v>
      </c>
      <c r="C17">
        <v>1992</v>
      </c>
      <c r="D17">
        <v>2.0299999999999998</v>
      </c>
      <c r="E17" t="s">
        <v>40</v>
      </c>
      <c r="F17">
        <v>645</v>
      </c>
      <c r="G17">
        <v>1695</v>
      </c>
      <c r="H17">
        <v>22.41</v>
      </c>
      <c r="I17">
        <v>40.49</v>
      </c>
      <c r="J17">
        <v>14830</v>
      </c>
      <c r="K17">
        <v>235718</v>
      </c>
      <c r="L17">
        <v>220888</v>
      </c>
      <c r="M17">
        <v>2.34</v>
      </c>
    </row>
    <row r="18" spans="1:13" x14ac:dyDescent="0.3">
      <c r="A18" t="s">
        <v>38</v>
      </c>
      <c r="B18" t="s">
        <v>168</v>
      </c>
      <c r="C18">
        <v>1992</v>
      </c>
      <c r="D18">
        <v>1.88</v>
      </c>
      <c r="E18" t="s">
        <v>40</v>
      </c>
      <c r="F18">
        <v>732</v>
      </c>
      <c r="G18">
        <v>1471</v>
      </c>
      <c r="H18">
        <v>25.43</v>
      </c>
      <c r="I18">
        <v>35.14</v>
      </c>
      <c r="J18">
        <v>-82689</v>
      </c>
      <c r="K18">
        <v>121293</v>
      </c>
      <c r="L18">
        <v>203982</v>
      </c>
      <c r="M18">
        <v>1.21</v>
      </c>
    </row>
    <row r="19" spans="1:13" x14ac:dyDescent="0.3">
      <c r="A19" t="s">
        <v>38</v>
      </c>
      <c r="B19" t="s">
        <v>117</v>
      </c>
      <c r="C19">
        <v>1992</v>
      </c>
      <c r="D19">
        <v>1.63</v>
      </c>
      <c r="E19" t="s">
        <v>40</v>
      </c>
      <c r="F19">
        <v>296</v>
      </c>
      <c r="G19">
        <v>357</v>
      </c>
      <c r="H19">
        <v>10.28</v>
      </c>
      <c r="I19">
        <v>8.5299999999999994</v>
      </c>
      <c r="J19">
        <v>-125266</v>
      </c>
      <c r="K19">
        <v>51466</v>
      </c>
      <c r="L19">
        <v>176732</v>
      </c>
      <c r="M19">
        <v>0.51</v>
      </c>
    </row>
    <row r="20" spans="1:13" x14ac:dyDescent="0.3">
      <c r="A20" t="s">
        <v>38</v>
      </c>
      <c r="B20" t="s">
        <v>147</v>
      </c>
      <c r="C20">
        <v>1992</v>
      </c>
      <c r="D20">
        <v>1.62</v>
      </c>
      <c r="E20" t="s">
        <v>40</v>
      </c>
      <c r="F20">
        <v>777</v>
      </c>
      <c r="G20">
        <v>733</v>
      </c>
      <c r="H20">
        <v>27</v>
      </c>
      <c r="I20">
        <v>17.510000000000002</v>
      </c>
      <c r="J20">
        <v>-48001</v>
      </c>
      <c r="K20">
        <v>127823</v>
      </c>
      <c r="L20">
        <v>175824</v>
      </c>
      <c r="M20">
        <v>1.27</v>
      </c>
    </row>
    <row r="21" spans="1:13" x14ac:dyDescent="0.3">
      <c r="A21" t="s">
        <v>38</v>
      </c>
      <c r="B21" t="s">
        <v>159</v>
      </c>
      <c r="C21">
        <v>1992</v>
      </c>
      <c r="D21">
        <v>1.28</v>
      </c>
      <c r="E21" t="s">
        <v>40</v>
      </c>
      <c r="F21">
        <v>1095</v>
      </c>
      <c r="G21">
        <v>1046</v>
      </c>
      <c r="H21">
        <v>38.049999999999997</v>
      </c>
      <c r="I21">
        <v>24.99</v>
      </c>
      <c r="J21">
        <v>201560.99</v>
      </c>
      <c r="K21">
        <v>340492.99</v>
      </c>
      <c r="L21">
        <v>138932</v>
      </c>
      <c r="M21">
        <v>3.39</v>
      </c>
    </row>
    <row r="22" spans="1:13" x14ac:dyDescent="0.3">
      <c r="A22" t="s">
        <v>38</v>
      </c>
      <c r="B22" t="s">
        <v>56</v>
      </c>
      <c r="C22">
        <v>1992</v>
      </c>
      <c r="D22">
        <v>1.03</v>
      </c>
      <c r="E22" t="s">
        <v>40</v>
      </c>
      <c r="F22">
        <v>62</v>
      </c>
      <c r="G22">
        <v>132</v>
      </c>
      <c r="H22">
        <v>2.15</v>
      </c>
      <c r="I22">
        <v>3.15</v>
      </c>
      <c r="J22">
        <v>-95981</v>
      </c>
      <c r="K22">
        <v>16034</v>
      </c>
      <c r="L22">
        <v>112015</v>
      </c>
      <c r="M22">
        <v>0.16</v>
      </c>
    </row>
    <row r="23" spans="1:13" x14ac:dyDescent="0.3">
      <c r="A23" t="s">
        <v>38</v>
      </c>
      <c r="B23" t="s">
        <v>82</v>
      </c>
      <c r="C23">
        <v>1992</v>
      </c>
      <c r="D23">
        <v>1.03</v>
      </c>
      <c r="E23" t="s">
        <v>40</v>
      </c>
      <c r="F23">
        <v>482</v>
      </c>
      <c r="G23">
        <v>745</v>
      </c>
      <c r="H23">
        <v>16.75</v>
      </c>
      <c r="I23">
        <v>17.8</v>
      </c>
      <c r="J23">
        <v>-46693</v>
      </c>
      <c r="K23">
        <v>65273</v>
      </c>
      <c r="L23">
        <v>111966</v>
      </c>
      <c r="M23">
        <v>0.65</v>
      </c>
    </row>
    <row r="24" spans="1:13" x14ac:dyDescent="0.3">
      <c r="A24" t="s">
        <v>38</v>
      </c>
      <c r="B24" t="s">
        <v>177</v>
      </c>
      <c r="C24">
        <v>1992</v>
      </c>
      <c r="D24">
        <v>0.65</v>
      </c>
      <c r="E24" t="s">
        <v>40</v>
      </c>
      <c r="F24">
        <v>383</v>
      </c>
      <c r="G24">
        <v>575</v>
      </c>
      <c r="H24">
        <v>13.31</v>
      </c>
      <c r="I24">
        <v>13.74</v>
      </c>
      <c r="J24">
        <v>-60551</v>
      </c>
      <c r="K24">
        <v>9877</v>
      </c>
      <c r="L24">
        <v>70428</v>
      </c>
      <c r="M24">
        <v>0.1</v>
      </c>
    </row>
    <row r="25" spans="1:13" x14ac:dyDescent="0.3">
      <c r="A25" t="s">
        <v>38</v>
      </c>
      <c r="B25" t="s">
        <v>81</v>
      </c>
      <c r="C25">
        <v>1992</v>
      </c>
      <c r="D25">
        <v>0.63</v>
      </c>
      <c r="E25" t="s">
        <v>40</v>
      </c>
      <c r="F25">
        <v>332</v>
      </c>
      <c r="G25">
        <v>620</v>
      </c>
      <c r="H25">
        <v>11.54</v>
      </c>
      <c r="I25">
        <v>14.81</v>
      </c>
      <c r="J25">
        <v>47276</v>
      </c>
      <c r="K25">
        <v>115501</v>
      </c>
      <c r="L25">
        <v>68225</v>
      </c>
      <c r="M25">
        <v>1.1499999999999999</v>
      </c>
    </row>
    <row r="26" spans="1:13" x14ac:dyDescent="0.3">
      <c r="A26" t="s">
        <v>38</v>
      </c>
      <c r="B26" t="s">
        <v>74</v>
      </c>
      <c r="C26">
        <v>1992</v>
      </c>
      <c r="D26">
        <v>0.61</v>
      </c>
      <c r="E26" t="s">
        <v>40</v>
      </c>
      <c r="F26">
        <v>437</v>
      </c>
      <c r="G26">
        <v>957</v>
      </c>
      <c r="H26">
        <v>15.18</v>
      </c>
      <c r="I26">
        <v>22.86</v>
      </c>
      <c r="J26">
        <v>-12895</v>
      </c>
      <c r="K26">
        <v>53953</v>
      </c>
      <c r="L26">
        <v>66848</v>
      </c>
      <c r="M26">
        <v>0.54</v>
      </c>
    </row>
    <row r="27" spans="1:13" x14ac:dyDescent="0.3">
      <c r="A27" t="s">
        <v>38</v>
      </c>
      <c r="B27" t="s">
        <v>152</v>
      </c>
      <c r="C27">
        <v>1992</v>
      </c>
      <c r="D27">
        <v>0.56999999999999995</v>
      </c>
      <c r="E27" t="s">
        <v>40</v>
      </c>
      <c r="F27">
        <v>1333</v>
      </c>
      <c r="G27">
        <v>694</v>
      </c>
      <c r="H27">
        <v>46.32</v>
      </c>
      <c r="I27">
        <v>16.579999999999998</v>
      </c>
      <c r="J27">
        <v>117930.99</v>
      </c>
      <c r="K27">
        <v>179828.99</v>
      </c>
      <c r="L27">
        <v>61898</v>
      </c>
      <c r="M27">
        <v>1.79</v>
      </c>
    </row>
    <row r="28" spans="1:13" x14ac:dyDescent="0.3">
      <c r="A28" t="s">
        <v>38</v>
      </c>
      <c r="B28" t="s">
        <v>141</v>
      </c>
      <c r="C28">
        <v>1992</v>
      </c>
      <c r="D28">
        <v>0.54</v>
      </c>
      <c r="E28" t="s">
        <v>40</v>
      </c>
      <c r="J28">
        <v>-24637</v>
      </c>
      <c r="K28">
        <v>34524</v>
      </c>
      <c r="L28">
        <v>59161</v>
      </c>
      <c r="M28">
        <v>0.34</v>
      </c>
    </row>
    <row r="29" spans="1:13" x14ac:dyDescent="0.3">
      <c r="A29" t="s">
        <v>38</v>
      </c>
      <c r="B29" t="s">
        <v>110</v>
      </c>
      <c r="C29">
        <v>1992</v>
      </c>
      <c r="D29">
        <v>0.5</v>
      </c>
      <c r="E29" t="s">
        <v>40</v>
      </c>
      <c r="F29">
        <v>68</v>
      </c>
      <c r="G29">
        <v>363</v>
      </c>
      <c r="H29">
        <v>2.36</v>
      </c>
      <c r="I29">
        <v>8.67</v>
      </c>
      <c r="J29">
        <v>-40929</v>
      </c>
      <c r="K29">
        <v>13011</v>
      </c>
      <c r="L29">
        <v>53940</v>
      </c>
      <c r="M29">
        <v>0.13</v>
      </c>
    </row>
    <row r="30" spans="1:13" x14ac:dyDescent="0.3">
      <c r="A30" t="s">
        <v>38</v>
      </c>
      <c r="B30" t="s">
        <v>122</v>
      </c>
      <c r="C30">
        <v>1992</v>
      </c>
      <c r="D30">
        <v>0.43</v>
      </c>
      <c r="E30" t="s">
        <v>40</v>
      </c>
      <c r="F30">
        <v>799</v>
      </c>
      <c r="G30">
        <v>670</v>
      </c>
      <c r="H30">
        <v>27.76</v>
      </c>
      <c r="I30">
        <v>16.010000000000002</v>
      </c>
      <c r="J30">
        <v>299895</v>
      </c>
      <c r="K30">
        <v>347170</v>
      </c>
      <c r="L30">
        <v>47275</v>
      </c>
      <c r="M30">
        <v>3.45</v>
      </c>
    </row>
    <row r="31" spans="1:13" x14ac:dyDescent="0.3">
      <c r="A31" t="s">
        <v>38</v>
      </c>
      <c r="B31" t="s">
        <v>62</v>
      </c>
      <c r="C31">
        <v>1992</v>
      </c>
      <c r="D31">
        <v>0.37</v>
      </c>
      <c r="E31" t="s">
        <v>40</v>
      </c>
      <c r="F31">
        <v>112</v>
      </c>
      <c r="G31">
        <v>618</v>
      </c>
      <c r="H31">
        <v>3.89</v>
      </c>
      <c r="I31">
        <v>14.76</v>
      </c>
      <c r="J31">
        <v>-24783</v>
      </c>
      <c r="K31">
        <v>14963</v>
      </c>
      <c r="L31">
        <v>39746</v>
      </c>
      <c r="M31">
        <v>0.15</v>
      </c>
    </row>
    <row r="32" spans="1:13" x14ac:dyDescent="0.3">
      <c r="A32" t="s">
        <v>38</v>
      </c>
      <c r="B32" t="s">
        <v>59</v>
      </c>
      <c r="C32">
        <v>1992</v>
      </c>
      <c r="D32">
        <v>0.35</v>
      </c>
      <c r="E32" t="s">
        <v>40</v>
      </c>
      <c r="F32">
        <v>264</v>
      </c>
      <c r="G32">
        <v>515</v>
      </c>
      <c r="H32">
        <v>9.17</v>
      </c>
      <c r="I32">
        <v>12.3</v>
      </c>
      <c r="J32">
        <v>9095</v>
      </c>
      <c r="K32">
        <v>46859</v>
      </c>
      <c r="L32">
        <v>37764</v>
      </c>
      <c r="M32">
        <v>0.47</v>
      </c>
    </row>
    <row r="33" spans="1:13" x14ac:dyDescent="0.3">
      <c r="A33" t="s">
        <v>38</v>
      </c>
      <c r="B33" t="s">
        <v>165</v>
      </c>
      <c r="C33">
        <v>1992</v>
      </c>
      <c r="D33">
        <v>0.34</v>
      </c>
      <c r="E33" t="s">
        <v>40</v>
      </c>
      <c r="F33">
        <v>343</v>
      </c>
      <c r="G33">
        <v>260</v>
      </c>
      <c r="H33">
        <v>11.92</v>
      </c>
      <c r="I33">
        <v>6.21</v>
      </c>
      <c r="J33">
        <v>-13177</v>
      </c>
      <c r="K33">
        <v>23975</v>
      </c>
      <c r="L33">
        <v>37152</v>
      </c>
      <c r="M33">
        <v>0.24</v>
      </c>
    </row>
    <row r="34" spans="1:13" x14ac:dyDescent="0.3">
      <c r="A34" t="s">
        <v>38</v>
      </c>
      <c r="B34" t="s">
        <v>155</v>
      </c>
      <c r="C34">
        <v>1992</v>
      </c>
      <c r="D34">
        <v>0.31</v>
      </c>
      <c r="E34" t="s">
        <v>40</v>
      </c>
      <c r="F34">
        <v>200</v>
      </c>
      <c r="G34">
        <v>366</v>
      </c>
      <c r="H34">
        <v>6.95</v>
      </c>
      <c r="I34">
        <v>8.74</v>
      </c>
      <c r="J34">
        <v>20181</v>
      </c>
      <c r="K34">
        <v>54154</v>
      </c>
      <c r="L34">
        <v>33973</v>
      </c>
      <c r="M34">
        <v>0.54</v>
      </c>
    </row>
    <row r="35" spans="1:13" x14ac:dyDescent="0.3">
      <c r="A35" t="s">
        <v>38</v>
      </c>
      <c r="B35" t="s">
        <v>160</v>
      </c>
      <c r="C35">
        <v>1992</v>
      </c>
      <c r="D35">
        <v>0.31</v>
      </c>
      <c r="E35" t="s">
        <v>40</v>
      </c>
      <c r="F35">
        <v>78</v>
      </c>
      <c r="G35">
        <v>243</v>
      </c>
      <c r="H35">
        <v>2.71</v>
      </c>
      <c r="I35">
        <v>5.81</v>
      </c>
      <c r="J35">
        <v>-26603</v>
      </c>
      <c r="K35">
        <v>6930</v>
      </c>
      <c r="L35">
        <v>33533</v>
      </c>
      <c r="M35">
        <v>7.0000000000000007E-2</v>
      </c>
    </row>
    <row r="36" spans="1:13" x14ac:dyDescent="0.3">
      <c r="A36" t="s">
        <v>38</v>
      </c>
      <c r="B36" t="s">
        <v>91</v>
      </c>
      <c r="C36">
        <v>1992</v>
      </c>
      <c r="D36">
        <v>0.28999999999999998</v>
      </c>
      <c r="E36" t="s">
        <v>40</v>
      </c>
      <c r="F36">
        <v>444</v>
      </c>
      <c r="G36">
        <v>316</v>
      </c>
      <c r="H36">
        <v>15.43</v>
      </c>
      <c r="I36">
        <v>7.55</v>
      </c>
      <c r="J36">
        <v>41710</v>
      </c>
      <c r="K36">
        <v>72794</v>
      </c>
      <c r="L36">
        <v>31084</v>
      </c>
      <c r="M36">
        <v>0.72</v>
      </c>
    </row>
    <row r="37" spans="1:13" x14ac:dyDescent="0.3">
      <c r="A37" t="s">
        <v>38</v>
      </c>
      <c r="B37" t="s">
        <v>103</v>
      </c>
      <c r="C37">
        <v>1992</v>
      </c>
      <c r="D37">
        <v>0.28000000000000003</v>
      </c>
      <c r="E37" t="s">
        <v>40</v>
      </c>
      <c r="F37">
        <v>199</v>
      </c>
      <c r="G37">
        <v>415</v>
      </c>
      <c r="H37">
        <v>6.91</v>
      </c>
      <c r="I37">
        <v>9.91</v>
      </c>
      <c r="J37">
        <v>1505</v>
      </c>
      <c r="K37">
        <v>31997</v>
      </c>
      <c r="L37">
        <v>30492</v>
      </c>
      <c r="M37">
        <v>0.32</v>
      </c>
    </row>
    <row r="38" spans="1:13" x14ac:dyDescent="0.3">
      <c r="A38" t="s">
        <v>38</v>
      </c>
      <c r="B38" t="s">
        <v>99</v>
      </c>
      <c r="C38">
        <v>1992</v>
      </c>
      <c r="D38">
        <v>0.26</v>
      </c>
      <c r="E38" t="s">
        <v>40</v>
      </c>
      <c r="F38">
        <v>110</v>
      </c>
      <c r="G38">
        <v>305</v>
      </c>
      <c r="H38">
        <v>3.82</v>
      </c>
      <c r="I38">
        <v>7.29</v>
      </c>
      <c r="J38">
        <v>-8868</v>
      </c>
      <c r="K38">
        <v>19114</v>
      </c>
      <c r="L38">
        <v>27982</v>
      </c>
      <c r="M38">
        <v>0.19</v>
      </c>
    </row>
    <row r="39" spans="1:13" x14ac:dyDescent="0.3">
      <c r="A39" t="s">
        <v>38</v>
      </c>
      <c r="B39" t="s">
        <v>174</v>
      </c>
      <c r="C39">
        <v>1992</v>
      </c>
      <c r="D39">
        <v>0.24</v>
      </c>
      <c r="E39" t="s">
        <v>40</v>
      </c>
      <c r="F39">
        <v>307</v>
      </c>
      <c r="G39">
        <v>427</v>
      </c>
      <c r="H39">
        <v>10.67</v>
      </c>
      <c r="I39">
        <v>10.199999999999999</v>
      </c>
      <c r="J39">
        <v>96111</v>
      </c>
      <c r="K39">
        <v>121880</v>
      </c>
      <c r="L39">
        <v>25769</v>
      </c>
      <c r="M39">
        <v>1.21</v>
      </c>
    </row>
    <row r="40" spans="1:13" x14ac:dyDescent="0.3">
      <c r="A40" t="s">
        <v>38</v>
      </c>
      <c r="B40" t="s">
        <v>98</v>
      </c>
      <c r="C40">
        <v>1992</v>
      </c>
      <c r="D40">
        <v>0.18</v>
      </c>
      <c r="E40" t="s">
        <v>40</v>
      </c>
      <c r="F40">
        <v>55</v>
      </c>
      <c r="G40">
        <v>137</v>
      </c>
      <c r="H40">
        <v>1.91</v>
      </c>
      <c r="I40">
        <v>3.27</v>
      </c>
      <c r="J40">
        <v>-10942</v>
      </c>
      <c r="K40">
        <v>8760</v>
      </c>
      <c r="L40">
        <v>19702</v>
      </c>
      <c r="M40">
        <v>0.09</v>
      </c>
    </row>
    <row r="41" spans="1:13" x14ac:dyDescent="0.3">
      <c r="A41" t="s">
        <v>38</v>
      </c>
      <c r="B41" t="s">
        <v>137</v>
      </c>
      <c r="C41">
        <v>1992</v>
      </c>
      <c r="D41">
        <v>0.18</v>
      </c>
      <c r="E41" t="s">
        <v>40</v>
      </c>
      <c r="F41">
        <v>202</v>
      </c>
      <c r="G41">
        <v>210</v>
      </c>
      <c r="H41">
        <v>7.02</v>
      </c>
      <c r="I41">
        <v>5.0199999999999996</v>
      </c>
      <c r="J41">
        <v>893</v>
      </c>
      <c r="K41">
        <v>20614</v>
      </c>
      <c r="L41">
        <v>19721</v>
      </c>
      <c r="M41">
        <v>0.2</v>
      </c>
    </row>
    <row r="42" spans="1:13" x14ac:dyDescent="0.3">
      <c r="A42" t="s">
        <v>38</v>
      </c>
      <c r="B42" t="s">
        <v>66</v>
      </c>
      <c r="C42">
        <v>1992</v>
      </c>
      <c r="D42">
        <v>0.15</v>
      </c>
      <c r="E42" t="s">
        <v>40</v>
      </c>
      <c r="F42">
        <v>33</v>
      </c>
      <c r="G42">
        <v>19</v>
      </c>
      <c r="H42">
        <v>1.1499999999999999</v>
      </c>
      <c r="I42">
        <v>0.45</v>
      </c>
      <c r="J42">
        <v>-13987</v>
      </c>
      <c r="K42">
        <v>1981</v>
      </c>
      <c r="L42">
        <v>15968</v>
      </c>
      <c r="M42">
        <v>0.02</v>
      </c>
    </row>
    <row r="43" spans="1:13" x14ac:dyDescent="0.3">
      <c r="A43" t="s">
        <v>38</v>
      </c>
      <c r="B43" t="s">
        <v>100</v>
      </c>
      <c r="C43">
        <v>1992</v>
      </c>
      <c r="D43">
        <v>0.15</v>
      </c>
      <c r="E43" t="s">
        <v>40</v>
      </c>
      <c r="F43">
        <v>66</v>
      </c>
      <c r="G43">
        <v>271</v>
      </c>
      <c r="H43">
        <v>2.29</v>
      </c>
      <c r="I43">
        <v>6.47</v>
      </c>
      <c r="J43">
        <v>-12206</v>
      </c>
      <c r="K43">
        <v>3794</v>
      </c>
      <c r="L43">
        <v>16000</v>
      </c>
      <c r="M43">
        <v>0.04</v>
      </c>
    </row>
    <row r="44" spans="1:13" x14ac:dyDescent="0.3">
      <c r="A44" t="s">
        <v>38</v>
      </c>
      <c r="B44" t="s">
        <v>49</v>
      </c>
      <c r="C44">
        <v>1992</v>
      </c>
      <c r="D44">
        <v>0.14000000000000001</v>
      </c>
      <c r="E44" t="s">
        <v>40</v>
      </c>
      <c r="F44">
        <v>465</v>
      </c>
      <c r="G44">
        <v>309</v>
      </c>
      <c r="H44">
        <v>16.16</v>
      </c>
      <c r="I44">
        <v>7.38</v>
      </c>
      <c r="J44">
        <v>22454</v>
      </c>
      <c r="K44">
        <v>37606</v>
      </c>
      <c r="L44">
        <v>15152</v>
      </c>
      <c r="M44">
        <v>0.37</v>
      </c>
    </row>
    <row r="45" spans="1:13" x14ac:dyDescent="0.3">
      <c r="A45" t="s">
        <v>38</v>
      </c>
      <c r="B45" t="s">
        <v>171</v>
      </c>
      <c r="C45">
        <v>1992</v>
      </c>
      <c r="D45">
        <v>0.14000000000000001</v>
      </c>
      <c r="E45" t="s">
        <v>40</v>
      </c>
      <c r="F45">
        <v>72</v>
      </c>
      <c r="G45">
        <v>247</v>
      </c>
      <c r="H45">
        <v>2.5</v>
      </c>
      <c r="I45">
        <v>5.9</v>
      </c>
      <c r="J45">
        <v>2251</v>
      </c>
      <c r="K45">
        <v>17528</v>
      </c>
      <c r="L45">
        <v>15277</v>
      </c>
      <c r="M45">
        <v>0.17</v>
      </c>
    </row>
    <row r="46" spans="1:13" x14ac:dyDescent="0.3">
      <c r="A46" t="s">
        <v>38</v>
      </c>
      <c r="B46" t="s">
        <v>63</v>
      </c>
      <c r="C46">
        <v>1992</v>
      </c>
      <c r="D46">
        <v>0.09</v>
      </c>
      <c r="E46" t="s">
        <v>40</v>
      </c>
      <c r="F46">
        <v>10</v>
      </c>
      <c r="G46">
        <v>18</v>
      </c>
      <c r="H46">
        <v>0.35</v>
      </c>
      <c r="I46">
        <v>0.43</v>
      </c>
      <c r="J46">
        <v>-9578</v>
      </c>
      <c r="K46">
        <v>85</v>
      </c>
      <c r="L46">
        <v>9663</v>
      </c>
      <c r="M46">
        <v>0</v>
      </c>
    </row>
    <row r="47" spans="1:13" x14ac:dyDescent="0.3">
      <c r="A47" t="s">
        <v>38</v>
      </c>
      <c r="B47" t="s">
        <v>95</v>
      </c>
      <c r="C47">
        <v>1992</v>
      </c>
      <c r="D47">
        <v>0.09</v>
      </c>
      <c r="E47" t="s">
        <v>40</v>
      </c>
      <c r="F47">
        <v>53</v>
      </c>
      <c r="G47">
        <v>286</v>
      </c>
      <c r="H47">
        <v>1.84</v>
      </c>
      <c r="I47">
        <v>6.83</v>
      </c>
      <c r="J47">
        <v>-1138</v>
      </c>
      <c r="K47">
        <v>8874</v>
      </c>
      <c r="L47">
        <v>10012</v>
      </c>
      <c r="M47">
        <v>0.09</v>
      </c>
    </row>
    <row r="48" spans="1:13" x14ac:dyDescent="0.3">
      <c r="A48" t="s">
        <v>38</v>
      </c>
      <c r="B48" t="s">
        <v>144</v>
      </c>
      <c r="C48">
        <v>1992</v>
      </c>
      <c r="D48">
        <v>0.09</v>
      </c>
      <c r="E48" t="s">
        <v>40</v>
      </c>
      <c r="F48">
        <v>29</v>
      </c>
      <c r="G48">
        <v>23</v>
      </c>
      <c r="H48">
        <v>1.01</v>
      </c>
      <c r="I48">
        <v>0.55000000000000004</v>
      </c>
      <c r="J48">
        <v>-9074</v>
      </c>
      <c r="K48">
        <v>1240</v>
      </c>
      <c r="L48">
        <v>10314</v>
      </c>
      <c r="M48">
        <v>0.01</v>
      </c>
    </row>
    <row r="49" spans="1:13" x14ac:dyDescent="0.3">
      <c r="A49" t="s">
        <v>38</v>
      </c>
      <c r="B49" t="s">
        <v>131</v>
      </c>
      <c r="C49">
        <v>1992</v>
      </c>
      <c r="D49">
        <v>0.08</v>
      </c>
      <c r="E49" t="s">
        <v>40</v>
      </c>
      <c r="F49">
        <v>77</v>
      </c>
      <c r="G49">
        <v>140</v>
      </c>
      <c r="H49">
        <v>2.68</v>
      </c>
      <c r="I49">
        <v>3.34</v>
      </c>
      <c r="J49">
        <v>-1677</v>
      </c>
      <c r="K49">
        <v>7212</v>
      </c>
      <c r="L49">
        <v>8889</v>
      </c>
      <c r="M49">
        <v>7.0000000000000007E-2</v>
      </c>
    </row>
    <row r="50" spans="1:13" x14ac:dyDescent="0.3">
      <c r="A50" t="s">
        <v>38</v>
      </c>
      <c r="B50" t="s">
        <v>182</v>
      </c>
      <c r="C50">
        <v>1992</v>
      </c>
      <c r="D50">
        <v>0.08</v>
      </c>
      <c r="E50" t="s">
        <v>40</v>
      </c>
      <c r="F50">
        <v>62</v>
      </c>
      <c r="G50">
        <v>125</v>
      </c>
      <c r="H50">
        <v>2.15</v>
      </c>
      <c r="I50">
        <v>2.99</v>
      </c>
      <c r="J50">
        <v>-2813</v>
      </c>
      <c r="K50">
        <v>6415</v>
      </c>
      <c r="L50">
        <v>9228</v>
      </c>
      <c r="M50">
        <v>0.06</v>
      </c>
    </row>
    <row r="51" spans="1:13" x14ac:dyDescent="0.3">
      <c r="A51" t="s">
        <v>38</v>
      </c>
      <c r="B51" t="s">
        <v>186</v>
      </c>
      <c r="C51">
        <v>1992</v>
      </c>
      <c r="D51">
        <v>0.08</v>
      </c>
      <c r="E51" t="s">
        <v>40</v>
      </c>
      <c r="F51">
        <v>102</v>
      </c>
      <c r="G51">
        <v>63</v>
      </c>
      <c r="H51">
        <v>3.54</v>
      </c>
      <c r="I51">
        <v>1.5</v>
      </c>
      <c r="J51">
        <v>897</v>
      </c>
      <c r="K51">
        <v>9200</v>
      </c>
      <c r="L51">
        <v>8303</v>
      </c>
      <c r="M51">
        <v>0.09</v>
      </c>
    </row>
    <row r="52" spans="1:13" x14ac:dyDescent="0.3">
      <c r="A52" t="s">
        <v>38</v>
      </c>
      <c r="B52" t="s">
        <v>79</v>
      </c>
      <c r="C52">
        <v>1992</v>
      </c>
      <c r="D52">
        <v>7.0000000000000007E-2</v>
      </c>
      <c r="E52" t="s">
        <v>40</v>
      </c>
      <c r="F52">
        <v>32</v>
      </c>
      <c r="G52">
        <v>11</v>
      </c>
      <c r="H52">
        <v>1.1100000000000001</v>
      </c>
      <c r="I52">
        <v>0.26</v>
      </c>
      <c r="J52">
        <v>-4726</v>
      </c>
      <c r="K52">
        <v>3303</v>
      </c>
      <c r="L52">
        <v>8029</v>
      </c>
      <c r="M52">
        <v>0.03</v>
      </c>
    </row>
    <row r="53" spans="1:13" x14ac:dyDescent="0.3">
      <c r="A53" t="s">
        <v>38</v>
      </c>
      <c r="B53" t="s">
        <v>71</v>
      </c>
      <c r="C53">
        <v>1992</v>
      </c>
      <c r="D53">
        <v>0.06</v>
      </c>
      <c r="E53" t="s">
        <v>40</v>
      </c>
      <c r="F53">
        <v>162</v>
      </c>
      <c r="G53">
        <v>69</v>
      </c>
      <c r="H53">
        <v>5.63</v>
      </c>
      <c r="I53">
        <v>1.65</v>
      </c>
      <c r="J53">
        <v>17743</v>
      </c>
      <c r="K53">
        <v>23844</v>
      </c>
      <c r="L53">
        <v>6101</v>
      </c>
      <c r="M53">
        <v>0.24</v>
      </c>
    </row>
    <row r="54" spans="1:13" x14ac:dyDescent="0.3">
      <c r="A54" t="s">
        <v>38</v>
      </c>
      <c r="B54" t="s">
        <v>149</v>
      </c>
      <c r="C54">
        <v>1992</v>
      </c>
      <c r="D54">
        <v>0.06</v>
      </c>
      <c r="E54" t="s">
        <v>40</v>
      </c>
      <c r="F54">
        <v>89</v>
      </c>
      <c r="G54">
        <v>87</v>
      </c>
      <c r="H54">
        <v>3.09</v>
      </c>
      <c r="I54">
        <v>2.08</v>
      </c>
      <c r="J54">
        <v>-906</v>
      </c>
      <c r="K54">
        <v>5627</v>
      </c>
      <c r="L54">
        <v>6533</v>
      </c>
      <c r="M54">
        <v>0.06</v>
      </c>
    </row>
    <row r="55" spans="1:13" x14ac:dyDescent="0.3">
      <c r="A55" t="s">
        <v>38</v>
      </c>
      <c r="B55" t="s">
        <v>46</v>
      </c>
      <c r="C55">
        <v>1992</v>
      </c>
      <c r="D55">
        <v>0.05</v>
      </c>
      <c r="E55" t="s">
        <v>40</v>
      </c>
      <c r="F55">
        <v>171</v>
      </c>
      <c r="G55">
        <v>194</v>
      </c>
      <c r="H55">
        <v>5.94</v>
      </c>
      <c r="I55">
        <v>4.63</v>
      </c>
      <c r="J55">
        <v>13559</v>
      </c>
      <c r="K55">
        <v>19021</v>
      </c>
      <c r="L55">
        <v>5462</v>
      </c>
      <c r="M55">
        <v>0.19</v>
      </c>
    </row>
    <row r="56" spans="1:13" x14ac:dyDescent="0.3">
      <c r="A56" t="s">
        <v>38</v>
      </c>
      <c r="B56" t="s">
        <v>80</v>
      </c>
      <c r="C56">
        <v>1992</v>
      </c>
      <c r="D56">
        <v>0.05</v>
      </c>
      <c r="E56" t="s">
        <v>40</v>
      </c>
      <c r="F56">
        <v>203</v>
      </c>
      <c r="G56">
        <v>101</v>
      </c>
      <c r="H56">
        <v>7.05</v>
      </c>
      <c r="I56">
        <v>2.41</v>
      </c>
      <c r="J56">
        <v>30437</v>
      </c>
      <c r="K56">
        <v>35559</v>
      </c>
      <c r="L56">
        <v>5122</v>
      </c>
      <c r="M56">
        <v>0.35</v>
      </c>
    </row>
    <row r="57" spans="1:13" x14ac:dyDescent="0.3">
      <c r="A57" t="s">
        <v>38</v>
      </c>
      <c r="B57" t="s">
        <v>44</v>
      </c>
      <c r="C57">
        <v>1992</v>
      </c>
      <c r="D57">
        <v>0.04</v>
      </c>
      <c r="E57" t="s">
        <v>40</v>
      </c>
      <c r="F57">
        <v>65</v>
      </c>
      <c r="G57">
        <v>39</v>
      </c>
      <c r="H57">
        <v>2.2599999999999998</v>
      </c>
      <c r="I57">
        <v>0.93</v>
      </c>
      <c r="J57">
        <v>3539</v>
      </c>
      <c r="K57">
        <v>8179</v>
      </c>
      <c r="L57">
        <v>4640</v>
      </c>
      <c r="M57">
        <v>0.08</v>
      </c>
    </row>
    <row r="58" spans="1:13" x14ac:dyDescent="0.3">
      <c r="A58" t="s">
        <v>38</v>
      </c>
      <c r="B58" t="s">
        <v>61</v>
      </c>
      <c r="C58">
        <v>1992</v>
      </c>
      <c r="D58">
        <v>0.04</v>
      </c>
      <c r="E58" t="s">
        <v>40</v>
      </c>
      <c r="F58">
        <v>33</v>
      </c>
      <c r="G58">
        <v>24</v>
      </c>
      <c r="H58">
        <v>1.1499999999999999</v>
      </c>
      <c r="I58">
        <v>0.56999999999999995</v>
      </c>
      <c r="J58">
        <v>-1740</v>
      </c>
      <c r="K58">
        <v>2487</v>
      </c>
      <c r="L58">
        <v>4227</v>
      </c>
      <c r="M58">
        <v>0.02</v>
      </c>
    </row>
    <row r="59" spans="1:13" x14ac:dyDescent="0.3">
      <c r="A59" t="s">
        <v>38</v>
      </c>
      <c r="B59" t="s">
        <v>68</v>
      </c>
      <c r="C59">
        <v>1992</v>
      </c>
      <c r="D59">
        <v>0.04</v>
      </c>
      <c r="E59" t="s">
        <v>40</v>
      </c>
      <c r="F59">
        <v>36</v>
      </c>
      <c r="G59">
        <v>19</v>
      </c>
      <c r="H59">
        <v>1.25</v>
      </c>
      <c r="I59">
        <v>0.45</v>
      </c>
      <c r="J59">
        <v>-3229</v>
      </c>
      <c r="K59">
        <v>744</v>
      </c>
      <c r="L59">
        <v>3973</v>
      </c>
      <c r="M59">
        <v>0.01</v>
      </c>
    </row>
    <row r="60" spans="1:13" x14ac:dyDescent="0.3">
      <c r="A60" t="s">
        <v>38</v>
      </c>
      <c r="B60" t="s">
        <v>162</v>
      </c>
      <c r="C60">
        <v>1992</v>
      </c>
      <c r="D60">
        <v>0.04</v>
      </c>
      <c r="E60" t="s">
        <v>40</v>
      </c>
      <c r="F60">
        <v>54</v>
      </c>
      <c r="G60">
        <v>100</v>
      </c>
      <c r="H60">
        <v>1.88</v>
      </c>
      <c r="I60">
        <v>2.39</v>
      </c>
      <c r="J60">
        <v>-2484</v>
      </c>
      <c r="K60">
        <v>1693</v>
      </c>
      <c r="L60">
        <v>4177</v>
      </c>
      <c r="M60">
        <v>0.02</v>
      </c>
    </row>
    <row r="61" spans="1:13" x14ac:dyDescent="0.3">
      <c r="A61" t="s">
        <v>38</v>
      </c>
      <c r="B61" t="s">
        <v>76</v>
      </c>
      <c r="C61">
        <v>1992</v>
      </c>
      <c r="D61">
        <v>0.03</v>
      </c>
      <c r="E61" t="s">
        <v>40</v>
      </c>
      <c r="F61">
        <v>29</v>
      </c>
      <c r="G61">
        <v>5</v>
      </c>
      <c r="H61">
        <v>1.01</v>
      </c>
      <c r="I61">
        <v>0.12</v>
      </c>
      <c r="J61">
        <v>3646</v>
      </c>
      <c r="K61">
        <v>7376</v>
      </c>
      <c r="L61">
        <v>3730</v>
      </c>
      <c r="M61">
        <v>7.0000000000000007E-2</v>
      </c>
    </row>
    <row r="62" spans="1:13" x14ac:dyDescent="0.3">
      <c r="A62" t="s">
        <v>38</v>
      </c>
      <c r="B62" t="s">
        <v>101</v>
      </c>
      <c r="C62">
        <v>1992</v>
      </c>
      <c r="D62">
        <v>0.03</v>
      </c>
      <c r="E62" t="s">
        <v>40</v>
      </c>
      <c r="F62">
        <v>264</v>
      </c>
      <c r="G62">
        <v>73</v>
      </c>
      <c r="H62">
        <v>9.17</v>
      </c>
      <c r="I62">
        <v>1.74</v>
      </c>
      <c r="J62">
        <v>107760</v>
      </c>
      <c r="K62">
        <v>110686</v>
      </c>
      <c r="L62">
        <v>2926</v>
      </c>
      <c r="M62">
        <v>1.1000000000000001</v>
      </c>
    </row>
    <row r="63" spans="1:13" x14ac:dyDescent="0.3">
      <c r="A63" t="s">
        <v>38</v>
      </c>
      <c r="B63" t="s">
        <v>142</v>
      </c>
      <c r="C63">
        <v>1992</v>
      </c>
      <c r="D63">
        <v>0.03</v>
      </c>
      <c r="E63" t="s">
        <v>40</v>
      </c>
      <c r="F63">
        <v>75</v>
      </c>
      <c r="G63">
        <v>48</v>
      </c>
      <c r="H63">
        <v>2.61</v>
      </c>
      <c r="I63">
        <v>1.1499999999999999</v>
      </c>
      <c r="J63">
        <v>19715</v>
      </c>
      <c r="K63">
        <v>22909</v>
      </c>
      <c r="L63">
        <v>3194</v>
      </c>
      <c r="M63">
        <v>0.23</v>
      </c>
    </row>
    <row r="64" spans="1:13" x14ac:dyDescent="0.3">
      <c r="A64" t="s">
        <v>38</v>
      </c>
      <c r="B64" t="s">
        <v>150</v>
      </c>
      <c r="C64">
        <v>1992</v>
      </c>
      <c r="D64">
        <v>0.03</v>
      </c>
      <c r="E64" t="s">
        <v>40</v>
      </c>
      <c r="F64">
        <v>8</v>
      </c>
      <c r="G64">
        <v>3</v>
      </c>
      <c r="H64">
        <v>0.28000000000000003</v>
      </c>
      <c r="I64">
        <v>7.0000000000000007E-2</v>
      </c>
      <c r="J64">
        <v>-3064</v>
      </c>
      <c r="K64">
        <v>161</v>
      </c>
      <c r="L64">
        <v>3225</v>
      </c>
      <c r="M64">
        <v>0</v>
      </c>
    </row>
    <row r="65" spans="1:13" x14ac:dyDescent="0.3">
      <c r="A65" t="s">
        <v>38</v>
      </c>
      <c r="B65" t="s">
        <v>176</v>
      </c>
      <c r="C65">
        <v>1992</v>
      </c>
      <c r="D65">
        <v>0.03</v>
      </c>
      <c r="E65" t="s">
        <v>40</v>
      </c>
      <c r="F65">
        <v>7</v>
      </c>
      <c r="G65">
        <v>3</v>
      </c>
      <c r="H65">
        <v>0.24</v>
      </c>
      <c r="I65">
        <v>7.0000000000000007E-2</v>
      </c>
      <c r="J65">
        <v>-2437</v>
      </c>
      <c r="K65">
        <v>412</v>
      </c>
      <c r="L65">
        <v>2849</v>
      </c>
      <c r="M65">
        <v>0</v>
      </c>
    </row>
    <row r="66" spans="1:13" x14ac:dyDescent="0.3">
      <c r="A66" t="s">
        <v>38</v>
      </c>
      <c r="B66" t="s">
        <v>41</v>
      </c>
      <c r="C66">
        <v>1992</v>
      </c>
      <c r="D66">
        <v>0.02</v>
      </c>
      <c r="E66" t="s">
        <v>40</v>
      </c>
      <c r="F66">
        <v>6</v>
      </c>
      <c r="G66">
        <v>3</v>
      </c>
      <c r="H66">
        <v>0.21</v>
      </c>
      <c r="I66">
        <v>7.0000000000000007E-2</v>
      </c>
      <c r="J66">
        <v>-1838</v>
      </c>
      <c r="K66">
        <v>64</v>
      </c>
      <c r="L66">
        <v>1902</v>
      </c>
      <c r="M66">
        <v>0</v>
      </c>
    </row>
    <row r="67" spans="1:13" x14ac:dyDescent="0.3">
      <c r="A67" t="s">
        <v>38</v>
      </c>
      <c r="B67" t="s">
        <v>42</v>
      </c>
      <c r="C67">
        <v>1992</v>
      </c>
      <c r="D67">
        <v>0.02</v>
      </c>
      <c r="E67" t="s">
        <v>40</v>
      </c>
      <c r="F67">
        <v>161</v>
      </c>
      <c r="G67">
        <v>17</v>
      </c>
      <c r="H67">
        <v>5.59</v>
      </c>
      <c r="I67">
        <v>0.41</v>
      </c>
      <c r="J67">
        <v>10221</v>
      </c>
      <c r="K67">
        <v>11907</v>
      </c>
      <c r="L67">
        <v>1686</v>
      </c>
      <c r="M67">
        <v>0.12</v>
      </c>
    </row>
    <row r="68" spans="1:13" x14ac:dyDescent="0.3">
      <c r="A68" t="s">
        <v>38</v>
      </c>
      <c r="B68" t="s">
        <v>102</v>
      </c>
      <c r="C68">
        <v>1992</v>
      </c>
      <c r="D68">
        <v>0.02</v>
      </c>
      <c r="E68" t="s">
        <v>40</v>
      </c>
      <c r="F68">
        <v>31</v>
      </c>
      <c r="G68">
        <v>35</v>
      </c>
      <c r="H68">
        <v>1.08</v>
      </c>
      <c r="I68">
        <v>0.84</v>
      </c>
      <c r="J68">
        <v>-1171</v>
      </c>
      <c r="K68">
        <v>495</v>
      </c>
      <c r="L68">
        <v>1666</v>
      </c>
      <c r="M68">
        <v>0</v>
      </c>
    </row>
    <row r="69" spans="1:13" x14ac:dyDescent="0.3">
      <c r="A69" t="s">
        <v>38</v>
      </c>
      <c r="B69" t="s">
        <v>118</v>
      </c>
      <c r="C69">
        <v>1992</v>
      </c>
      <c r="D69">
        <v>0.02</v>
      </c>
      <c r="E69" t="s">
        <v>40</v>
      </c>
      <c r="F69">
        <v>23</v>
      </c>
      <c r="G69">
        <v>30</v>
      </c>
      <c r="H69">
        <v>0.8</v>
      </c>
      <c r="I69">
        <v>0.72</v>
      </c>
      <c r="J69">
        <v>1500</v>
      </c>
      <c r="K69">
        <v>3342</v>
      </c>
      <c r="L69">
        <v>1842</v>
      </c>
      <c r="M69">
        <v>0.03</v>
      </c>
    </row>
    <row r="70" spans="1:13" x14ac:dyDescent="0.3">
      <c r="A70" t="s">
        <v>38</v>
      </c>
      <c r="B70" t="s">
        <v>121</v>
      </c>
      <c r="C70">
        <v>1992</v>
      </c>
      <c r="D70">
        <v>0.02</v>
      </c>
      <c r="E70" t="s">
        <v>40</v>
      </c>
      <c r="F70">
        <v>3</v>
      </c>
      <c r="G70">
        <v>2</v>
      </c>
      <c r="H70">
        <v>0.1</v>
      </c>
      <c r="I70">
        <v>0.05</v>
      </c>
      <c r="J70">
        <v>-2110</v>
      </c>
      <c r="K70">
        <v>69</v>
      </c>
      <c r="L70">
        <v>2179</v>
      </c>
      <c r="M70">
        <v>0</v>
      </c>
    </row>
    <row r="71" spans="1:13" x14ac:dyDescent="0.3">
      <c r="A71" t="s">
        <v>38</v>
      </c>
      <c r="B71" t="s">
        <v>123</v>
      </c>
      <c r="C71">
        <v>1992</v>
      </c>
      <c r="D71">
        <v>0.02</v>
      </c>
      <c r="E71" t="s">
        <v>40</v>
      </c>
      <c r="F71">
        <v>55</v>
      </c>
      <c r="G71">
        <v>30</v>
      </c>
      <c r="H71">
        <v>1.91</v>
      </c>
      <c r="I71">
        <v>0.72</v>
      </c>
      <c r="J71">
        <v>93</v>
      </c>
      <c r="K71">
        <v>2653</v>
      </c>
      <c r="L71">
        <v>2560</v>
      </c>
      <c r="M71">
        <v>0.03</v>
      </c>
    </row>
    <row r="72" spans="1:13" x14ac:dyDescent="0.3">
      <c r="A72" t="s">
        <v>38</v>
      </c>
      <c r="B72" t="s">
        <v>135</v>
      </c>
      <c r="C72">
        <v>1992</v>
      </c>
      <c r="D72">
        <v>0.02</v>
      </c>
      <c r="E72" t="s">
        <v>40</v>
      </c>
      <c r="F72">
        <v>10</v>
      </c>
      <c r="G72">
        <v>19</v>
      </c>
      <c r="H72">
        <v>0.35</v>
      </c>
      <c r="I72">
        <v>0.45</v>
      </c>
      <c r="J72">
        <v>-1423</v>
      </c>
      <c r="K72">
        <v>299</v>
      </c>
      <c r="L72">
        <v>1722</v>
      </c>
      <c r="M72">
        <v>0</v>
      </c>
    </row>
    <row r="73" spans="1:13" x14ac:dyDescent="0.3">
      <c r="A73" t="s">
        <v>38</v>
      </c>
      <c r="B73" t="s">
        <v>143</v>
      </c>
      <c r="C73">
        <v>1992</v>
      </c>
      <c r="D73">
        <v>0.02</v>
      </c>
      <c r="E73" t="s">
        <v>40</v>
      </c>
      <c r="F73">
        <v>3</v>
      </c>
      <c r="G73">
        <v>15</v>
      </c>
      <c r="H73">
        <v>0.1</v>
      </c>
      <c r="I73">
        <v>0.36</v>
      </c>
      <c r="J73">
        <v>-2163</v>
      </c>
      <c r="K73">
        <v>142</v>
      </c>
      <c r="L73">
        <v>2305</v>
      </c>
      <c r="M73">
        <v>0</v>
      </c>
    </row>
    <row r="74" spans="1:13" x14ac:dyDescent="0.3">
      <c r="A74" t="s">
        <v>38</v>
      </c>
      <c r="B74" t="s">
        <v>145</v>
      </c>
      <c r="C74">
        <v>1992</v>
      </c>
      <c r="D74">
        <v>0.02</v>
      </c>
      <c r="E74" t="s">
        <v>40</v>
      </c>
      <c r="F74">
        <v>30</v>
      </c>
      <c r="G74">
        <v>55</v>
      </c>
      <c r="H74">
        <v>1.04</v>
      </c>
      <c r="I74">
        <v>1.31</v>
      </c>
      <c r="J74">
        <v>2231</v>
      </c>
      <c r="K74">
        <v>4732</v>
      </c>
      <c r="L74">
        <v>2501</v>
      </c>
      <c r="M74">
        <v>0.05</v>
      </c>
    </row>
    <row r="75" spans="1:13" x14ac:dyDescent="0.3">
      <c r="A75" t="s">
        <v>38</v>
      </c>
      <c r="B75" t="s">
        <v>167</v>
      </c>
      <c r="C75">
        <v>1992</v>
      </c>
      <c r="D75">
        <v>0.02</v>
      </c>
      <c r="E75" t="s">
        <v>40</v>
      </c>
      <c r="F75">
        <v>7</v>
      </c>
      <c r="G75">
        <v>5</v>
      </c>
      <c r="H75">
        <v>0.24</v>
      </c>
      <c r="I75">
        <v>0.12</v>
      </c>
      <c r="J75">
        <v>-1818</v>
      </c>
      <c r="K75">
        <v>98</v>
      </c>
      <c r="L75">
        <v>1916</v>
      </c>
      <c r="M75">
        <v>0</v>
      </c>
    </row>
    <row r="76" spans="1:13" x14ac:dyDescent="0.3">
      <c r="A76" t="s">
        <v>38</v>
      </c>
      <c r="B76" t="s">
        <v>187</v>
      </c>
      <c r="C76">
        <v>1992</v>
      </c>
      <c r="D76">
        <v>0.02</v>
      </c>
      <c r="E76" t="s">
        <v>40</v>
      </c>
      <c r="F76">
        <v>1</v>
      </c>
      <c r="G76">
        <v>7</v>
      </c>
      <c r="H76">
        <v>0.03</v>
      </c>
      <c r="I76">
        <v>0.17</v>
      </c>
      <c r="J76">
        <v>-1722</v>
      </c>
      <c r="K76">
        <v>12</v>
      </c>
      <c r="L76">
        <v>1734</v>
      </c>
      <c r="M76">
        <v>0</v>
      </c>
    </row>
    <row r="77" spans="1:13" x14ac:dyDescent="0.3">
      <c r="A77" t="s">
        <v>38</v>
      </c>
      <c r="B77" t="s">
        <v>189</v>
      </c>
      <c r="C77">
        <v>1992</v>
      </c>
      <c r="D77">
        <v>0.02</v>
      </c>
      <c r="E77" t="s">
        <v>40</v>
      </c>
      <c r="F77">
        <v>20</v>
      </c>
      <c r="G77">
        <v>6</v>
      </c>
      <c r="H77">
        <v>0.69</v>
      </c>
      <c r="I77">
        <v>0.14000000000000001</v>
      </c>
      <c r="J77">
        <v>-1292</v>
      </c>
      <c r="K77">
        <v>703</v>
      </c>
      <c r="L77">
        <v>1995</v>
      </c>
      <c r="M77">
        <v>0.01</v>
      </c>
    </row>
    <row r="78" spans="1:13" x14ac:dyDescent="0.3">
      <c r="A78" t="s">
        <v>38</v>
      </c>
      <c r="B78" t="s">
        <v>43</v>
      </c>
      <c r="C78">
        <v>1992</v>
      </c>
      <c r="D78">
        <v>0.01</v>
      </c>
      <c r="E78" t="s">
        <v>40</v>
      </c>
      <c r="F78">
        <v>109</v>
      </c>
      <c r="G78">
        <v>69</v>
      </c>
      <c r="H78">
        <v>3.79</v>
      </c>
      <c r="I78">
        <v>1.65</v>
      </c>
      <c r="J78">
        <v>14064</v>
      </c>
      <c r="K78">
        <v>15163</v>
      </c>
      <c r="L78">
        <v>1099</v>
      </c>
      <c r="M78">
        <v>0.15</v>
      </c>
    </row>
    <row r="79" spans="1:13" x14ac:dyDescent="0.3">
      <c r="A79" t="s">
        <v>38</v>
      </c>
      <c r="B79" t="s">
        <v>48</v>
      </c>
      <c r="C79">
        <v>1992</v>
      </c>
      <c r="D79">
        <v>0.01</v>
      </c>
      <c r="E79" t="s">
        <v>40</v>
      </c>
      <c r="F79">
        <v>59</v>
      </c>
      <c r="G79">
        <v>6</v>
      </c>
      <c r="H79">
        <v>2.0499999999999998</v>
      </c>
      <c r="I79">
        <v>0.14000000000000001</v>
      </c>
      <c r="J79">
        <v>4701</v>
      </c>
      <c r="K79">
        <v>5550</v>
      </c>
      <c r="L79">
        <v>849</v>
      </c>
      <c r="M79">
        <v>0.06</v>
      </c>
    </row>
    <row r="80" spans="1:13" x14ac:dyDescent="0.3">
      <c r="A80" t="s">
        <v>38</v>
      </c>
      <c r="B80" t="s">
        <v>87</v>
      </c>
      <c r="C80">
        <v>1992</v>
      </c>
      <c r="D80">
        <v>0.01</v>
      </c>
      <c r="E80" t="s">
        <v>40</v>
      </c>
      <c r="F80">
        <v>29</v>
      </c>
      <c r="G80">
        <v>3</v>
      </c>
      <c r="H80">
        <v>1.01</v>
      </c>
      <c r="I80">
        <v>7.0000000000000007E-2</v>
      </c>
      <c r="J80">
        <v>1033</v>
      </c>
      <c r="K80">
        <v>1653</v>
      </c>
      <c r="L80">
        <v>620</v>
      </c>
      <c r="M80">
        <v>0.02</v>
      </c>
    </row>
    <row r="81" spans="1:13" x14ac:dyDescent="0.3">
      <c r="A81" t="s">
        <v>38</v>
      </c>
      <c r="B81" t="s">
        <v>93</v>
      </c>
      <c r="C81">
        <v>1992</v>
      </c>
      <c r="D81">
        <v>0.01</v>
      </c>
      <c r="E81" t="s">
        <v>40</v>
      </c>
      <c r="F81">
        <v>4</v>
      </c>
      <c r="G81">
        <v>9</v>
      </c>
      <c r="H81">
        <v>0.14000000000000001</v>
      </c>
      <c r="I81">
        <v>0.22</v>
      </c>
      <c r="J81">
        <v>-1147</v>
      </c>
      <c r="K81">
        <v>163</v>
      </c>
      <c r="L81">
        <v>1310</v>
      </c>
      <c r="M81">
        <v>0</v>
      </c>
    </row>
    <row r="82" spans="1:13" x14ac:dyDescent="0.3">
      <c r="A82" t="s">
        <v>38</v>
      </c>
      <c r="B82" t="s">
        <v>96</v>
      </c>
      <c r="C82">
        <v>1992</v>
      </c>
      <c r="D82">
        <v>0.01</v>
      </c>
      <c r="E82" t="s">
        <v>40</v>
      </c>
      <c r="F82">
        <v>6</v>
      </c>
      <c r="G82">
        <v>7</v>
      </c>
      <c r="H82">
        <v>0.21</v>
      </c>
      <c r="I82">
        <v>0.17</v>
      </c>
      <c r="J82">
        <v>-962</v>
      </c>
      <c r="K82">
        <v>410</v>
      </c>
      <c r="L82">
        <v>1372</v>
      </c>
      <c r="M82">
        <v>0</v>
      </c>
    </row>
    <row r="83" spans="1:13" x14ac:dyDescent="0.3">
      <c r="A83" t="s">
        <v>38</v>
      </c>
      <c r="B83" t="s">
        <v>120</v>
      </c>
      <c r="C83">
        <v>1992</v>
      </c>
      <c r="D83">
        <v>0.01</v>
      </c>
      <c r="E83" t="s">
        <v>40</v>
      </c>
      <c r="F83">
        <v>49</v>
      </c>
      <c r="G83">
        <v>15</v>
      </c>
      <c r="H83">
        <v>1.7</v>
      </c>
      <c r="I83">
        <v>0.36</v>
      </c>
      <c r="J83">
        <v>5062</v>
      </c>
      <c r="K83">
        <v>5740</v>
      </c>
      <c r="L83">
        <v>678</v>
      </c>
      <c r="M83">
        <v>0.06</v>
      </c>
    </row>
    <row r="84" spans="1:13" x14ac:dyDescent="0.3">
      <c r="A84" t="s">
        <v>38</v>
      </c>
      <c r="B84" t="s">
        <v>130</v>
      </c>
      <c r="C84">
        <v>1992</v>
      </c>
      <c r="D84">
        <v>0.01</v>
      </c>
      <c r="E84" t="s">
        <v>40</v>
      </c>
      <c r="F84">
        <v>1</v>
      </c>
      <c r="G84">
        <v>4</v>
      </c>
      <c r="H84">
        <v>0.03</v>
      </c>
      <c r="I84">
        <v>0.1</v>
      </c>
      <c r="J84">
        <v>-507</v>
      </c>
      <c r="K84">
        <v>42</v>
      </c>
      <c r="L84">
        <v>549</v>
      </c>
      <c r="M84">
        <v>0</v>
      </c>
    </row>
    <row r="85" spans="1:13" x14ac:dyDescent="0.3">
      <c r="A85" t="s">
        <v>38</v>
      </c>
      <c r="B85" t="s">
        <v>134</v>
      </c>
      <c r="C85">
        <v>1992</v>
      </c>
      <c r="D85">
        <v>0.01</v>
      </c>
      <c r="E85" t="s">
        <v>40</v>
      </c>
      <c r="F85">
        <v>132</v>
      </c>
      <c r="G85">
        <v>7</v>
      </c>
      <c r="H85">
        <v>4.59</v>
      </c>
      <c r="I85">
        <v>0.17</v>
      </c>
      <c r="J85">
        <v>3754</v>
      </c>
      <c r="K85">
        <v>4890</v>
      </c>
      <c r="L85">
        <v>1136</v>
      </c>
      <c r="M85">
        <v>0.05</v>
      </c>
    </row>
    <row r="86" spans="1:13" x14ac:dyDescent="0.3">
      <c r="A86" t="s">
        <v>38</v>
      </c>
      <c r="B86" t="s">
        <v>140</v>
      </c>
      <c r="C86">
        <v>1992</v>
      </c>
      <c r="D86">
        <v>0.01</v>
      </c>
      <c r="E86" t="s">
        <v>40</v>
      </c>
      <c r="F86">
        <v>38</v>
      </c>
      <c r="G86">
        <v>42</v>
      </c>
      <c r="H86">
        <v>1.32</v>
      </c>
      <c r="I86">
        <v>1</v>
      </c>
      <c r="J86">
        <v>-84</v>
      </c>
      <c r="K86">
        <v>867</v>
      </c>
      <c r="L86">
        <v>951</v>
      </c>
      <c r="M86">
        <v>0.01</v>
      </c>
    </row>
    <row r="87" spans="1:13" x14ac:dyDescent="0.3">
      <c r="A87" t="s">
        <v>38</v>
      </c>
      <c r="B87" t="s">
        <v>148</v>
      </c>
      <c r="C87">
        <v>1992</v>
      </c>
      <c r="D87">
        <v>0.01</v>
      </c>
      <c r="E87" t="s">
        <v>40</v>
      </c>
      <c r="F87">
        <v>40</v>
      </c>
      <c r="G87">
        <v>49</v>
      </c>
      <c r="H87">
        <v>1.39</v>
      </c>
      <c r="I87">
        <v>1.17</v>
      </c>
      <c r="J87">
        <v>1749</v>
      </c>
      <c r="K87">
        <v>2910</v>
      </c>
      <c r="L87">
        <v>1161</v>
      </c>
      <c r="M87">
        <v>0.03</v>
      </c>
    </row>
    <row r="88" spans="1:13" x14ac:dyDescent="0.3">
      <c r="A88" t="s">
        <v>38</v>
      </c>
      <c r="B88" t="s">
        <v>170</v>
      </c>
      <c r="C88">
        <v>1992</v>
      </c>
      <c r="D88">
        <v>0.01</v>
      </c>
      <c r="E88" t="s">
        <v>40</v>
      </c>
      <c r="F88">
        <v>154</v>
      </c>
      <c r="G88">
        <v>87</v>
      </c>
      <c r="H88">
        <v>5.35</v>
      </c>
      <c r="I88">
        <v>2.08</v>
      </c>
      <c r="J88">
        <v>24897</v>
      </c>
      <c r="K88">
        <v>26383</v>
      </c>
      <c r="L88">
        <v>1486</v>
      </c>
      <c r="M88">
        <v>0.26</v>
      </c>
    </row>
    <row r="89" spans="1:13" x14ac:dyDescent="0.3">
      <c r="A89" t="s">
        <v>38</v>
      </c>
      <c r="B89" t="s">
        <v>178</v>
      </c>
      <c r="C89">
        <v>1992</v>
      </c>
      <c r="D89">
        <v>0.01</v>
      </c>
      <c r="E89" t="s">
        <v>40</v>
      </c>
      <c r="F89">
        <v>32</v>
      </c>
      <c r="G89">
        <v>9</v>
      </c>
      <c r="H89">
        <v>1.1100000000000001</v>
      </c>
      <c r="I89">
        <v>0.22</v>
      </c>
      <c r="J89">
        <v>-107</v>
      </c>
      <c r="K89">
        <v>977</v>
      </c>
      <c r="L89">
        <v>1084</v>
      </c>
      <c r="M89">
        <v>0.01</v>
      </c>
    </row>
    <row r="90" spans="1:13" x14ac:dyDescent="0.3">
      <c r="A90" t="s">
        <v>38</v>
      </c>
      <c r="B90" t="s">
        <v>181</v>
      </c>
      <c r="C90">
        <v>1992</v>
      </c>
      <c r="D90">
        <v>0.01</v>
      </c>
      <c r="E90" t="s">
        <v>40</v>
      </c>
      <c r="F90">
        <v>43</v>
      </c>
      <c r="G90">
        <v>1</v>
      </c>
      <c r="H90">
        <v>1.49</v>
      </c>
      <c r="I90">
        <v>0.02</v>
      </c>
      <c r="J90">
        <v>821</v>
      </c>
      <c r="K90">
        <v>1890</v>
      </c>
      <c r="L90">
        <v>1069</v>
      </c>
      <c r="M90">
        <v>0.02</v>
      </c>
    </row>
    <row r="91" spans="1:13" x14ac:dyDescent="0.3">
      <c r="A91" t="s">
        <v>38</v>
      </c>
      <c r="B91" t="s">
        <v>39</v>
      </c>
      <c r="C91">
        <v>1992</v>
      </c>
      <c r="D91">
        <v>0</v>
      </c>
      <c r="E91" t="s">
        <v>40</v>
      </c>
      <c r="F91">
        <v>14</v>
      </c>
      <c r="G91">
        <v>7</v>
      </c>
      <c r="H91">
        <v>0.49</v>
      </c>
      <c r="I91">
        <v>0.17</v>
      </c>
      <c r="J91">
        <v>2963</v>
      </c>
      <c r="K91">
        <v>3053</v>
      </c>
      <c r="L91">
        <v>90</v>
      </c>
      <c r="M91">
        <v>0.03</v>
      </c>
    </row>
    <row r="92" spans="1:13" x14ac:dyDescent="0.3">
      <c r="A92" t="s">
        <v>38</v>
      </c>
      <c r="B92" t="s">
        <v>45</v>
      </c>
      <c r="C92">
        <v>1992</v>
      </c>
      <c r="D92">
        <v>0</v>
      </c>
      <c r="E92" t="s">
        <v>40</v>
      </c>
      <c r="F92">
        <v>5</v>
      </c>
      <c r="G92">
        <v>3</v>
      </c>
      <c r="H92">
        <v>0.17</v>
      </c>
      <c r="I92">
        <v>7.0000000000000007E-2</v>
      </c>
      <c r="J92">
        <v>-49</v>
      </c>
      <c r="K92">
        <v>44</v>
      </c>
      <c r="L92">
        <v>93</v>
      </c>
      <c r="M92">
        <v>0</v>
      </c>
    </row>
    <row r="93" spans="1:13" x14ac:dyDescent="0.3">
      <c r="A93" t="s">
        <v>38</v>
      </c>
      <c r="B93" t="s">
        <v>50</v>
      </c>
      <c r="C93">
        <v>1992</v>
      </c>
      <c r="D93">
        <v>0</v>
      </c>
      <c r="E93" t="s">
        <v>40</v>
      </c>
      <c r="F93">
        <v>27</v>
      </c>
      <c r="G93">
        <v>2</v>
      </c>
      <c r="H93">
        <v>0.94</v>
      </c>
      <c r="I93">
        <v>0.05</v>
      </c>
      <c r="J93">
        <v>2023</v>
      </c>
      <c r="K93">
        <v>2066</v>
      </c>
      <c r="L93">
        <v>43</v>
      </c>
      <c r="M93">
        <v>0.02</v>
      </c>
    </row>
    <row r="94" spans="1:13" x14ac:dyDescent="0.3">
      <c r="A94" t="s">
        <v>38</v>
      </c>
      <c r="B94" t="s">
        <v>51</v>
      </c>
      <c r="C94">
        <v>1992</v>
      </c>
      <c r="D94">
        <v>0</v>
      </c>
      <c r="E94" t="s">
        <v>40</v>
      </c>
      <c r="F94">
        <v>9</v>
      </c>
      <c r="G94">
        <v>13</v>
      </c>
      <c r="H94">
        <v>0.31</v>
      </c>
      <c r="I94">
        <v>0.31</v>
      </c>
      <c r="J94">
        <v>287</v>
      </c>
      <c r="K94">
        <v>423</v>
      </c>
      <c r="L94">
        <v>136</v>
      </c>
      <c r="M94">
        <v>0</v>
      </c>
    </row>
    <row r="95" spans="1:13" x14ac:dyDescent="0.3">
      <c r="A95" t="s">
        <v>38</v>
      </c>
      <c r="B95" t="s">
        <v>53</v>
      </c>
      <c r="C95">
        <v>1992</v>
      </c>
      <c r="D95">
        <v>0</v>
      </c>
      <c r="E95" t="s">
        <v>40</v>
      </c>
      <c r="G95">
        <v>1</v>
      </c>
      <c r="I95">
        <v>0.02</v>
      </c>
      <c r="L95">
        <v>5</v>
      </c>
    </row>
    <row r="96" spans="1:13" x14ac:dyDescent="0.3">
      <c r="A96" t="s">
        <v>38</v>
      </c>
      <c r="B96" t="s">
        <v>54</v>
      </c>
      <c r="C96">
        <v>1992</v>
      </c>
      <c r="D96">
        <v>0</v>
      </c>
      <c r="E96" t="s">
        <v>40</v>
      </c>
      <c r="F96">
        <v>6</v>
      </c>
      <c r="G96">
        <v>1</v>
      </c>
      <c r="H96">
        <v>0.21</v>
      </c>
      <c r="I96">
        <v>0.02</v>
      </c>
      <c r="J96">
        <v>365</v>
      </c>
      <c r="K96">
        <v>492</v>
      </c>
      <c r="L96">
        <v>127</v>
      </c>
      <c r="M96">
        <v>0</v>
      </c>
    </row>
    <row r="97" spans="1:13" x14ac:dyDescent="0.3">
      <c r="A97" t="s">
        <v>38</v>
      </c>
      <c r="B97" t="s">
        <v>55</v>
      </c>
      <c r="C97">
        <v>1992</v>
      </c>
      <c r="D97">
        <v>0</v>
      </c>
      <c r="E97" t="s">
        <v>40</v>
      </c>
      <c r="F97">
        <v>4</v>
      </c>
      <c r="G97">
        <v>2</v>
      </c>
      <c r="H97">
        <v>0.14000000000000001</v>
      </c>
      <c r="I97">
        <v>0.05</v>
      </c>
      <c r="J97">
        <v>23</v>
      </c>
      <c r="K97">
        <v>47</v>
      </c>
      <c r="L97">
        <v>24</v>
      </c>
      <c r="M97">
        <v>0</v>
      </c>
    </row>
    <row r="98" spans="1:13" x14ac:dyDescent="0.3">
      <c r="A98" t="s">
        <v>38</v>
      </c>
      <c r="B98" t="s">
        <v>57</v>
      </c>
      <c r="C98">
        <v>1992</v>
      </c>
      <c r="D98">
        <v>0</v>
      </c>
      <c r="E98" t="s">
        <v>40</v>
      </c>
      <c r="F98">
        <v>3</v>
      </c>
      <c r="G98">
        <v>1</v>
      </c>
      <c r="H98">
        <v>0.1</v>
      </c>
      <c r="I98">
        <v>0.02</v>
      </c>
      <c r="J98">
        <v>119</v>
      </c>
      <c r="K98">
        <v>120</v>
      </c>
      <c r="L98">
        <v>1</v>
      </c>
      <c r="M98">
        <v>0</v>
      </c>
    </row>
    <row r="99" spans="1:13" x14ac:dyDescent="0.3">
      <c r="A99" t="s">
        <v>38</v>
      </c>
      <c r="B99" t="s">
        <v>58</v>
      </c>
      <c r="C99">
        <v>1992</v>
      </c>
      <c r="D99">
        <v>0</v>
      </c>
      <c r="E99" t="s">
        <v>40</v>
      </c>
      <c r="F99">
        <v>1</v>
      </c>
      <c r="G99">
        <v>3</v>
      </c>
      <c r="H99">
        <v>0.03</v>
      </c>
      <c r="I99">
        <v>7.0000000000000007E-2</v>
      </c>
      <c r="J99">
        <v>-1</v>
      </c>
      <c r="K99">
        <v>3</v>
      </c>
      <c r="L99">
        <v>4</v>
      </c>
      <c r="M99">
        <v>0</v>
      </c>
    </row>
    <row r="100" spans="1:13" x14ac:dyDescent="0.3">
      <c r="A100" t="s">
        <v>38</v>
      </c>
      <c r="B100" t="s">
        <v>64</v>
      </c>
      <c r="C100">
        <v>1992</v>
      </c>
      <c r="D100">
        <v>0</v>
      </c>
      <c r="E100" t="s">
        <v>40</v>
      </c>
      <c r="F100">
        <v>4</v>
      </c>
      <c r="G100">
        <v>5</v>
      </c>
      <c r="H100">
        <v>0.14000000000000001</v>
      </c>
      <c r="I100">
        <v>0.12</v>
      </c>
      <c r="J100">
        <v>411</v>
      </c>
      <c r="K100">
        <v>578</v>
      </c>
      <c r="L100">
        <v>167</v>
      </c>
      <c r="M100">
        <v>0.01</v>
      </c>
    </row>
    <row r="101" spans="1:13" x14ac:dyDescent="0.3">
      <c r="A101" t="s">
        <v>38</v>
      </c>
      <c r="B101" t="s">
        <v>65</v>
      </c>
      <c r="C101">
        <v>1992</v>
      </c>
      <c r="D101">
        <v>0</v>
      </c>
      <c r="E101" t="s">
        <v>40</v>
      </c>
      <c r="F101">
        <v>3</v>
      </c>
      <c r="G101">
        <v>5</v>
      </c>
      <c r="H101">
        <v>0.1</v>
      </c>
      <c r="I101">
        <v>0.12</v>
      </c>
      <c r="J101">
        <v>2</v>
      </c>
      <c r="K101">
        <v>18</v>
      </c>
      <c r="L101">
        <v>16</v>
      </c>
      <c r="M101">
        <v>0</v>
      </c>
    </row>
    <row r="102" spans="1:13" x14ac:dyDescent="0.3">
      <c r="A102" t="s">
        <v>38</v>
      </c>
      <c r="B102" t="s">
        <v>67</v>
      </c>
      <c r="C102">
        <v>1992</v>
      </c>
      <c r="D102">
        <v>0</v>
      </c>
      <c r="E102" t="s">
        <v>40</v>
      </c>
      <c r="F102">
        <v>1</v>
      </c>
      <c r="G102">
        <v>1</v>
      </c>
      <c r="H102">
        <v>0.03</v>
      </c>
      <c r="I102">
        <v>0.02</v>
      </c>
      <c r="J102">
        <v>-1</v>
      </c>
      <c r="K102">
        <v>4</v>
      </c>
      <c r="L102">
        <v>5</v>
      </c>
      <c r="M102">
        <v>0</v>
      </c>
    </row>
    <row r="103" spans="1:13" x14ac:dyDescent="0.3">
      <c r="A103" t="s">
        <v>38</v>
      </c>
      <c r="B103" t="s">
        <v>70</v>
      </c>
      <c r="C103">
        <v>1992</v>
      </c>
      <c r="D103">
        <v>0</v>
      </c>
      <c r="E103" t="s">
        <v>40</v>
      </c>
      <c r="F103">
        <v>28</v>
      </c>
      <c r="G103">
        <v>8</v>
      </c>
      <c r="H103">
        <v>0.97</v>
      </c>
      <c r="I103">
        <v>0.19</v>
      </c>
      <c r="J103">
        <v>7974</v>
      </c>
      <c r="K103">
        <v>8173</v>
      </c>
      <c r="L103">
        <v>199</v>
      </c>
      <c r="M103">
        <v>0.08</v>
      </c>
    </row>
    <row r="104" spans="1:13" x14ac:dyDescent="0.3">
      <c r="A104" t="s">
        <v>38</v>
      </c>
      <c r="B104" t="s">
        <v>73</v>
      </c>
      <c r="C104">
        <v>1992</v>
      </c>
      <c r="D104">
        <v>0</v>
      </c>
      <c r="E104" t="s">
        <v>40</v>
      </c>
      <c r="F104">
        <v>1</v>
      </c>
      <c r="G104">
        <v>2</v>
      </c>
      <c r="H104">
        <v>0.03</v>
      </c>
      <c r="I104">
        <v>0.05</v>
      </c>
      <c r="J104">
        <v>23</v>
      </c>
      <c r="K104">
        <v>29</v>
      </c>
      <c r="L104">
        <v>6</v>
      </c>
      <c r="M104">
        <v>0</v>
      </c>
    </row>
    <row r="105" spans="1:13" x14ac:dyDescent="0.3">
      <c r="A105" t="s">
        <v>38</v>
      </c>
      <c r="B105" t="s">
        <v>75</v>
      </c>
      <c r="C105">
        <v>1992</v>
      </c>
      <c r="D105">
        <v>0</v>
      </c>
      <c r="E105" t="s">
        <v>40</v>
      </c>
      <c r="F105">
        <v>6</v>
      </c>
      <c r="G105">
        <v>3</v>
      </c>
      <c r="H105">
        <v>0.21</v>
      </c>
      <c r="I105">
        <v>7.0000000000000007E-2</v>
      </c>
      <c r="J105">
        <v>616</v>
      </c>
      <c r="K105">
        <v>667</v>
      </c>
      <c r="L105">
        <v>51</v>
      </c>
      <c r="M105">
        <v>0.01</v>
      </c>
    </row>
    <row r="106" spans="1:13" x14ac:dyDescent="0.3">
      <c r="A106" t="s">
        <v>38</v>
      </c>
      <c r="B106" t="s">
        <v>83</v>
      </c>
      <c r="C106">
        <v>1992</v>
      </c>
      <c r="D106">
        <v>0</v>
      </c>
      <c r="E106" t="s">
        <v>40</v>
      </c>
      <c r="F106">
        <v>1</v>
      </c>
      <c r="G106">
        <v>2</v>
      </c>
      <c r="H106">
        <v>0.03</v>
      </c>
      <c r="I106">
        <v>0.05</v>
      </c>
      <c r="J106">
        <v>19</v>
      </c>
      <c r="K106">
        <v>37</v>
      </c>
      <c r="L106">
        <v>18</v>
      </c>
      <c r="M106">
        <v>0</v>
      </c>
    </row>
    <row r="107" spans="1:13" x14ac:dyDescent="0.3">
      <c r="A107" t="s">
        <v>38</v>
      </c>
      <c r="B107" t="s">
        <v>85</v>
      </c>
      <c r="C107">
        <v>1992</v>
      </c>
      <c r="D107">
        <v>0</v>
      </c>
      <c r="E107" t="s">
        <v>40</v>
      </c>
      <c r="F107">
        <v>2</v>
      </c>
      <c r="G107">
        <v>2</v>
      </c>
      <c r="H107">
        <v>7.0000000000000007E-2</v>
      </c>
      <c r="I107">
        <v>0.05</v>
      </c>
      <c r="J107">
        <v>4</v>
      </c>
      <c r="K107">
        <v>21</v>
      </c>
      <c r="L107">
        <v>17</v>
      </c>
      <c r="M107">
        <v>0</v>
      </c>
    </row>
    <row r="108" spans="1:13" x14ac:dyDescent="0.3">
      <c r="A108" t="s">
        <v>38</v>
      </c>
      <c r="B108" t="s">
        <v>88</v>
      </c>
      <c r="C108">
        <v>1992</v>
      </c>
      <c r="D108">
        <v>0</v>
      </c>
      <c r="E108" t="s">
        <v>40</v>
      </c>
      <c r="F108">
        <v>7</v>
      </c>
      <c r="G108">
        <v>1</v>
      </c>
      <c r="H108">
        <v>0.24</v>
      </c>
      <c r="I108">
        <v>0.02</v>
      </c>
      <c r="J108">
        <v>326</v>
      </c>
      <c r="K108">
        <v>329</v>
      </c>
      <c r="L108">
        <v>3</v>
      </c>
      <c r="M108">
        <v>0</v>
      </c>
    </row>
    <row r="109" spans="1:13" x14ac:dyDescent="0.3">
      <c r="A109" t="s">
        <v>38</v>
      </c>
      <c r="B109" t="s">
        <v>89</v>
      </c>
      <c r="C109">
        <v>1992</v>
      </c>
      <c r="D109">
        <v>0</v>
      </c>
      <c r="E109" t="s">
        <v>40</v>
      </c>
      <c r="F109">
        <v>2</v>
      </c>
      <c r="G109">
        <v>1</v>
      </c>
      <c r="H109">
        <v>7.0000000000000007E-2</v>
      </c>
      <c r="I109">
        <v>0.02</v>
      </c>
      <c r="J109">
        <v>-133</v>
      </c>
      <c r="K109">
        <v>95</v>
      </c>
      <c r="L109">
        <v>228</v>
      </c>
      <c r="M109">
        <v>0</v>
      </c>
    </row>
    <row r="110" spans="1:13" x14ac:dyDescent="0.3">
      <c r="A110" t="s">
        <v>38</v>
      </c>
      <c r="B110" t="s">
        <v>90</v>
      </c>
      <c r="C110">
        <v>1992</v>
      </c>
      <c r="D110">
        <v>0</v>
      </c>
      <c r="E110" t="s">
        <v>40</v>
      </c>
      <c r="F110">
        <v>5</v>
      </c>
      <c r="G110">
        <v>3</v>
      </c>
      <c r="H110">
        <v>0.17</v>
      </c>
      <c r="I110">
        <v>7.0000000000000007E-2</v>
      </c>
      <c r="J110">
        <v>-6</v>
      </c>
      <c r="K110">
        <v>46</v>
      </c>
      <c r="L110">
        <v>52</v>
      </c>
      <c r="M110">
        <v>0</v>
      </c>
    </row>
    <row r="111" spans="1:13" x14ac:dyDescent="0.3">
      <c r="A111" t="s">
        <v>38</v>
      </c>
      <c r="B111" t="s">
        <v>92</v>
      </c>
      <c r="C111">
        <v>1992</v>
      </c>
      <c r="D111">
        <v>0</v>
      </c>
      <c r="E111" t="s">
        <v>40</v>
      </c>
      <c r="G111">
        <v>1</v>
      </c>
      <c r="I111">
        <v>0.02</v>
      </c>
      <c r="L111">
        <v>1</v>
      </c>
    </row>
    <row r="112" spans="1:13" x14ac:dyDescent="0.3">
      <c r="A112" t="s">
        <v>38</v>
      </c>
      <c r="B112" t="s">
        <v>94</v>
      </c>
      <c r="C112">
        <v>1992</v>
      </c>
      <c r="D112">
        <v>0</v>
      </c>
      <c r="E112" t="s">
        <v>40</v>
      </c>
      <c r="F112">
        <v>1</v>
      </c>
      <c r="G112">
        <v>1</v>
      </c>
      <c r="H112">
        <v>0.03</v>
      </c>
      <c r="I112">
        <v>0.02</v>
      </c>
      <c r="J112">
        <v>125</v>
      </c>
      <c r="K112">
        <v>126</v>
      </c>
      <c r="L112">
        <v>1</v>
      </c>
      <c r="M112">
        <v>0</v>
      </c>
    </row>
    <row r="113" spans="1:13" x14ac:dyDescent="0.3">
      <c r="A113" t="s">
        <v>38</v>
      </c>
      <c r="B113" t="s">
        <v>97</v>
      </c>
      <c r="C113">
        <v>1992</v>
      </c>
      <c r="D113">
        <v>0</v>
      </c>
      <c r="E113" t="s">
        <v>40</v>
      </c>
      <c r="F113">
        <v>7</v>
      </c>
      <c r="G113">
        <v>2</v>
      </c>
      <c r="H113">
        <v>0.24</v>
      </c>
      <c r="I113">
        <v>0.05</v>
      </c>
      <c r="J113">
        <v>39</v>
      </c>
      <c r="K113">
        <v>47</v>
      </c>
      <c r="L113">
        <v>8</v>
      </c>
      <c r="M113">
        <v>0</v>
      </c>
    </row>
    <row r="114" spans="1:13" x14ac:dyDescent="0.3">
      <c r="A114" t="s">
        <v>38</v>
      </c>
      <c r="B114" t="s">
        <v>105</v>
      </c>
      <c r="C114">
        <v>1992</v>
      </c>
      <c r="D114">
        <v>0</v>
      </c>
      <c r="E114" t="s">
        <v>40</v>
      </c>
      <c r="F114">
        <v>13</v>
      </c>
      <c r="G114">
        <v>22</v>
      </c>
      <c r="H114">
        <v>0.45</v>
      </c>
      <c r="I114">
        <v>0.53</v>
      </c>
      <c r="J114">
        <v>451</v>
      </c>
      <c r="K114">
        <v>655</v>
      </c>
      <c r="L114">
        <v>204</v>
      </c>
      <c r="M114">
        <v>0.01</v>
      </c>
    </row>
    <row r="115" spans="1:13" x14ac:dyDescent="0.3">
      <c r="A115" t="s">
        <v>38</v>
      </c>
      <c r="B115" t="s">
        <v>106</v>
      </c>
      <c r="C115">
        <v>1992</v>
      </c>
      <c r="D115">
        <v>0</v>
      </c>
      <c r="E115" t="s">
        <v>40</v>
      </c>
      <c r="F115">
        <v>104</v>
      </c>
      <c r="G115">
        <v>4</v>
      </c>
      <c r="H115">
        <v>3.61</v>
      </c>
      <c r="I115">
        <v>0.1</v>
      </c>
      <c r="J115">
        <v>9243</v>
      </c>
      <c r="K115">
        <v>9275</v>
      </c>
      <c r="L115">
        <v>32</v>
      </c>
      <c r="M115">
        <v>0.09</v>
      </c>
    </row>
    <row r="116" spans="1:13" x14ac:dyDescent="0.3">
      <c r="A116" t="s">
        <v>38</v>
      </c>
      <c r="B116" t="s">
        <v>108</v>
      </c>
      <c r="C116">
        <v>1992</v>
      </c>
      <c r="D116">
        <v>0</v>
      </c>
      <c r="E116" t="s">
        <v>40</v>
      </c>
      <c r="F116">
        <v>30</v>
      </c>
      <c r="G116">
        <v>13</v>
      </c>
      <c r="H116">
        <v>1.04</v>
      </c>
      <c r="I116">
        <v>0.31</v>
      </c>
      <c r="J116">
        <v>483</v>
      </c>
      <c r="K116">
        <v>954</v>
      </c>
      <c r="L116">
        <v>471</v>
      </c>
      <c r="M116">
        <v>0.01</v>
      </c>
    </row>
    <row r="117" spans="1:13" x14ac:dyDescent="0.3">
      <c r="A117" t="s">
        <v>38</v>
      </c>
      <c r="B117" t="s">
        <v>109</v>
      </c>
      <c r="C117">
        <v>1992</v>
      </c>
      <c r="D117">
        <v>0</v>
      </c>
      <c r="E117" t="s">
        <v>40</v>
      </c>
      <c r="F117">
        <v>1</v>
      </c>
      <c r="G117">
        <v>2</v>
      </c>
      <c r="H117">
        <v>0.03</v>
      </c>
      <c r="I117">
        <v>0.05</v>
      </c>
      <c r="J117">
        <v>57</v>
      </c>
      <c r="K117">
        <v>63</v>
      </c>
      <c r="L117">
        <v>6</v>
      </c>
      <c r="M117">
        <v>0</v>
      </c>
    </row>
    <row r="118" spans="1:13" x14ac:dyDescent="0.3">
      <c r="A118" t="s">
        <v>38</v>
      </c>
      <c r="B118" t="s">
        <v>111</v>
      </c>
      <c r="C118">
        <v>1992</v>
      </c>
      <c r="D118">
        <v>0</v>
      </c>
      <c r="E118" t="s">
        <v>40</v>
      </c>
      <c r="F118">
        <v>151</v>
      </c>
      <c r="G118">
        <v>3</v>
      </c>
      <c r="H118">
        <v>5.25</v>
      </c>
      <c r="I118">
        <v>7.0000000000000007E-2</v>
      </c>
      <c r="J118">
        <v>20001</v>
      </c>
      <c r="K118">
        <v>20004</v>
      </c>
      <c r="L118">
        <v>3</v>
      </c>
      <c r="M118">
        <v>0.2</v>
      </c>
    </row>
    <row r="119" spans="1:13" x14ac:dyDescent="0.3">
      <c r="A119" t="s">
        <v>38</v>
      </c>
      <c r="B119" t="s">
        <v>112</v>
      </c>
      <c r="C119">
        <v>1992</v>
      </c>
      <c r="D119">
        <v>0</v>
      </c>
      <c r="E119" t="s">
        <v>40</v>
      </c>
      <c r="F119">
        <v>1</v>
      </c>
      <c r="G119">
        <v>4</v>
      </c>
      <c r="H119">
        <v>0.03</v>
      </c>
      <c r="I119">
        <v>0.1</v>
      </c>
      <c r="J119">
        <v>-50</v>
      </c>
      <c r="K119">
        <v>11</v>
      </c>
      <c r="L119">
        <v>61</v>
      </c>
      <c r="M119">
        <v>0</v>
      </c>
    </row>
    <row r="120" spans="1:13" x14ac:dyDescent="0.3">
      <c r="A120" t="s">
        <v>38</v>
      </c>
      <c r="B120" t="s">
        <v>113</v>
      </c>
      <c r="C120">
        <v>1992</v>
      </c>
      <c r="D120">
        <v>0</v>
      </c>
      <c r="E120" t="s">
        <v>40</v>
      </c>
      <c r="F120">
        <v>140</v>
      </c>
      <c r="G120">
        <v>27</v>
      </c>
      <c r="H120">
        <v>4.8600000000000003</v>
      </c>
      <c r="I120">
        <v>0.65</v>
      </c>
      <c r="J120">
        <v>25165</v>
      </c>
      <c r="K120">
        <v>25458</v>
      </c>
      <c r="L120">
        <v>293</v>
      </c>
      <c r="M120">
        <v>0.25</v>
      </c>
    </row>
    <row r="121" spans="1:13" x14ac:dyDescent="0.3">
      <c r="A121" t="s">
        <v>38</v>
      </c>
      <c r="B121" t="s">
        <v>114</v>
      </c>
      <c r="C121">
        <v>1992</v>
      </c>
      <c r="D121">
        <v>0</v>
      </c>
      <c r="E121" t="s">
        <v>40</v>
      </c>
      <c r="F121">
        <v>3</v>
      </c>
      <c r="G121">
        <v>3</v>
      </c>
      <c r="H121">
        <v>0.1</v>
      </c>
      <c r="I121">
        <v>7.0000000000000007E-2</v>
      </c>
      <c r="J121">
        <v>318</v>
      </c>
      <c r="K121">
        <v>333</v>
      </c>
      <c r="L121">
        <v>15</v>
      </c>
      <c r="M121">
        <v>0</v>
      </c>
    </row>
    <row r="122" spans="1:13" x14ac:dyDescent="0.3">
      <c r="A122" t="s">
        <v>38</v>
      </c>
      <c r="B122" t="s">
        <v>115</v>
      </c>
      <c r="C122">
        <v>1992</v>
      </c>
      <c r="D122">
        <v>0</v>
      </c>
      <c r="E122" t="s">
        <v>40</v>
      </c>
      <c r="F122">
        <v>39</v>
      </c>
      <c r="G122">
        <v>7</v>
      </c>
      <c r="H122">
        <v>1.36</v>
      </c>
      <c r="I122">
        <v>0.17</v>
      </c>
      <c r="J122">
        <v>7115</v>
      </c>
      <c r="K122">
        <v>7294</v>
      </c>
      <c r="L122">
        <v>179</v>
      </c>
      <c r="M122">
        <v>7.0000000000000007E-2</v>
      </c>
    </row>
    <row r="123" spans="1:13" x14ac:dyDescent="0.3">
      <c r="A123" t="s">
        <v>38</v>
      </c>
      <c r="B123" t="s">
        <v>116</v>
      </c>
      <c r="C123">
        <v>1992</v>
      </c>
      <c r="D123">
        <v>0</v>
      </c>
      <c r="E123" t="s">
        <v>40</v>
      </c>
      <c r="G123">
        <v>1</v>
      </c>
      <c r="I123">
        <v>0.02</v>
      </c>
      <c r="L123">
        <v>22</v>
      </c>
    </row>
    <row r="124" spans="1:13" x14ac:dyDescent="0.3">
      <c r="A124" t="s">
        <v>38</v>
      </c>
      <c r="B124" t="s">
        <v>119</v>
      </c>
      <c r="C124">
        <v>1992</v>
      </c>
      <c r="D124">
        <v>0</v>
      </c>
      <c r="E124" t="s">
        <v>40</v>
      </c>
      <c r="F124">
        <v>6</v>
      </c>
      <c r="G124">
        <v>10</v>
      </c>
      <c r="H124">
        <v>0.21</v>
      </c>
      <c r="I124">
        <v>0.24</v>
      </c>
      <c r="J124">
        <v>-143</v>
      </c>
      <c r="K124">
        <v>20</v>
      </c>
      <c r="L124">
        <v>163</v>
      </c>
      <c r="M124">
        <v>0</v>
      </c>
    </row>
    <row r="125" spans="1:13" x14ac:dyDescent="0.3">
      <c r="A125" t="s">
        <v>38</v>
      </c>
      <c r="B125" t="s">
        <v>124</v>
      </c>
      <c r="C125">
        <v>1992</v>
      </c>
      <c r="D125">
        <v>0</v>
      </c>
      <c r="E125" t="s">
        <v>40</v>
      </c>
      <c r="F125">
        <v>1</v>
      </c>
      <c r="G125">
        <v>4</v>
      </c>
      <c r="H125">
        <v>0.03</v>
      </c>
      <c r="I125">
        <v>0.1</v>
      </c>
      <c r="J125">
        <v>-20</v>
      </c>
      <c r="K125">
        <v>20</v>
      </c>
      <c r="L125">
        <v>40</v>
      </c>
      <c r="M125">
        <v>0</v>
      </c>
    </row>
    <row r="126" spans="1:13" x14ac:dyDescent="0.3">
      <c r="A126" t="s">
        <v>38</v>
      </c>
      <c r="B126" t="s">
        <v>125</v>
      </c>
      <c r="C126">
        <v>1992</v>
      </c>
      <c r="D126">
        <v>0</v>
      </c>
      <c r="E126" t="s">
        <v>40</v>
      </c>
      <c r="F126">
        <v>68</v>
      </c>
      <c r="G126">
        <v>18</v>
      </c>
      <c r="H126">
        <v>2.36</v>
      </c>
      <c r="I126">
        <v>0.43</v>
      </c>
      <c r="J126">
        <v>3315</v>
      </c>
      <c r="K126">
        <v>3812</v>
      </c>
      <c r="L126">
        <v>497</v>
      </c>
      <c r="M126">
        <v>0.04</v>
      </c>
    </row>
    <row r="127" spans="1:13" x14ac:dyDescent="0.3">
      <c r="A127" t="s">
        <v>38</v>
      </c>
      <c r="B127" t="s">
        <v>126</v>
      </c>
      <c r="C127">
        <v>1992</v>
      </c>
      <c r="D127">
        <v>0</v>
      </c>
      <c r="E127" t="s">
        <v>40</v>
      </c>
      <c r="F127">
        <v>22</v>
      </c>
      <c r="G127">
        <v>11</v>
      </c>
      <c r="H127">
        <v>0.76</v>
      </c>
      <c r="I127">
        <v>0.26</v>
      </c>
      <c r="J127">
        <v>182</v>
      </c>
      <c r="K127">
        <v>390</v>
      </c>
      <c r="L127">
        <v>208</v>
      </c>
      <c r="M127">
        <v>0</v>
      </c>
    </row>
    <row r="128" spans="1:13" x14ac:dyDescent="0.3">
      <c r="A128" t="s">
        <v>38</v>
      </c>
      <c r="B128" t="s">
        <v>127</v>
      </c>
      <c r="C128">
        <v>1992</v>
      </c>
      <c r="D128">
        <v>0</v>
      </c>
      <c r="E128" t="s">
        <v>40</v>
      </c>
      <c r="F128">
        <v>23</v>
      </c>
      <c r="G128">
        <v>11</v>
      </c>
      <c r="H128">
        <v>0.8</v>
      </c>
      <c r="I128">
        <v>0.26</v>
      </c>
      <c r="J128">
        <v>2187</v>
      </c>
      <c r="K128">
        <v>2210</v>
      </c>
      <c r="L128">
        <v>23</v>
      </c>
      <c r="M128">
        <v>0.02</v>
      </c>
    </row>
    <row r="129" spans="1:13" x14ac:dyDescent="0.3">
      <c r="A129" t="s">
        <v>38</v>
      </c>
      <c r="B129" t="s">
        <v>128</v>
      </c>
      <c r="C129">
        <v>1992</v>
      </c>
      <c r="D129">
        <v>0</v>
      </c>
      <c r="E129" t="s">
        <v>40</v>
      </c>
      <c r="F129">
        <v>5</v>
      </c>
      <c r="G129">
        <v>3</v>
      </c>
      <c r="H129">
        <v>0.17</v>
      </c>
      <c r="I129">
        <v>7.0000000000000007E-2</v>
      </c>
      <c r="J129">
        <v>-132</v>
      </c>
      <c r="K129">
        <v>47</v>
      </c>
      <c r="L129">
        <v>179</v>
      </c>
      <c r="M129">
        <v>0</v>
      </c>
    </row>
    <row r="130" spans="1:13" x14ac:dyDescent="0.3">
      <c r="A130" t="s">
        <v>38</v>
      </c>
      <c r="B130" t="s">
        <v>129</v>
      </c>
      <c r="C130">
        <v>1992</v>
      </c>
      <c r="D130">
        <v>0</v>
      </c>
      <c r="E130" t="s">
        <v>40</v>
      </c>
      <c r="F130">
        <v>13</v>
      </c>
      <c r="G130">
        <v>3</v>
      </c>
      <c r="H130">
        <v>0.45</v>
      </c>
      <c r="I130">
        <v>7.0000000000000007E-2</v>
      </c>
      <c r="J130">
        <v>377</v>
      </c>
      <c r="K130">
        <v>415</v>
      </c>
      <c r="L130">
        <v>38</v>
      </c>
      <c r="M130">
        <v>0</v>
      </c>
    </row>
    <row r="131" spans="1:13" x14ac:dyDescent="0.3">
      <c r="A131" t="s">
        <v>38</v>
      </c>
      <c r="B131" t="s">
        <v>133</v>
      </c>
      <c r="C131">
        <v>1992</v>
      </c>
      <c r="D131">
        <v>0</v>
      </c>
      <c r="E131" t="s">
        <v>40</v>
      </c>
      <c r="F131">
        <v>8</v>
      </c>
      <c r="G131">
        <v>5</v>
      </c>
      <c r="H131">
        <v>0.28000000000000003</v>
      </c>
      <c r="I131">
        <v>0.12</v>
      </c>
      <c r="J131">
        <v>216</v>
      </c>
      <c r="K131">
        <v>258</v>
      </c>
      <c r="L131">
        <v>42</v>
      </c>
      <c r="M131">
        <v>0</v>
      </c>
    </row>
    <row r="132" spans="1:13" x14ac:dyDescent="0.3">
      <c r="A132" t="s">
        <v>38</v>
      </c>
      <c r="B132" t="s">
        <v>138</v>
      </c>
      <c r="C132">
        <v>1992</v>
      </c>
      <c r="D132">
        <v>0</v>
      </c>
      <c r="E132" t="s">
        <v>40</v>
      </c>
      <c r="F132">
        <v>7</v>
      </c>
      <c r="G132">
        <v>10</v>
      </c>
      <c r="H132">
        <v>0.24</v>
      </c>
      <c r="I132">
        <v>0.24</v>
      </c>
      <c r="J132">
        <v>163</v>
      </c>
      <c r="K132">
        <v>179</v>
      </c>
      <c r="L132">
        <v>16</v>
      </c>
      <c r="M132">
        <v>0</v>
      </c>
    </row>
    <row r="133" spans="1:13" x14ac:dyDescent="0.3">
      <c r="A133" t="s">
        <v>38</v>
      </c>
      <c r="B133" t="s">
        <v>139</v>
      </c>
      <c r="C133">
        <v>1992</v>
      </c>
      <c r="D133">
        <v>0</v>
      </c>
      <c r="E133" t="s">
        <v>40</v>
      </c>
      <c r="F133">
        <v>4</v>
      </c>
      <c r="G133">
        <v>5</v>
      </c>
      <c r="H133">
        <v>0.14000000000000001</v>
      </c>
      <c r="I133">
        <v>0.12</v>
      </c>
      <c r="J133">
        <v>56</v>
      </c>
      <c r="K133">
        <v>80</v>
      </c>
      <c r="L133">
        <v>24</v>
      </c>
      <c r="M133">
        <v>0</v>
      </c>
    </row>
    <row r="134" spans="1:13" x14ac:dyDescent="0.3">
      <c r="A134" t="s">
        <v>38</v>
      </c>
      <c r="B134" t="s">
        <v>146</v>
      </c>
      <c r="C134">
        <v>1992</v>
      </c>
      <c r="D134">
        <v>0</v>
      </c>
      <c r="E134" t="s">
        <v>40</v>
      </c>
      <c r="F134">
        <v>1</v>
      </c>
      <c r="G134">
        <v>2</v>
      </c>
      <c r="H134">
        <v>0.03</v>
      </c>
      <c r="I134">
        <v>0.05</v>
      </c>
      <c r="J134">
        <v>271</v>
      </c>
      <c r="K134">
        <v>278</v>
      </c>
      <c r="L134">
        <v>7</v>
      </c>
      <c r="M134">
        <v>0</v>
      </c>
    </row>
    <row r="135" spans="1:13" x14ac:dyDescent="0.3">
      <c r="A135" t="s">
        <v>38</v>
      </c>
      <c r="B135" t="s">
        <v>151</v>
      </c>
      <c r="C135">
        <v>1992</v>
      </c>
      <c r="D135">
        <v>0</v>
      </c>
      <c r="E135" t="s">
        <v>40</v>
      </c>
      <c r="F135">
        <v>19</v>
      </c>
      <c r="G135">
        <v>1</v>
      </c>
      <c r="H135">
        <v>0.66</v>
      </c>
      <c r="I135">
        <v>0.02</v>
      </c>
      <c r="J135">
        <v>2237</v>
      </c>
      <c r="K135">
        <v>2255</v>
      </c>
      <c r="L135">
        <v>18</v>
      </c>
      <c r="M135">
        <v>0.02</v>
      </c>
    </row>
    <row r="136" spans="1:13" x14ac:dyDescent="0.3">
      <c r="A136" t="s">
        <v>38</v>
      </c>
      <c r="B136" t="s">
        <v>154</v>
      </c>
      <c r="C136">
        <v>1992</v>
      </c>
      <c r="D136">
        <v>0</v>
      </c>
      <c r="E136" t="s">
        <v>40</v>
      </c>
      <c r="F136">
        <v>1</v>
      </c>
      <c r="G136">
        <v>16</v>
      </c>
      <c r="H136">
        <v>0.03</v>
      </c>
      <c r="I136">
        <v>0.38</v>
      </c>
      <c r="J136">
        <v>-85</v>
      </c>
      <c r="K136">
        <v>69</v>
      </c>
      <c r="L136">
        <v>154</v>
      </c>
      <c r="M136">
        <v>0</v>
      </c>
    </row>
    <row r="137" spans="1:13" x14ac:dyDescent="0.3">
      <c r="A137" t="s">
        <v>38</v>
      </c>
      <c r="B137" t="s">
        <v>156</v>
      </c>
      <c r="C137">
        <v>1992</v>
      </c>
      <c r="D137">
        <v>0</v>
      </c>
      <c r="E137" t="s">
        <v>40</v>
      </c>
      <c r="F137">
        <v>76</v>
      </c>
      <c r="G137">
        <v>2</v>
      </c>
      <c r="H137">
        <v>2.64</v>
      </c>
      <c r="I137">
        <v>0.05</v>
      </c>
      <c r="J137">
        <v>25582</v>
      </c>
      <c r="K137">
        <v>25596</v>
      </c>
      <c r="L137">
        <v>14</v>
      </c>
      <c r="M137">
        <v>0.25</v>
      </c>
    </row>
    <row r="138" spans="1:13" x14ac:dyDescent="0.3">
      <c r="A138" t="s">
        <v>38</v>
      </c>
      <c r="B138" t="s">
        <v>157</v>
      </c>
      <c r="C138">
        <v>1992</v>
      </c>
      <c r="D138">
        <v>0</v>
      </c>
      <c r="E138" t="s">
        <v>40</v>
      </c>
      <c r="F138">
        <v>9</v>
      </c>
      <c r="G138">
        <v>1</v>
      </c>
      <c r="H138">
        <v>0.31</v>
      </c>
      <c r="I138">
        <v>0.02</v>
      </c>
      <c r="J138">
        <v>650</v>
      </c>
      <c r="K138">
        <v>659</v>
      </c>
      <c r="L138">
        <v>9</v>
      </c>
      <c r="M138">
        <v>0.01</v>
      </c>
    </row>
    <row r="139" spans="1:13" x14ac:dyDescent="0.3">
      <c r="A139" t="s">
        <v>38</v>
      </c>
      <c r="B139" t="s">
        <v>158</v>
      </c>
      <c r="C139">
        <v>1992</v>
      </c>
      <c r="D139">
        <v>0</v>
      </c>
      <c r="E139" t="s">
        <v>40</v>
      </c>
      <c r="F139">
        <v>8</v>
      </c>
      <c r="G139">
        <v>3</v>
      </c>
      <c r="H139">
        <v>0.28000000000000003</v>
      </c>
      <c r="I139">
        <v>7.0000000000000007E-2</v>
      </c>
      <c r="J139">
        <v>263</v>
      </c>
      <c r="K139">
        <v>276</v>
      </c>
      <c r="L139">
        <v>13</v>
      </c>
      <c r="M139">
        <v>0</v>
      </c>
    </row>
    <row r="140" spans="1:13" x14ac:dyDescent="0.3">
      <c r="A140" t="s">
        <v>38</v>
      </c>
      <c r="B140" t="s">
        <v>161</v>
      </c>
      <c r="C140">
        <v>1992</v>
      </c>
      <c r="D140">
        <v>0</v>
      </c>
      <c r="E140" t="s">
        <v>40</v>
      </c>
      <c r="F140">
        <v>2</v>
      </c>
      <c r="G140">
        <v>1</v>
      </c>
      <c r="H140">
        <v>7.0000000000000007E-2</v>
      </c>
      <c r="I140">
        <v>0.02</v>
      </c>
      <c r="J140">
        <v>50</v>
      </c>
      <c r="K140">
        <v>57</v>
      </c>
      <c r="L140">
        <v>7</v>
      </c>
      <c r="M140">
        <v>0</v>
      </c>
    </row>
    <row r="141" spans="1:13" x14ac:dyDescent="0.3">
      <c r="A141" t="s">
        <v>38</v>
      </c>
      <c r="B141" t="s">
        <v>163</v>
      </c>
      <c r="C141">
        <v>1992</v>
      </c>
      <c r="D141">
        <v>0</v>
      </c>
      <c r="E141" t="s">
        <v>40</v>
      </c>
      <c r="F141">
        <v>20</v>
      </c>
      <c r="G141">
        <v>30</v>
      </c>
      <c r="H141">
        <v>0.69</v>
      </c>
      <c r="I141">
        <v>0.72</v>
      </c>
      <c r="J141">
        <v>147</v>
      </c>
      <c r="K141">
        <v>372</v>
      </c>
      <c r="L141">
        <v>225</v>
      </c>
      <c r="M141">
        <v>0</v>
      </c>
    </row>
    <row r="142" spans="1:13" x14ac:dyDescent="0.3">
      <c r="A142" t="s">
        <v>38</v>
      </c>
      <c r="B142" t="s">
        <v>164</v>
      </c>
      <c r="C142">
        <v>1992</v>
      </c>
      <c r="D142">
        <v>0</v>
      </c>
      <c r="E142" t="s">
        <v>40</v>
      </c>
      <c r="F142">
        <v>3</v>
      </c>
      <c r="G142">
        <v>7</v>
      </c>
      <c r="H142">
        <v>0.1</v>
      </c>
      <c r="I142">
        <v>0.17</v>
      </c>
      <c r="J142">
        <v>-96</v>
      </c>
      <c r="K142">
        <v>36</v>
      </c>
      <c r="L142">
        <v>132</v>
      </c>
      <c r="M142">
        <v>0</v>
      </c>
    </row>
    <row r="143" spans="1:13" x14ac:dyDescent="0.3">
      <c r="A143" t="s">
        <v>38</v>
      </c>
      <c r="B143" t="s">
        <v>166</v>
      </c>
      <c r="C143">
        <v>1992</v>
      </c>
      <c r="D143">
        <v>0</v>
      </c>
      <c r="E143" t="s">
        <v>40</v>
      </c>
      <c r="G143">
        <v>6</v>
      </c>
      <c r="I143">
        <v>0.14000000000000001</v>
      </c>
      <c r="L143">
        <v>96</v>
      </c>
    </row>
    <row r="144" spans="1:13" x14ac:dyDescent="0.3">
      <c r="A144" t="s">
        <v>38</v>
      </c>
      <c r="B144" t="s">
        <v>169</v>
      </c>
      <c r="C144">
        <v>1992</v>
      </c>
      <c r="D144">
        <v>0</v>
      </c>
      <c r="E144" t="s">
        <v>40</v>
      </c>
      <c r="F144">
        <v>3</v>
      </c>
      <c r="G144">
        <v>3</v>
      </c>
      <c r="H144">
        <v>0.1</v>
      </c>
      <c r="I144">
        <v>7.0000000000000007E-2</v>
      </c>
      <c r="J144">
        <v>-13</v>
      </c>
      <c r="K144">
        <v>3</v>
      </c>
      <c r="L144">
        <v>16</v>
      </c>
      <c r="M144">
        <v>0</v>
      </c>
    </row>
    <row r="145" spans="1:13" x14ac:dyDescent="0.3">
      <c r="A145" t="s">
        <v>38</v>
      </c>
      <c r="B145" t="s">
        <v>172</v>
      </c>
      <c r="C145">
        <v>1992</v>
      </c>
      <c r="D145">
        <v>0</v>
      </c>
      <c r="E145" t="s">
        <v>40</v>
      </c>
      <c r="F145">
        <v>2</v>
      </c>
      <c r="G145">
        <v>12</v>
      </c>
      <c r="H145">
        <v>7.0000000000000007E-2</v>
      </c>
      <c r="I145">
        <v>0.28999999999999998</v>
      </c>
      <c r="J145">
        <v>-2</v>
      </c>
      <c r="K145">
        <v>31</v>
      </c>
      <c r="L145">
        <v>33</v>
      </c>
      <c r="M145">
        <v>0</v>
      </c>
    </row>
    <row r="146" spans="1:13" x14ac:dyDescent="0.3">
      <c r="A146" t="s">
        <v>38</v>
      </c>
      <c r="B146" t="s">
        <v>173</v>
      </c>
      <c r="C146">
        <v>1992</v>
      </c>
      <c r="D146">
        <v>0</v>
      </c>
      <c r="E146" t="s">
        <v>40</v>
      </c>
      <c r="F146">
        <v>139</v>
      </c>
      <c r="G146">
        <v>19</v>
      </c>
      <c r="H146">
        <v>4.83</v>
      </c>
      <c r="I146">
        <v>0.45</v>
      </c>
      <c r="J146">
        <v>8770</v>
      </c>
      <c r="K146">
        <v>9081</v>
      </c>
      <c r="L146">
        <v>311</v>
      </c>
      <c r="M146">
        <v>0.09</v>
      </c>
    </row>
    <row r="147" spans="1:13" x14ac:dyDescent="0.3">
      <c r="A147" t="s">
        <v>38</v>
      </c>
      <c r="B147" t="s">
        <v>175</v>
      </c>
      <c r="C147">
        <v>1992</v>
      </c>
      <c r="D147">
        <v>0</v>
      </c>
      <c r="E147" t="s">
        <v>40</v>
      </c>
      <c r="F147">
        <v>11</v>
      </c>
      <c r="G147">
        <v>2</v>
      </c>
      <c r="H147">
        <v>0.38</v>
      </c>
      <c r="I147">
        <v>0.05</v>
      </c>
      <c r="J147">
        <v>708</v>
      </c>
      <c r="K147">
        <v>995</v>
      </c>
      <c r="L147">
        <v>287</v>
      </c>
      <c r="M147">
        <v>0.01</v>
      </c>
    </row>
    <row r="148" spans="1:13" x14ac:dyDescent="0.3">
      <c r="A148" t="s">
        <v>38</v>
      </c>
      <c r="B148" t="s">
        <v>180</v>
      </c>
      <c r="C148">
        <v>1992</v>
      </c>
      <c r="D148">
        <v>0</v>
      </c>
      <c r="E148" t="s">
        <v>40</v>
      </c>
      <c r="F148">
        <v>2</v>
      </c>
      <c r="G148">
        <v>7</v>
      </c>
      <c r="H148">
        <v>7.0000000000000007E-2</v>
      </c>
      <c r="I148">
        <v>0.17</v>
      </c>
      <c r="J148">
        <v>-21</v>
      </c>
      <c r="K148">
        <v>22</v>
      </c>
      <c r="L148">
        <v>43</v>
      </c>
      <c r="M148">
        <v>0</v>
      </c>
    </row>
    <row r="149" spans="1:13" x14ac:dyDescent="0.3">
      <c r="A149" t="s">
        <v>38</v>
      </c>
      <c r="B149" t="s">
        <v>183</v>
      </c>
      <c r="C149">
        <v>1992</v>
      </c>
      <c r="D149">
        <v>0</v>
      </c>
      <c r="E149" t="s">
        <v>40</v>
      </c>
      <c r="G149">
        <v>1</v>
      </c>
      <c r="I149">
        <v>0.02</v>
      </c>
      <c r="L149">
        <v>4</v>
      </c>
    </row>
    <row r="150" spans="1:13" x14ac:dyDescent="0.3">
      <c r="A150" t="s">
        <v>38</v>
      </c>
      <c r="B150" t="s">
        <v>185</v>
      </c>
      <c r="C150">
        <v>1992</v>
      </c>
      <c r="D150">
        <v>0</v>
      </c>
      <c r="E150" t="s">
        <v>40</v>
      </c>
      <c r="F150">
        <v>28</v>
      </c>
      <c r="G150">
        <v>17</v>
      </c>
      <c r="H150">
        <v>0.97</v>
      </c>
      <c r="I150">
        <v>0.41</v>
      </c>
      <c r="J150">
        <v>6156</v>
      </c>
      <c r="K150">
        <v>6502</v>
      </c>
      <c r="L150">
        <v>346</v>
      </c>
      <c r="M150">
        <v>0.06</v>
      </c>
    </row>
    <row r="151" spans="1:13" x14ac:dyDescent="0.3">
      <c r="A151" t="s">
        <v>38</v>
      </c>
      <c r="B151" t="s">
        <v>188</v>
      </c>
      <c r="C151">
        <v>1992</v>
      </c>
      <c r="D151">
        <v>0</v>
      </c>
      <c r="E151" t="s">
        <v>40</v>
      </c>
      <c r="F151">
        <v>7</v>
      </c>
      <c r="G151">
        <v>1</v>
      </c>
      <c r="H151">
        <v>0.24</v>
      </c>
      <c r="I151">
        <v>0.02</v>
      </c>
      <c r="J151">
        <v>28</v>
      </c>
      <c r="K151">
        <v>92</v>
      </c>
      <c r="L151">
        <v>64</v>
      </c>
      <c r="M1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EF60-A675-4E43-A676-01793C1C79DD}">
  <dimension ref="A1:AM189"/>
  <sheetViews>
    <sheetView topLeftCell="A49" workbookViewId="0">
      <selection activeCell="C6" sqref="C6"/>
    </sheetView>
  </sheetViews>
  <sheetFormatPr defaultRowHeight="14.4" x14ac:dyDescent="0.3"/>
  <cols>
    <col min="3" max="3" width="39" customWidth="1"/>
  </cols>
  <sheetData>
    <row r="1" spans="1:39" x14ac:dyDescent="0.3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3">
      <c r="A2" t="s">
        <v>38</v>
      </c>
      <c r="B2" t="s">
        <v>184</v>
      </c>
      <c r="C2">
        <v>100</v>
      </c>
      <c r="D2">
        <v>2001</v>
      </c>
      <c r="E2" t="s">
        <v>40</v>
      </c>
      <c r="F2">
        <v>3353</v>
      </c>
      <c r="G2">
        <v>4358</v>
      </c>
      <c r="H2">
        <v>100</v>
      </c>
      <c r="I2">
        <v>100</v>
      </c>
      <c r="J2">
        <v>-3184015</v>
      </c>
      <c r="K2">
        <v>30497719</v>
      </c>
      <c r="L2">
        <v>33681734</v>
      </c>
      <c r="M2">
        <v>100</v>
      </c>
      <c r="N2">
        <v>100</v>
      </c>
    </row>
    <row r="3" spans="1:39" x14ac:dyDescent="0.3">
      <c r="A3" t="s">
        <v>38</v>
      </c>
      <c r="B3" t="s">
        <v>78</v>
      </c>
      <c r="C3">
        <v>76.67</v>
      </c>
      <c r="D3">
        <v>2001</v>
      </c>
      <c r="E3" t="s">
        <v>40</v>
      </c>
      <c r="F3">
        <v>3345</v>
      </c>
      <c r="G3">
        <v>4314</v>
      </c>
      <c r="H3">
        <v>99.76</v>
      </c>
      <c r="I3">
        <v>98.99</v>
      </c>
      <c r="J3">
        <v>1760937</v>
      </c>
      <c r="K3">
        <v>27586086</v>
      </c>
      <c r="L3">
        <v>25825149</v>
      </c>
      <c r="M3">
        <v>76.67</v>
      </c>
      <c r="N3">
        <v>90.45</v>
      </c>
    </row>
    <row r="4" spans="1:39" x14ac:dyDescent="0.3">
      <c r="A4" t="s">
        <v>38</v>
      </c>
      <c r="B4" t="s">
        <v>72</v>
      </c>
      <c r="C4">
        <v>24.92</v>
      </c>
      <c r="D4">
        <v>2001</v>
      </c>
      <c r="E4" t="s">
        <v>40</v>
      </c>
      <c r="F4">
        <v>2582</v>
      </c>
      <c r="G4">
        <v>3849</v>
      </c>
      <c r="H4">
        <v>77.010000000000005</v>
      </c>
      <c r="I4">
        <v>88.32</v>
      </c>
      <c r="J4">
        <v>2466361</v>
      </c>
      <c r="K4">
        <v>10858885</v>
      </c>
      <c r="L4">
        <v>8392524</v>
      </c>
      <c r="M4">
        <v>24.92</v>
      </c>
      <c r="N4">
        <v>35.61</v>
      </c>
    </row>
    <row r="5" spans="1:39" x14ac:dyDescent="0.3">
      <c r="A5" t="s">
        <v>38</v>
      </c>
      <c r="B5" t="s">
        <v>77</v>
      </c>
      <c r="C5">
        <v>15.04</v>
      </c>
      <c r="D5">
        <v>2001</v>
      </c>
      <c r="E5" t="s">
        <v>40</v>
      </c>
      <c r="F5">
        <v>1018</v>
      </c>
      <c r="G5">
        <v>2831</v>
      </c>
      <c r="H5">
        <v>30.36</v>
      </c>
      <c r="I5">
        <v>64.959999999999994</v>
      </c>
      <c r="J5">
        <v>-4372212</v>
      </c>
      <c r="K5">
        <v>693186</v>
      </c>
      <c r="L5">
        <v>5065398</v>
      </c>
      <c r="M5">
        <v>15.04</v>
      </c>
      <c r="N5">
        <v>2.27</v>
      </c>
    </row>
    <row r="6" spans="1:39" x14ac:dyDescent="0.3">
      <c r="A6" t="s">
        <v>38</v>
      </c>
      <c r="B6" t="s">
        <v>104</v>
      </c>
      <c r="C6">
        <v>7.86</v>
      </c>
      <c r="D6">
        <v>2001</v>
      </c>
      <c r="E6" t="s">
        <v>40</v>
      </c>
      <c r="F6">
        <v>1756</v>
      </c>
      <c r="G6">
        <v>3351</v>
      </c>
      <c r="H6">
        <v>52.37</v>
      </c>
      <c r="I6">
        <v>76.89</v>
      </c>
      <c r="J6">
        <v>-742247</v>
      </c>
      <c r="K6">
        <v>1905165</v>
      </c>
      <c r="L6">
        <v>2647412</v>
      </c>
      <c r="M6">
        <v>7.86</v>
      </c>
      <c r="N6">
        <v>6.25</v>
      </c>
    </row>
    <row r="7" spans="1:39" x14ac:dyDescent="0.3">
      <c r="A7" t="s">
        <v>38</v>
      </c>
      <c r="B7" t="s">
        <v>47</v>
      </c>
      <c r="C7">
        <v>7.39</v>
      </c>
      <c r="D7">
        <v>2001</v>
      </c>
      <c r="E7" t="s">
        <v>40</v>
      </c>
      <c r="F7">
        <v>2248</v>
      </c>
      <c r="G7">
        <v>3077</v>
      </c>
      <c r="H7">
        <v>67.040000000000006</v>
      </c>
      <c r="I7">
        <v>70.61</v>
      </c>
      <c r="J7">
        <v>-71025</v>
      </c>
      <c r="K7">
        <v>2416789</v>
      </c>
      <c r="L7">
        <v>2487814</v>
      </c>
      <c r="M7">
        <v>7.39</v>
      </c>
      <c r="N7">
        <v>7.92</v>
      </c>
    </row>
    <row r="8" spans="1:39" x14ac:dyDescent="0.3">
      <c r="A8" t="s">
        <v>38</v>
      </c>
      <c r="B8" t="s">
        <v>153</v>
      </c>
      <c r="C8">
        <v>7.03</v>
      </c>
      <c r="D8">
        <v>2001</v>
      </c>
      <c r="E8" t="s">
        <v>40</v>
      </c>
      <c r="F8">
        <v>1058</v>
      </c>
      <c r="G8">
        <v>677</v>
      </c>
      <c r="H8">
        <v>31.55</v>
      </c>
      <c r="I8">
        <v>15.53</v>
      </c>
      <c r="J8">
        <v>-1896981</v>
      </c>
      <c r="K8">
        <v>472337</v>
      </c>
      <c r="L8">
        <v>2369318</v>
      </c>
      <c r="M8">
        <v>7.03</v>
      </c>
      <c r="N8">
        <v>1.55</v>
      </c>
    </row>
    <row r="9" spans="1:39" x14ac:dyDescent="0.3">
      <c r="A9" t="s">
        <v>38</v>
      </c>
      <c r="B9" t="s">
        <v>84</v>
      </c>
      <c r="C9">
        <v>4.6900000000000004</v>
      </c>
      <c r="D9">
        <v>2001</v>
      </c>
      <c r="E9" t="s">
        <v>40</v>
      </c>
      <c r="F9">
        <v>1391</v>
      </c>
      <c r="G9">
        <v>2961</v>
      </c>
      <c r="H9">
        <v>41.49</v>
      </c>
      <c r="I9">
        <v>67.94</v>
      </c>
      <c r="J9">
        <v>239652</v>
      </c>
      <c r="K9">
        <v>1818804</v>
      </c>
      <c r="L9">
        <v>1579152</v>
      </c>
      <c r="M9">
        <v>4.6900000000000004</v>
      </c>
      <c r="N9">
        <v>5.96</v>
      </c>
    </row>
    <row r="10" spans="1:39" x14ac:dyDescent="0.3">
      <c r="A10" t="s">
        <v>38</v>
      </c>
      <c r="B10" t="s">
        <v>107</v>
      </c>
      <c r="C10">
        <v>4.62</v>
      </c>
      <c r="D10">
        <v>2001</v>
      </c>
      <c r="E10" t="s">
        <v>40</v>
      </c>
      <c r="F10">
        <v>452</v>
      </c>
      <c r="G10">
        <v>1665</v>
      </c>
      <c r="H10">
        <v>13.48</v>
      </c>
      <c r="I10">
        <v>38.21</v>
      </c>
      <c r="J10">
        <v>-1382587</v>
      </c>
      <c r="K10">
        <v>172775</v>
      </c>
      <c r="L10">
        <v>1555362</v>
      </c>
      <c r="M10">
        <v>4.62</v>
      </c>
      <c r="N10">
        <v>0.56999999999999995</v>
      </c>
    </row>
    <row r="11" spans="1:39" x14ac:dyDescent="0.3">
      <c r="A11" t="s">
        <v>38</v>
      </c>
      <c r="B11" t="s">
        <v>132</v>
      </c>
      <c r="C11">
        <v>4.43</v>
      </c>
      <c r="D11">
        <v>2001</v>
      </c>
      <c r="E11" t="s">
        <v>40</v>
      </c>
      <c r="F11">
        <v>1337</v>
      </c>
      <c r="G11">
        <v>2659</v>
      </c>
      <c r="H11">
        <v>39.869999999999997</v>
      </c>
      <c r="I11">
        <v>61.01</v>
      </c>
      <c r="J11">
        <v>79175</v>
      </c>
      <c r="K11">
        <v>1571342</v>
      </c>
      <c r="L11">
        <v>1492167</v>
      </c>
      <c r="M11">
        <v>4.43</v>
      </c>
      <c r="N11">
        <v>5.15</v>
      </c>
    </row>
    <row r="12" spans="1:39" x14ac:dyDescent="0.3">
      <c r="A12" t="s">
        <v>38</v>
      </c>
      <c r="B12" t="s">
        <v>179</v>
      </c>
      <c r="C12">
        <v>4.2300000000000004</v>
      </c>
      <c r="D12">
        <v>2001</v>
      </c>
      <c r="E12" t="s">
        <v>40</v>
      </c>
      <c r="F12">
        <v>1266</v>
      </c>
      <c r="G12">
        <v>2588</v>
      </c>
      <c r="H12">
        <v>37.76</v>
      </c>
      <c r="I12">
        <v>59.38</v>
      </c>
      <c r="J12">
        <v>101064</v>
      </c>
      <c r="K12">
        <v>1525300</v>
      </c>
      <c r="L12">
        <v>1424236</v>
      </c>
      <c r="M12">
        <v>4.2300000000000004</v>
      </c>
      <c r="N12">
        <v>5</v>
      </c>
    </row>
    <row r="13" spans="1:39" x14ac:dyDescent="0.3">
      <c r="A13" t="s">
        <v>38</v>
      </c>
      <c r="B13" t="s">
        <v>62</v>
      </c>
      <c r="C13">
        <v>3.96</v>
      </c>
      <c r="D13">
        <v>2001</v>
      </c>
      <c r="E13" t="s">
        <v>40</v>
      </c>
      <c r="F13">
        <v>304</v>
      </c>
      <c r="G13">
        <v>1980</v>
      </c>
      <c r="H13">
        <v>9.07</v>
      </c>
      <c r="I13">
        <v>45.43</v>
      </c>
      <c r="J13">
        <v>-1220876</v>
      </c>
      <c r="K13">
        <v>112698</v>
      </c>
      <c r="L13">
        <v>1333574</v>
      </c>
      <c r="M13">
        <v>3.96</v>
      </c>
      <c r="N13">
        <v>0.37</v>
      </c>
    </row>
    <row r="14" spans="1:39" x14ac:dyDescent="0.3">
      <c r="A14" t="s">
        <v>38</v>
      </c>
      <c r="B14" t="s">
        <v>86</v>
      </c>
      <c r="C14">
        <v>2.95</v>
      </c>
      <c r="D14">
        <v>2001</v>
      </c>
      <c r="E14" t="s">
        <v>40</v>
      </c>
      <c r="F14">
        <v>1228</v>
      </c>
      <c r="G14">
        <v>2493</v>
      </c>
      <c r="H14">
        <v>36.619999999999997</v>
      </c>
      <c r="I14">
        <v>57.21</v>
      </c>
      <c r="J14">
        <v>321729</v>
      </c>
      <c r="K14">
        <v>1314461</v>
      </c>
      <c r="L14">
        <v>992732</v>
      </c>
      <c r="M14">
        <v>2.95</v>
      </c>
      <c r="N14">
        <v>4.3099999999999996</v>
      </c>
    </row>
    <row r="15" spans="1:39" x14ac:dyDescent="0.3">
      <c r="A15" t="s">
        <v>38</v>
      </c>
      <c r="B15" t="s">
        <v>147</v>
      </c>
      <c r="C15">
        <v>2.31</v>
      </c>
      <c r="D15">
        <v>2001</v>
      </c>
      <c r="E15" t="s">
        <v>40</v>
      </c>
      <c r="F15">
        <v>1362</v>
      </c>
      <c r="G15">
        <v>1745</v>
      </c>
      <c r="H15">
        <v>40.619999999999997</v>
      </c>
      <c r="I15">
        <v>40.04</v>
      </c>
      <c r="J15">
        <v>-167679</v>
      </c>
      <c r="K15">
        <v>609392</v>
      </c>
      <c r="L15">
        <v>777071</v>
      </c>
      <c r="M15">
        <v>2.31</v>
      </c>
      <c r="N15">
        <v>2</v>
      </c>
    </row>
    <row r="16" spans="1:39" x14ac:dyDescent="0.3">
      <c r="A16" t="s">
        <v>38</v>
      </c>
      <c r="B16" t="s">
        <v>196</v>
      </c>
      <c r="C16">
        <v>2.2799999999999998</v>
      </c>
      <c r="D16">
        <v>2001</v>
      </c>
      <c r="E16" t="s">
        <v>40</v>
      </c>
      <c r="F16">
        <v>1001</v>
      </c>
      <c r="G16">
        <v>2050</v>
      </c>
      <c r="H16">
        <v>29.85</v>
      </c>
      <c r="I16">
        <v>47.04</v>
      </c>
      <c r="J16">
        <v>229874</v>
      </c>
      <c r="K16">
        <v>996870</v>
      </c>
      <c r="L16">
        <v>766996</v>
      </c>
      <c r="M16">
        <v>2.2799999999999998</v>
      </c>
      <c r="N16">
        <v>3.27</v>
      </c>
    </row>
    <row r="17" spans="1:14" x14ac:dyDescent="0.3">
      <c r="A17" t="s">
        <v>38</v>
      </c>
      <c r="B17" t="s">
        <v>204</v>
      </c>
      <c r="C17">
        <v>2.12</v>
      </c>
      <c r="D17">
        <v>2001</v>
      </c>
      <c r="E17" t="s">
        <v>40</v>
      </c>
      <c r="F17">
        <v>1536</v>
      </c>
      <c r="G17">
        <v>2173</v>
      </c>
      <c r="H17">
        <v>45.81</v>
      </c>
      <c r="I17">
        <v>49.86</v>
      </c>
      <c r="J17">
        <v>-161398</v>
      </c>
      <c r="K17">
        <v>553383</v>
      </c>
      <c r="L17">
        <v>714781</v>
      </c>
      <c r="M17">
        <v>2.12</v>
      </c>
      <c r="N17">
        <v>1.81</v>
      </c>
    </row>
    <row r="18" spans="1:14" x14ac:dyDescent="0.3">
      <c r="A18" t="s">
        <v>38</v>
      </c>
      <c r="B18" t="s">
        <v>136</v>
      </c>
      <c r="C18">
        <v>2.08</v>
      </c>
      <c r="D18">
        <v>2001</v>
      </c>
      <c r="E18" t="s">
        <v>40</v>
      </c>
      <c r="F18">
        <v>1263</v>
      </c>
      <c r="G18">
        <v>2454</v>
      </c>
      <c r="H18">
        <v>37.67</v>
      </c>
      <c r="I18">
        <v>56.31</v>
      </c>
      <c r="J18">
        <v>702875</v>
      </c>
      <c r="K18">
        <v>1402252</v>
      </c>
      <c r="L18">
        <v>699377</v>
      </c>
      <c r="M18">
        <v>2.08</v>
      </c>
      <c r="N18">
        <v>4.5999999999999996</v>
      </c>
    </row>
    <row r="19" spans="1:14" x14ac:dyDescent="0.3">
      <c r="A19" t="s">
        <v>38</v>
      </c>
      <c r="B19" t="s">
        <v>81</v>
      </c>
      <c r="C19">
        <v>1.83</v>
      </c>
      <c r="D19">
        <v>2001</v>
      </c>
      <c r="E19" t="s">
        <v>40</v>
      </c>
      <c r="F19">
        <v>694</v>
      </c>
      <c r="G19">
        <v>2050</v>
      </c>
      <c r="H19">
        <v>20.7</v>
      </c>
      <c r="I19">
        <v>47.04</v>
      </c>
      <c r="J19">
        <v>12810</v>
      </c>
      <c r="K19">
        <v>629409</v>
      </c>
      <c r="L19">
        <v>616599</v>
      </c>
      <c r="M19">
        <v>1.83</v>
      </c>
      <c r="N19">
        <v>2.06</v>
      </c>
    </row>
    <row r="20" spans="1:14" x14ac:dyDescent="0.3">
      <c r="A20" t="s">
        <v>38</v>
      </c>
      <c r="B20" t="s">
        <v>230</v>
      </c>
      <c r="C20">
        <v>1.79</v>
      </c>
      <c r="D20">
        <v>2001</v>
      </c>
      <c r="E20" t="s">
        <v>40</v>
      </c>
      <c r="F20">
        <v>1966</v>
      </c>
      <c r="G20">
        <v>1537</v>
      </c>
      <c r="H20">
        <v>58.63</v>
      </c>
      <c r="I20">
        <v>35.270000000000003</v>
      </c>
      <c r="J20">
        <v>-191111</v>
      </c>
      <c r="K20">
        <v>411482</v>
      </c>
      <c r="L20">
        <v>602593</v>
      </c>
      <c r="M20">
        <v>1.79</v>
      </c>
      <c r="N20">
        <v>1.35</v>
      </c>
    </row>
    <row r="21" spans="1:14" x14ac:dyDescent="0.3">
      <c r="A21" t="s">
        <v>38</v>
      </c>
      <c r="B21" t="s">
        <v>160</v>
      </c>
      <c r="C21">
        <v>1.54</v>
      </c>
      <c r="D21">
        <v>2001</v>
      </c>
      <c r="E21" t="s">
        <v>40</v>
      </c>
      <c r="F21">
        <v>201</v>
      </c>
      <c r="G21">
        <v>398</v>
      </c>
      <c r="H21">
        <v>5.99</v>
      </c>
      <c r="I21">
        <v>9.1300000000000008</v>
      </c>
      <c r="J21">
        <v>-369837</v>
      </c>
      <c r="K21">
        <v>148515</v>
      </c>
      <c r="L21">
        <v>518352</v>
      </c>
      <c r="M21">
        <v>1.54</v>
      </c>
      <c r="N21">
        <v>0.49</v>
      </c>
    </row>
    <row r="22" spans="1:14" x14ac:dyDescent="0.3">
      <c r="A22" t="s">
        <v>38</v>
      </c>
      <c r="B22" t="s">
        <v>141</v>
      </c>
      <c r="C22">
        <v>1.44</v>
      </c>
      <c r="D22">
        <v>2001</v>
      </c>
      <c r="E22" t="s">
        <v>40</v>
      </c>
      <c r="J22">
        <v>-437335</v>
      </c>
      <c r="K22">
        <v>47599</v>
      </c>
      <c r="L22">
        <v>484934</v>
      </c>
      <c r="M22">
        <v>1.44</v>
      </c>
      <c r="N22">
        <v>0.16</v>
      </c>
    </row>
    <row r="23" spans="1:14" x14ac:dyDescent="0.3">
      <c r="A23" t="s">
        <v>38</v>
      </c>
      <c r="B23" t="s">
        <v>131</v>
      </c>
      <c r="C23">
        <v>1.42</v>
      </c>
      <c r="D23">
        <v>2001</v>
      </c>
      <c r="E23" t="s">
        <v>40</v>
      </c>
      <c r="F23">
        <v>136</v>
      </c>
      <c r="G23">
        <v>561</v>
      </c>
      <c r="H23">
        <v>4.0599999999999996</v>
      </c>
      <c r="I23">
        <v>12.87</v>
      </c>
      <c r="J23">
        <v>-425456</v>
      </c>
      <c r="K23">
        <v>52107</v>
      </c>
      <c r="L23">
        <v>477563</v>
      </c>
      <c r="M23">
        <v>1.42</v>
      </c>
      <c r="N23">
        <v>0.17</v>
      </c>
    </row>
    <row r="24" spans="1:14" x14ac:dyDescent="0.3">
      <c r="A24" t="s">
        <v>38</v>
      </c>
      <c r="B24" t="s">
        <v>60</v>
      </c>
      <c r="C24">
        <v>1.39</v>
      </c>
      <c r="D24">
        <v>2001</v>
      </c>
      <c r="E24" t="s">
        <v>40</v>
      </c>
      <c r="F24">
        <v>1198</v>
      </c>
      <c r="G24">
        <v>1985</v>
      </c>
      <c r="H24">
        <v>35.729999999999997</v>
      </c>
      <c r="I24">
        <v>45.55</v>
      </c>
      <c r="J24">
        <v>-86067</v>
      </c>
      <c r="K24">
        <v>382378</v>
      </c>
      <c r="L24">
        <v>468445</v>
      </c>
      <c r="M24">
        <v>1.39</v>
      </c>
      <c r="N24">
        <v>1.25</v>
      </c>
    </row>
    <row r="25" spans="1:14" x14ac:dyDescent="0.3">
      <c r="A25" t="s">
        <v>38</v>
      </c>
      <c r="B25" t="s">
        <v>110</v>
      </c>
      <c r="C25">
        <v>1.23</v>
      </c>
      <c r="D25">
        <v>2001</v>
      </c>
      <c r="E25" t="s">
        <v>40</v>
      </c>
      <c r="F25">
        <v>197</v>
      </c>
      <c r="G25">
        <v>1065</v>
      </c>
      <c r="H25">
        <v>5.88</v>
      </c>
      <c r="I25">
        <v>24.44</v>
      </c>
      <c r="J25">
        <v>-376489</v>
      </c>
      <c r="K25">
        <v>36687</v>
      </c>
      <c r="L25">
        <v>413176</v>
      </c>
      <c r="M25">
        <v>1.23</v>
      </c>
      <c r="N25">
        <v>0.12</v>
      </c>
    </row>
    <row r="26" spans="1:14" x14ac:dyDescent="0.3">
      <c r="A26" t="s">
        <v>38</v>
      </c>
      <c r="B26" t="s">
        <v>117</v>
      </c>
      <c r="C26">
        <v>1.21</v>
      </c>
      <c r="D26">
        <v>2001</v>
      </c>
      <c r="E26" t="s">
        <v>40</v>
      </c>
      <c r="F26">
        <v>514</v>
      </c>
      <c r="G26">
        <v>912</v>
      </c>
      <c r="H26">
        <v>15.33</v>
      </c>
      <c r="I26">
        <v>20.93</v>
      </c>
      <c r="J26">
        <v>-243239</v>
      </c>
      <c r="K26">
        <v>165654</v>
      </c>
      <c r="L26">
        <v>408893</v>
      </c>
      <c r="M26">
        <v>1.21</v>
      </c>
      <c r="N26">
        <v>0.54</v>
      </c>
    </row>
    <row r="27" spans="1:14" x14ac:dyDescent="0.3">
      <c r="A27" t="s">
        <v>38</v>
      </c>
      <c r="B27" t="s">
        <v>152</v>
      </c>
      <c r="C27">
        <v>1.07</v>
      </c>
      <c r="D27">
        <v>2001</v>
      </c>
      <c r="E27" t="s">
        <v>40</v>
      </c>
      <c r="F27">
        <v>2485</v>
      </c>
      <c r="G27">
        <v>1169</v>
      </c>
      <c r="H27">
        <v>74.11</v>
      </c>
      <c r="I27">
        <v>26.82</v>
      </c>
      <c r="J27">
        <v>402187</v>
      </c>
      <c r="K27">
        <v>764230</v>
      </c>
      <c r="L27">
        <v>362043</v>
      </c>
      <c r="M27">
        <v>1.07</v>
      </c>
      <c r="N27">
        <v>2.5099999999999998</v>
      </c>
    </row>
    <row r="28" spans="1:14" x14ac:dyDescent="0.3">
      <c r="A28" t="s">
        <v>38</v>
      </c>
      <c r="B28" t="s">
        <v>82</v>
      </c>
      <c r="C28">
        <v>1.05</v>
      </c>
      <c r="D28">
        <v>2001</v>
      </c>
      <c r="E28" t="s">
        <v>40</v>
      </c>
      <c r="F28">
        <v>553</v>
      </c>
      <c r="G28">
        <v>1030</v>
      </c>
      <c r="H28">
        <v>16.489999999999998</v>
      </c>
      <c r="I28">
        <v>23.63</v>
      </c>
      <c r="J28">
        <v>-160024</v>
      </c>
      <c r="K28">
        <v>193624</v>
      </c>
      <c r="L28">
        <v>353648</v>
      </c>
      <c r="M28">
        <v>1.05</v>
      </c>
      <c r="N28">
        <v>0.63</v>
      </c>
    </row>
    <row r="29" spans="1:14" x14ac:dyDescent="0.3">
      <c r="A29" t="s">
        <v>38</v>
      </c>
      <c r="B29" t="s">
        <v>168</v>
      </c>
      <c r="C29">
        <v>1.03</v>
      </c>
      <c r="D29">
        <v>2001</v>
      </c>
      <c r="E29" t="s">
        <v>40</v>
      </c>
      <c r="F29">
        <v>788</v>
      </c>
      <c r="G29">
        <v>1564</v>
      </c>
      <c r="H29">
        <v>23.5</v>
      </c>
      <c r="I29">
        <v>35.89</v>
      </c>
      <c r="J29">
        <v>-47182</v>
      </c>
      <c r="K29">
        <v>301182</v>
      </c>
      <c r="L29">
        <v>348364</v>
      </c>
      <c r="M29">
        <v>1.03</v>
      </c>
      <c r="N29">
        <v>0.99</v>
      </c>
    </row>
    <row r="30" spans="1:14" x14ac:dyDescent="0.3">
      <c r="A30" t="s">
        <v>38</v>
      </c>
      <c r="B30" t="s">
        <v>238</v>
      </c>
      <c r="C30">
        <v>0.88</v>
      </c>
      <c r="D30">
        <v>2001</v>
      </c>
      <c r="E30" t="s">
        <v>40</v>
      </c>
      <c r="F30">
        <v>1359</v>
      </c>
      <c r="G30">
        <v>624</v>
      </c>
      <c r="H30">
        <v>40.53</v>
      </c>
      <c r="I30">
        <v>14.32</v>
      </c>
      <c r="J30">
        <v>-85943</v>
      </c>
      <c r="K30">
        <v>209282</v>
      </c>
      <c r="L30">
        <v>295225</v>
      </c>
      <c r="M30">
        <v>0.88</v>
      </c>
      <c r="N30">
        <v>0.69</v>
      </c>
    </row>
    <row r="31" spans="1:14" x14ac:dyDescent="0.3">
      <c r="A31" t="s">
        <v>38</v>
      </c>
      <c r="B31" t="s">
        <v>171</v>
      </c>
      <c r="C31">
        <v>0.77</v>
      </c>
      <c r="D31">
        <v>2001</v>
      </c>
      <c r="E31" t="s">
        <v>40</v>
      </c>
      <c r="F31">
        <v>127</v>
      </c>
      <c r="G31">
        <v>741</v>
      </c>
      <c r="H31">
        <v>3.79</v>
      </c>
      <c r="I31">
        <v>17</v>
      </c>
      <c r="J31">
        <v>-243323</v>
      </c>
      <c r="K31">
        <v>16365</v>
      </c>
      <c r="L31">
        <v>259688</v>
      </c>
      <c r="M31">
        <v>0.77</v>
      </c>
      <c r="N31">
        <v>0.05</v>
      </c>
    </row>
    <row r="32" spans="1:14" x14ac:dyDescent="0.3">
      <c r="A32" t="s">
        <v>38</v>
      </c>
      <c r="B32" t="s">
        <v>56</v>
      </c>
      <c r="C32">
        <v>0.67</v>
      </c>
      <c r="D32">
        <v>2001</v>
      </c>
      <c r="E32" t="s">
        <v>40</v>
      </c>
      <c r="F32">
        <v>213</v>
      </c>
      <c r="G32">
        <v>412</v>
      </c>
      <c r="H32">
        <v>6.35</v>
      </c>
      <c r="I32">
        <v>9.4499999999999993</v>
      </c>
      <c r="J32">
        <v>-169604</v>
      </c>
      <c r="K32">
        <v>56094</v>
      </c>
      <c r="L32">
        <v>225698</v>
      </c>
      <c r="M32">
        <v>0.67</v>
      </c>
      <c r="N32">
        <v>0.18</v>
      </c>
    </row>
    <row r="33" spans="1:14" x14ac:dyDescent="0.3">
      <c r="A33" t="s">
        <v>38</v>
      </c>
      <c r="B33" t="s">
        <v>74</v>
      </c>
      <c r="C33">
        <v>0.57999999999999996</v>
      </c>
      <c r="D33">
        <v>2001</v>
      </c>
      <c r="E33" t="s">
        <v>40</v>
      </c>
      <c r="F33">
        <v>581</v>
      </c>
      <c r="G33">
        <v>1363</v>
      </c>
      <c r="H33">
        <v>17.329999999999998</v>
      </c>
      <c r="I33">
        <v>31.28</v>
      </c>
      <c r="J33">
        <v>-39144</v>
      </c>
      <c r="K33">
        <v>156384</v>
      </c>
      <c r="L33">
        <v>195528</v>
      </c>
      <c r="M33">
        <v>0.57999999999999996</v>
      </c>
      <c r="N33">
        <v>0.51</v>
      </c>
    </row>
    <row r="34" spans="1:14" x14ac:dyDescent="0.3">
      <c r="A34" t="s">
        <v>38</v>
      </c>
      <c r="B34" t="s">
        <v>100</v>
      </c>
      <c r="C34">
        <v>0.56000000000000005</v>
      </c>
      <c r="D34">
        <v>2001</v>
      </c>
      <c r="E34" t="s">
        <v>40</v>
      </c>
      <c r="F34">
        <v>254</v>
      </c>
      <c r="G34">
        <v>566</v>
      </c>
      <c r="H34">
        <v>7.58</v>
      </c>
      <c r="I34">
        <v>12.99</v>
      </c>
      <c r="J34">
        <v>142345</v>
      </c>
      <c r="K34">
        <v>329507</v>
      </c>
      <c r="L34">
        <v>187162</v>
      </c>
      <c r="M34">
        <v>0.56000000000000005</v>
      </c>
      <c r="N34">
        <v>1.08</v>
      </c>
    </row>
    <row r="35" spans="1:14" x14ac:dyDescent="0.3">
      <c r="A35" t="s">
        <v>38</v>
      </c>
      <c r="B35" t="s">
        <v>145</v>
      </c>
      <c r="C35">
        <v>0.56000000000000005</v>
      </c>
      <c r="D35">
        <v>2001</v>
      </c>
      <c r="E35" t="s">
        <v>40</v>
      </c>
      <c r="F35">
        <v>105</v>
      </c>
      <c r="G35">
        <v>237</v>
      </c>
      <c r="H35">
        <v>3.13</v>
      </c>
      <c r="I35">
        <v>5.44</v>
      </c>
      <c r="J35">
        <v>-126182</v>
      </c>
      <c r="K35">
        <v>62483</v>
      </c>
      <c r="L35">
        <v>188665</v>
      </c>
      <c r="M35">
        <v>0.56000000000000005</v>
      </c>
      <c r="N35">
        <v>0.2</v>
      </c>
    </row>
    <row r="36" spans="1:14" x14ac:dyDescent="0.3">
      <c r="A36" t="s">
        <v>38</v>
      </c>
      <c r="B36" t="s">
        <v>174</v>
      </c>
      <c r="C36">
        <v>0.54</v>
      </c>
      <c r="D36">
        <v>2001</v>
      </c>
      <c r="E36" t="s">
        <v>40</v>
      </c>
      <c r="F36">
        <v>350</v>
      </c>
      <c r="G36">
        <v>1080</v>
      </c>
      <c r="H36">
        <v>10.44</v>
      </c>
      <c r="I36">
        <v>24.78</v>
      </c>
      <c r="J36">
        <v>-34110</v>
      </c>
      <c r="K36">
        <v>146896</v>
      </c>
      <c r="L36">
        <v>181006</v>
      </c>
      <c r="M36">
        <v>0.54</v>
      </c>
      <c r="N36">
        <v>0.48</v>
      </c>
    </row>
    <row r="37" spans="1:14" x14ac:dyDescent="0.3">
      <c r="A37" t="s">
        <v>38</v>
      </c>
      <c r="B37" t="s">
        <v>122</v>
      </c>
      <c r="C37">
        <v>0.51</v>
      </c>
      <c r="D37">
        <v>2001</v>
      </c>
      <c r="E37" t="s">
        <v>40</v>
      </c>
      <c r="F37">
        <v>937</v>
      </c>
      <c r="G37">
        <v>1012</v>
      </c>
      <c r="H37">
        <v>27.95</v>
      </c>
      <c r="I37">
        <v>23.22</v>
      </c>
      <c r="J37">
        <v>171151</v>
      </c>
      <c r="K37">
        <v>342377</v>
      </c>
      <c r="L37">
        <v>171226</v>
      </c>
      <c r="M37">
        <v>0.51</v>
      </c>
      <c r="N37">
        <v>1.1200000000000001</v>
      </c>
    </row>
    <row r="38" spans="1:14" x14ac:dyDescent="0.3">
      <c r="A38" t="s">
        <v>38</v>
      </c>
      <c r="B38" t="s">
        <v>231</v>
      </c>
      <c r="C38">
        <v>0.5</v>
      </c>
      <c r="D38">
        <v>2001</v>
      </c>
      <c r="E38" t="s">
        <v>40</v>
      </c>
      <c r="F38">
        <v>1218</v>
      </c>
      <c r="G38">
        <v>1104</v>
      </c>
      <c r="H38">
        <v>36.33</v>
      </c>
      <c r="I38">
        <v>25.33</v>
      </c>
      <c r="J38">
        <v>139544</v>
      </c>
      <c r="K38">
        <v>308454</v>
      </c>
      <c r="L38">
        <v>168910</v>
      </c>
      <c r="M38">
        <v>0.5</v>
      </c>
      <c r="N38">
        <v>1.01</v>
      </c>
    </row>
    <row r="39" spans="1:14" x14ac:dyDescent="0.3">
      <c r="A39" t="s">
        <v>38</v>
      </c>
      <c r="B39" t="s">
        <v>165</v>
      </c>
      <c r="C39">
        <v>0.4</v>
      </c>
      <c r="D39">
        <v>2001</v>
      </c>
      <c r="E39" t="s">
        <v>40</v>
      </c>
      <c r="F39">
        <v>433</v>
      </c>
      <c r="G39">
        <v>423</v>
      </c>
      <c r="H39">
        <v>12.91</v>
      </c>
      <c r="I39">
        <v>9.7100000000000009</v>
      </c>
      <c r="J39">
        <v>-84925</v>
      </c>
      <c r="K39">
        <v>51070</v>
      </c>
      <c r="L39">
        <v>135995</v>
      </c>
      <c r="M39">
        <v>0.4</v>
      </c>
      <c r="N39">
        <v>0.17</v>
      </c>
    </row>
    <row r="40" spans="1:14" x14ac:dyDescent="0.3">
      <c r="A40" t="s">
        <v>38</v>
      </c>
      <c r="B40" t="s">
        <v>95</v>
      </c>
      <c r="C40">
        <v>0.37</v>
      </c>
      <c r="D40">
        <v>2001</v>
      </c>
      <c r="E40" t="s">
        <v>40</v>
      </c>
      <c r="F40">
        <v>224</v>
      </c>
      <c r="G40">
        <v>832</v>
      </c>
      <c r="H40">
        <v>6.68</v>
      </c>
      <c r="I40">
        <v>19.09</v>
      </c>
      <c r="J40">
        <v>-87261</v>
      </c>
      <c r="K40">
        <v>36563</v>
      </c>
      <c r="L40">
        <v>123824</v>
      </c>
      <c r="M40">
        <v>0.37</v>
      </c>
      <c r="N40">
        <v>0.12</v>
      </c>
    </row>
    <row r="41" spans="1:14" x14ac:dyDescent="0.3">
      <c r="A41" t="s">
        <v>38</v>
      </c>
      <c r="B41" t="s">
        <v>98</v>
      </c>
      <c r="C41">
        <v>0.37</v>
      </c>
      <c r="D41">
        <v>2001</v>
      </c>
      <c r="E41" t="s">
        <v>40</v>
      </c>
      <c r="F41">
        <v>98</v>
      </c>
      <c r="G41">
        <v>647</v>
      </c>
      <c r="H41">
        <v>2.92</v>
      </c>
      <c r="I41">
        <v>14.85</v>
      </c>
      <c r="J41">
        <v>-114797</v>
      </c>
      <c r="K41">
        <v>8937</v>
      </c>
      <c r="L41">
        <v>123734</v>
      </c>
      <c r="M41">
        <v>0.37</v>
      </c>
      <c r="N41">
        <v>0.03</v>
      </c>
    </row>
    <row r="42" spans="1:14" x14ac:dyDescent="0.3">
      <c r="A42" t="s">
        <v>38</v>
      </c>
      <c r="B42" t="s">
        <v>123</v>
      </c>
      <c r="C42">
        <v>0.36</v>
      </c>
      <c r="D42">
        <v>2001</v>
      </c>
      <c r="E42" t="s">
        <v>40</v>
      </c>
      <c r="F42">
        <v>162</v>
      </c>
      <c r="G42">
        <v>459</v>
      </c>
      <c r="H42">
        <v>4.83</v>
      </c>
      <c r="I42">
        <v>10.53</v>
      </c>
      <c r="J42">
        <v>-40234</v>
      </c>
      <c r="K42">
        <v>81430</v>
      </c>
      <c r="L42">
        <v>121664</v>
      </c>
      <c r="M42">
        <v>0.36</v>
      </c>
      <c r="N42">
        <v>0.27</v>
      </c>
    </row>
    <row r="43" spans="1:14" x14ac:dyDescent="0.3">
      <c r="A43" t="s">
        <v>38</v>
      </c>
      <c r="B43" t="s">
        <v>149</v>
      </c>
      <c r="C43">
        <v>0.34</v>
      </c>
      <c r="D43">
        <v>2001</v>
      </c>
      <c r="E43" t="s">
        <v>40</v>
      </c>
      <c r="F43">
        <v>260</v>
      </c>
      <c r="G43">
        <v>700</v>
      </c>
      <c r="H43">
        <v>7.75</v>
      </c>
      <c r="I43">
        <v>16.059999999999999</v>
      </c>
      <c r="J43">
        <v>77575</v>
      </c>
      <c r="K43">
        <v>193669</v>
      </c>
      <c r="L43">
        <v>116094</v>
      </c>
      <c r="M43">
        <v>0.34</v>
      </c>
      <c r="N43">
        <v>0.64</v>
      </c>
    </row>
    <row r="44" spans="1:14" x14ac:dyDescent="0.3">
      <c r="A44" t="s">
        <v>38</v>
      </c>
      <c r="B44" t="s">
        <v>200</v>
      </c>
      <c r="C44">
        <v>0.3</v>
      </c>
      <c r="D44">
        <v>2001</v>
      </c>
      <c r="E44" t="s">
        <v>40</v>
      </c>
      <c r="F44">
        <v>247</v>
      </c>
      <c r="G44">
        <v>245</v>
      </c>
      <c r="H44">
        <v>7.37</v>
      </c>
      <c r="I44">
        <v>5.62</v>
      </c>
      <c r="J44">
        <v>-76679</v>
      </c>
      <c r="K44">
        <v>23427</v>
      </c>
      <c r="L44">
        <v>100106</v>
      </c>
      <c r="M44">
        <v>0.3</v>
      </c>
      <c r="N44">
        <v>0.08</v>
      </c>
    </row>
    <row r="45" spans="1:14" x14ac:dyDescent="0.3">
      <c r="A45" t="s">
        <v>38</v>
      </c>
      <c r="B45" t="s">
        <v>155</v>
      </c>
      <c r="C45">
        <v>0.28999999999999998</v>
      </c>
      <c r="D45">
        <v>2001</v>
      </c>
      <c r="E45" t="s">
        <v>40</v>
      </c>
      <c r="F45">
        <v>204</v>
      </c>
      <c r="G45">
        <v>1043</v>
      </c>
      <c r="H45">
        <v>6.08</v>
      </c>
      <c r="I45">
        <v>23.93</v>
      </c>
      <c r="J45">
        <v>-59148</v>
      </c>
      <c r="K45">
        <v>38791</v>
      </c>
      <c r="L45">
        <v>97939</v>
      </c>
      <c r="M45">
        <v>0.28999999999999998</v>
      </c>
      <c r="N45">
        <v>0.13</v>
      </c>
    </row>
    <row r="46" spans="1:14" x14ac:dyDescent="0.3">
      <c r="A46" t="s">
        <v>38</v>
      </c>
      <c r="B46" t="s">
        <v>103</v>
      </c>
      <c r="C46">
        <v>0.28000000000000003</v>
      </c>
      <c r="D46">
        <v>2001</v>
      </c>
      <c r="E46" t="s">
        <v>40</v>
      </c>
      <c r="F46">
        <v>432</v>
      </c>
      <c r="G46">
        <v>632</v>
      </c>
      <c r="H46">
        <v>12.88</v>
      </c>
      <c r="I46">
        <v>14.5</v>
      </c>
      <c r="J46">
        <v>-5126</v>
      </c>
      <c r="K46">
        <v>88093</v>
      </c>
      <c r="L46">
        <v>93219</v>
      </c>
      <c r="M46">
        <v>0.28000000000000003</v>
      </c>
      <c r="N46">
        <v>0.28999999999999998</v>
      </c>
    </row>
    <row r="47" spans="1:14" x14ac:dyDescent="0.3">
      <c r="A47" t="s">
        <v>38</v>
      </c>
      <c r="B47" t="s">
        <v>186</v>
      </c>
      <c r="C47">
        <v>0.28000000000000003</v>
      </c>
      <c r="D47">
        <v>2001</v>
      </c>
      <c r="E47" t="s">
        <v>40</v>
      </c>
      <c r="F47">
        <v>156</v>
      </c>
      <c r="G47">
        <v>258</v>
      </c>
      <c r="H47">
        <v>4.6500000000000004</v>
      </c>
      <c r="I47">
        <v>5.92</v>
      </c>
      <c r="J47">
        <v>-64131</v>
      </c>
      <c r="K47">
        <v>31500</v>
      </c>
      <c r="L47">
        <v>95631</v>
      </c>
      <c r="M47">
        <v>0.28000000000000003</v>
      </c>
      <c r="N47">
        <v>0.1</v>
      </c>
    </row>
    <row r="48" spans="1:14" x14ac:dyDescent="0.3">
      <c r="A48" t="s">
        <v>38</v>
      </c>
      <c r="B48" t="s">
        <v>59</v>
      </c>
      <c r="C48">
        <v>0.2</v>
      </c>
      <c r="D48">
        <v>2001</v>
      </c>
      <c r="E48" t="s">
        <v>40</v>
      </c>
      <c r="F48">
        <v>371</v>
      </c>
      <c r="G48">
        <v>704</v>
      </c>
      <c r="H48">
        <v>11.06</v>
      </c>
      <c r="I48">
        <v>16.149999999999999</v>
      </c>
      <c r="J48">
        <v>-22380</v>
      </c>
      <c r="K48">
        <v>45507</v>
      </c>
      <c r="L48">
        <v>67887</v>
      </c>
      <c r="M48">
        <v>0.2</v>
      </c>
      <c r="N48">
        <v>0.15</v>
      </c>
    </row>
    <row r="49" spans="1:14" x14ac:dyDescent="0.3">
      <c r="A49" t="s">
        <v>38</v>
      </c>
      <c r="B49" t="s">
        <v>99</v>
      </c>
      <c r="C49">
        <v>0.2</v>
      </c>
      <c r="D49">
        <v>2001</v>
      </c>
      <c r="E49" t="s">
        <v>40</v>
      </c>
      <c r="F49">
        <v>144</v>
      </c>
      <c r="G49">
        <v>931</v>
      </c>
      <c r="H49">
        <v>4.29</v>
      </c>
      <c r="I49">
        <v>21.36</v>
      </c>
      <c r="J49">
        <v>-42086</v>
      </c>
      <c r="K49">
        <v>25782</v>
      </c>
      <c r="L49">
        <v>67868</v>
      </c>
      <c r="M49">
        <v>0.2</v>
      </c>
      <c r="N49">
        <v>0.08</v>
      </c>
    </row>
    <row r="50" spans="1:14" x14ac:dyDescent="0.3">
      <c r="A50" t="s">
        <v>38</v>
      </c>
      <c r="B50" t="s">
        <v>213</v>
      </c>
      <c r="C50">
        <v>0.18</v>
      </c>
      <c r="D50">
        <v>2001</v>
      </c>
      <c r="E50" t="s">
        <v>40</v>
      </c>
      <c r="F50">
        <v>1620</v>
      </c>
      <c r="G50">
        <v>438</v>
      </c>
      <c r="H50">
        <v>48.31</v>
      </c>
      <c r="I50">
        <v>10.050000000000001</v>
      </c>
      <c r="J50">
        <v>167441</v>
      </c>
      <c r="K50">
        <v>227352</v>
      </c>
      <c r="L50">
        <v>59911</v>
      </c>
      <c r="M50">
        <v>0.18</v>
      </c>
      <c r="N50">
        <v>0.75</v>
      </c>
    </row>
    <row r="51" spans="1:14" x14ac:dyDescent="0.3">
      <c r="A51" t="s">
        <v>38</v>
      </c>
      <c r="B51" t="s">
        <v>91</v>
      </c>
      <c r="C51">
        <v>0.17</v>
      </c>
      <c r="D51">
        <v>2001</v>
      </c>
      <c r="E51" t="s">
        <v>40</v>
      </c>
      <c r="F51">
        <v>445</v>
      </c>
      <c r="G51">
        <v>642</v>
      </c>
      <c r="H51">
        <v>13.27</v>
      </c>
      <c r="I51">
        <v>14.73</v>
      </c>
      <c r="J51">
        <v>60732</v>
      </c>
      <c r="K51">
        <v>117317</v>
      </c>
      <c r="L51">
        <v>56585</v>
      </c>
      <c r="M51">
        <v>0.17</v>
      </c>
      <c r="N51">
        <v>0.38</v>
      </c>
    </row>
    <row r="52" spans="1:14" x14ac:dyDescent="0.3">
      <c r="A52" t="s">
        <v>38</v>
      </c>
      <c r="B52" t="s">
        <v>159</v>
      </c>
      <c r="C52">
        <v>0.16</v>
      </c>
      <c r="D52">
        <v>2001</v>
      </c>
      <c r="E52" t="s">
        <v>40</v>
      </c>
      <c r="F52">
        <v>1754</v>
      </c>
      <c r="G52">
        <v>489</v>
      </c>
      <c r="H52">
        <v>52.31</v>
      </c>
      <c r="I52">
        <v>11.22</v>
      </c>
      <c r="J52">
        <v>139783</v>
      </c>
      <c r="K52">
        <v>195209</v>
      </c>
      <c r="L52">
        <v>55426</v>
      </c>
      <c r="M52">
        <v>0.16</v>
      </c>
      <c r="N52">
        <v>0.64</v>
      </c>
    </row>
    <row r="53" spans="1:14" x14ac:dyDescent="0.3">
      <c r="A53" t="s">
        <v>38</v>
      </c>
      <c r="B53" t="s">
        <v>49</v>
      </c>
      <c r="C53">
        <v>0.13</v>
      </c>
      <c r="D53">
        <v>2001</v>
      </c>
      <c r="E53" t="s">
        <v>40</v>
      </c>
      <c r="F53">
        <v>974</v>
      </c>
      <c r="G53">
        <v>536</v>
      </c>
      <c r="H53">
        <v>29.05</v>
      </c>
      <c r="I53">
        <v>12.3</v>
      </c>
      <c r="J53">
        <v>63443</v>
      </c>
      <c r="K53">
        <v>105659</v>
      </c>
      <c r="L53">
        <v>42216</v>
      </c>
      <c r="M53">
        <v>0.13</v>
      </c>
      <c r="N53">
        <v>0.35</v>
      </c>
    </row>
    <row r="54" spans="1:14" x14ac:dyDescent="0.3">
      <c r="A54" t="s">
        <v>38</v>
      </c>
      <c r="B54" t="s">
        <v>137</v>
      </c>
      <c r="C54">
        <v>0.13</v>
      </c>
      <c r="D54">
        <v>2001</v>
      </c>
      <c r="E54" t="s">
        <v>40</v>
      </c>
      <c r="F54">
        <v>279</v>
      </c>
      <c r="G54">
        <v>420</v>
      </c>
      <c r="H54">
        <v>8.32</v>
      </c>
      <c r="I54">
        <v>9.64</v>
      </c>
      <c r="J54">
        <v>6554</v>
      </c>
      <c r="K54">
        <v>51439</v>
      </c>
      <c r="L54">
        <v>44885</v>
      </c>
      <c r="M54">
        <v>0.13</v>
      </c>
      <c r="N54">
        <v>0.17</v>
      </c>
    </row>
    <row r="55" spans="1:14" x14ac:dyDescent="0.3">
      <c r="A55" t="s">
        <v>38</v>
      </c>
      <c r="B55" t="s">
        <v>234</v>
      </c>
      <c r="C55">
        <v>0.12</v>
      </c>
      <c r="D55">
        <v>2001</v>
      </c>
      <c r="E55" t="s">
        <v>40</v>
      </c>
      <c r="F55">
        <v>30</v>
      </c>
      <c r="G55">
        <v>8</v>
      </c>
      <c r="H55">
        <v>0.89</v>
      </c>
      <c r="I55">
        <v>0.18</v>
      </c>
      <c r="J55">
        <v>-38795</v>
      </c>
      <c r="K55">
        <v>1399</v>
      </c>
      <c r="L55">
        <v>40194</v>
      </c>
      <c r="M55">
        <v>0.12</v>
      </c>
      <c r="N55">
        <v>0</v>
      </c>
    </row>
    <row r="56" spans="1:14" x14ac:dyDescent="0.3">
      <c r="A56" t="s">
        <v>38</v>
      </c>
      <c r="B56" t="s">
        <v>182</v>
      </c>
      <c r="C56">
        <v>0.1</v>
      </c>
      <c r="D56">
        <v>2001</v>
      </c>
      <c r="E56" t="s">
        <v>40</v>
      </c>
      <c r="F56">
        <v>89</v>
      </c>
      <c r="G56">
        <v>290</v>
      </c>
      <c r="H56">
        <v>2.65</v>
      </c>
      <c r="I56">
        <v>6.65</v>
      </c>
      <c r="J56">
        <v>-18206</v>
      </c>
      <c r="K56">
        <v>14830</v>
      </c>
      <c r="L56">
        <v>33036</v>
      </c>
      <c r="M56">
        <v>0.1</v>
      </c>
      <c r="N56">
        <v>0.05</v>
      </c>
    </row>
    <row r="57" spans="1:14" x14ac:dyDescent="0.3">
      <c r="A57" t="s">
        <v>38</v>
      </c>
      <c r="B57" t="s">
        <v>125</v>
      </c>
      <c r="C57">
        <v>0.09</v>
      </c>
      <c r="D57">
        <v>2001</v>
      </c>
      <c r="E57" t="s">
        <v>40</v>
      </c>
      <c r="F57">
        <v>126</v>
      </c>
      <c r="G57">
        <v>71</v>
      </c>
      <c r="H57">
        <v>3.76</v>
      </c>
      <c r="I57">
        <v>1.63</v>
      </c>
      <c r="J57">
        <v>-24468</v>
      </c>
      <c r="K57">
        <v>5948</v>
      </c>
      <c r="L57">
        <v>30416</v>
      </c>
      <c r="M57">
        <v>0.09</v>
      </c>
      <c r="N57">
        <v>0.02</v>
      </c>
    </row>
    <row r="58" spans="1:14" x14ac:dyDescent="0.3">
      <c r="A58" t="s">
        <v>38</v>
      </c>
      <c r="B58" t="s">
        <v>46</v>
      </c>
      <c r="C58">
        <v>0.08</v>
      </c>
      <c r="D58">
        <v>2001</v>
      </c>
      <c r="E58" t="s">
        <v>40</v>
      </c>
      <c r="F58">
        <v>225</v>
      </c>
      <c r="G58">
        <v>204</v>
      </c>
      <c r="H58">
        <v>6.71</v>
      </c>
      <c r="I58">
        <v>4.68</v>
      </c>
      <c r="J58">
        <v>-4448</v>
      </c>
      <c r="K58">
        <v>24024</v>
      </c>
      <c r="L58">
        <v>28472</v>
      </c>
      <c r="M58">
        <v>0.08</v>
      </c>
      <c r="N58">
        <v>0.08</v>
      </c>
    </row>
    <row r="59" spans="1:14" x14ac:dyDescent="0.3">
      <c r="A59" t="s">
        <v>38</v>
      </c>
      <c r="B59" t="s">
        <v>219</v>
      </c>
      <c r="C59">
        <v>7.0000000000000007E-2</v>
      </c>
      <c r="D59">
        <v>2001</v>
      </c>
      <c r="E59" t="s">
        <v>40</v>
      </c>
      <c r="F59">
        <v>129</v>
      </c>
      <c r="G59">
        <v>261</v>
      </c>
      <c r="H59">
        <v>3.85</v>
      </c>
      <c r="I59">
        <v>5.99</v>
      </c>
      <c r="J59">
        <v>-7204</v>
      </c>
      <c r="K59">
        <v>17430</v>
      </c>
      <c r="L59">
        <v>24634</v>
      </c>
      <c r="M59">
        <v>7.0000000000000007E-2</v>
      </c>
      <c r="N59">
        <v>0.06</v>
      </c>
    </row>
    <row r="60" spans="1:14" x14ac:dyDescent="0.3">
      <c r="A60" t="s">
        <v>38</v>
      </c>
      <c r="B60" t="s">
        <v>44</v>
      </c>
      <c r="C60">
        <v>0.06</v>
      </c>
      <c r="D60">
        <v>2001</v>
      </c>
      <c r="E60" t="s">
        <v>40</v>
      </c>
      <c r="F60">
        <v>102</v>
      </c>
      <c r="G60">
        <v>117</v>
      </c>
      <c r="H60">
        <v>3.04</v>
      </c>
      <c r="I60">
        <v>2.68</v>
      </c>
      <c r="J60">
        <v>-13321</v>
      </c>
      <c r="K60">
        <v>7812</v>
      </c>
      <c r="L60">
        <v>21133</v>
      </c>
      <c r="M60">
        <v>0.06</v>
      </c>
      <c r="N60">
        <v>0.03</v>
      </c>
    </row>
    <row r="61" spans="1:14" x14ac:dyDescent="0.3">
      <c r="A61" t="s">
        <v>38</v>
      </c>
      <c r="B61" t="s">
        <v>206</v>
      </c>
      <c r="C61">
        <v>0.06</v>
      </c>
      <c r="D61">
        <v>2001</v>
      </c>
      <c r="E61" t="s">
        <v>40</v>
      </c>
      <c r="F61">
        <v>369</v>
      </c>
      <c r="G61">
        <v>125</v>
      </c>
      <c r="H61">
        <v>11.01</v>
      </c>
      <c r="I61">
        <v>2.87</v>
      </c>
      <c r="J61">
        <v>10211</v>
      </c>
      <c r="K61">
        <v>30280</v>
      </c>
      <c r="L61">
        <v>20069</v>
      </c>
      <c r="M61">
        <v>0.06</v>
      </c>
      <c r="N61">
        <v>0.1</v>
      </c>
    </row>
    <row r="62" spans="1:14" x14ac:dyDescent="0.3">
      <c r="A62" t="s">
        <v>38</v>
      </c>
      <c r="B62" t="s">
        <v>173</v>
      </c>
      <c r="C62">
        <v>0.06</v>
      </c>
      <c r="D62">
        <v>2001</v>
      </c>
      <c r="E62" t="s">
        <v>40</v>
      </c>
      <c r="F62">
        <v>138</v>
      </c>
      <c r="G62">
        <v>183</v>
      </c>
      <c r="H62">
        <v>4.12</v>
      </c>
      <c r="I62">
        <v>4.2</v>
      </c>
      <c r="J62">
        <v>-9398</v>
      </c>
      <c r="K62">
        <v>9146</v>
      </c>
      <c r="L62">
        <v>18544</v>
      </c>
      <c r="M62">
        <v>0.06</v>
      </c>
      <c r="N62">
        <v>0.03</v>
      </c>
    </row>
    <row r="63" spans="1:14" x14ac:dyDescent="0.3">
      <c r="A63" t="s">
        <v>38</v>
      </c>
      <c r="B63" t="s">
        <v>142</v>
      </c>
      <c r="C63">
        <v>0.05</v>
      </c>
      <c r="D63">
        <v>2001</v>
      </c>
      <c r="E63" t="s">
        <v>40</v>
      </c>
      <c r="F63">
        <v>63</v>
      </c>
      <c r="G63">
        <v>214</v>
      </c>
      <c r="H63">
        <v>1.88</v>
      </c>
      <c r="I63">
        <v>4.91</v>
      </c>
      <c r="J63">
        <v>-9897</v>
      </c>
      <c r="K63">
        <v>7515</v>
      </c>
      <c r="L63">
        <v>17412</v>
      </c>
      <c r="M63">
        <v>0.05</v>
      </c>
      <c r="N63">
        <v>0.02</v>
      </c>
    </row>
    <row r="64" spans="1:14" x14ac:dyDescent="0.3">
      <c r="A64" t="s">
        <v>38</v>
      </c>
      <c r="B64" t="s">
        <v>144</v>
      </c>
      <c r="C64">
        <v>0.05</v>
      </c>
      <c r="D64">
        <v>2001</v>
      </c>
      <c r="E64" t="s">
        <v>40</v>
      </c>
      <c r="F64">
        <v>40</v>
      </c>
      <c r="G64">
        <v>45</v>
      </c>
      <c r="H64">
        <v>1.19</v>
      </c>
      <c r="I64">
        <v>1.03</v>
      </c>
      <c r="J64">
        <v>-17076</v>
      </c>
      <c r="K64">
        <v>892</v>
      </c>
      <c r="L64">
        <v>17968</v>
      </c>
      <c r="M64">
        <v>0.05</v>
      </c>
      <c r="N64">
        <v>0</v>
      </c>
    </row>
    <row r="65" spans="1:14" x14ac:dyDescent="0.3">
      <c r="A65" t="s">
        <v>38</v>
      </c>
      <c r="B65" t="s">
        <v>214</v>
      </c>
      <c r="C65">
        <v>0.04</v>
      </c>
      <c r="D65">
        <v>2001</v>
      </c>
      <c r="E65" t="s">
        <v>40</v>
      </c>
      <c r="F65">
        <v>491</v>
      </c>
      <c r="G65">
        <v>20</v>
      </c>
      <c r="H65">
        <v>14.64</v>
      </c>
      <c r="I65">
        <v>0.46</v>
      </c>
      <c r="J65">
        <v>13879</v>
      </c>
      <c r="K65">
        <v>27716</v>
      </c>
      <c r="L65">
        <v>13837</v>
      </c>
      <c r="M65">
        <v>0.04</v>
      </c>
      <c r="N65">
        <v>0.09</v>
      </c>
    </row>
    <row r="66" spans="1:14" x14ac:dyDescent="0.3">
      <c r="A66" t="s">
        <v>38</v>
      </c>
      <c r="B66" t="s">
        <v>218</v>
      </c>
      <c r="C66">
        <v>0.04</v>
      </c>
      <c r="D66">
        <v>2001</v>
      </c>
      <c r="E66" t="s">
        <v>40</v>
      </c>
      <c r="F66">
        <v>541</v>
      </c>
      <c r="G66">
        <v>186</v>
      </c>
      <c r="H66">
        <v>16.13</v>
      </c>
      <c r="I66">
        <v>4.2699999999999996</v>
      </c>
      <c r="J66">
        <v>45505</v>
      </c>
      <c r="K66">
        <v>58435</v>
      </c>
      <c r="L66">
        <v>12930</v>
      </c>
      <c r="M66">
        <v>0.04</v>
      </c>
      <c r="N66">
        <v>0.19</v>
      </c>
    </row>
    <row r="67" spans="1:14" x14ac:dyDescent="0.3">
      <c r="A67" t="s">
        <v>38</v>
      </c>
      <c r="B67" t="s">
        <v>120</v>
      </c>
      <c r="C67">
        <v>0.03</v>
      </c>
      <c r="D67">
        <v>2001</v>
      </c>
      <c r="E67" t="s">
        <v>40</v>
      </c>
      <c r="F67">
        <v>65</v>
      </c>
      <c r="G67">
        <v>210</v>
      </c>
      <c r="H67">
        <v>1.94</v>
      </c>
      <c r="I67">
        <v>4.82</v>
      </c>
      <c r="J67">
        <v>-1184</v>
      </c>
      <c r="K67">
        <v>9858</v>
      </c>
      <c r="L67">
        <v>11042</v>
      </c>
      <c r="M67">
        <v>0.03</v>
      </c>
      <c r="N67">
        <v>0.03</v>
      </c>
    </row>
    <row r="68" spans="1:14" x14ac:dyDescent="0.3">
      <c r="A68" t="s">
        <v>38</v>
      </c>
      <c r="B68" t="s">
        <v>48</v>
      </c>
      <c r="C68">
        <v>0.02</v>
      </c>
      <c r="D68">
        <v>2001</v>
      </c>
      <c r="E68" t="s">
        <v>40</v>
      </c>
      <c r="F68">
        <v>20</v>
      </c>
      <c r="G68">
        <v>106</v>
      </c>
      <c r="H68">
        <v>0.6</v>
      </c>
      <c r="I68">
        <v>2.4300000000000002</v>
      </c>
      <c r="J68">
        <v>-3821</v>
      </c>
      <c r="K68">
        <v>4024</v>
      </c>
      <c r="L68">
        <v>7845</v>
      </c>
      <c r="M68">
        <v>0.02</v>
      </c>
      <c r="N68">
        <v>0.01</v>
      </c>
    </row>
    <row r="69" spans="1:14" x14ac:dyDescent="0.3">
      <c r="A69" t="s">
        <v>38</v>
      </c>
      <c r="B69" t="s">
        <v>199</v>
      </c>
      <c r="C69">
        <v>0.02</v>
      </c>
      <c r="D69">
        <v>2001</v>
      </c>
      <c r="E69" t="s">
        <v>40</v>
      </c>
      <c r="F69">
        <v>1205</v>
      </c>
      <c r="G69">
        <v>87</v>
      </c>
      <c r="H69">
        <v>35.94</v>
      </c>
      <c r="I69">
        <v>2</v>
      </c>
      <c r="J69">
        <v>206432</v>
      </c>
      <c r="K69">
        <v>211930</v>
      </c>
      <c r="L69">
        <v>5498</v>
      </c>
      <c r="M69">
        <v>0.02</v>
      </c>
      <c r="N69">
        <v>0.69</v>
      </c>
    </row>
    <row r="70" spans="1:14" x14ac:dyDescent="0.3">
      <c r="A70" t="s">
        <v>38</v>
      </c>
      <c r="B70" t="s">
        <v>63</v>
      </c>
      <c r="C70">
        <v>0.02</v>
      </c>
      <c r="D70">
        <v>2001</v>
      </c>
      <c r="E70" t="s">
        <v>40</v>
      </c>
      <c r="F70">
        <v>16</v>
      </c>
      <c r="G70">
        <v>15</v>
      </c>
      <c r="H70">
        <v>0.48</v>
      </c>
      <c r="I70">
        <v>0.34</v>
      </c>
      <c r="J70">
        <v>-4979</v>
      </c>
      <c r="K70">
        <v>457</v>
      </c>
      <c r="L70">
        <v>5436</v>
      </c>
      <c r="M70">
        <v>0.02</v>
      </c>
      <c r="N70">
        <v>0</v>
      </c>
    </row>
    <row r="71" spans="1:14" x14ac:dyDescent="0.3">
      <c r="A71" t="s">
        <v>38</v>
      </c>
      <c r="B71" t="s">
        <v>79</v>
      </c>
      <c r="C71">
        <v>0.02</v>
      </c>
      <c r="D71">
        <v>2001</v>
      </c>
      <c r="E71" t="s">
        <v>40</v>
      </c>
      <c r="F71">
        <v>26</v>
      </c>
      <c r="G71">
        <v>49</v>
      </c>
      <c r="H71">
        <v>0.78</v>
      </c>
      <c r="I71">
        <v>1.1200000000000001</v>
      </c>
      <c r="J71">
        <v>-4645</v>
      </c>
      <c r="K71">
        <v>1105</v>
      </c>
      <c r="L71">
        <v>5750</v>
      </c>
      <c r="M71">
        <v>0.02</v>
      </c>
      <c r="N71">
        <v>0</v>
      </c>
    </row>
    <row r="72" spans="1:14" x14ac:dyDescent="0.3">
      <c r="A72" t="s">
        <v>38</v>
      </c>
      <c r="B72" t="s">
        <v>101</v>
      </c>
      <c r="C72">
        <v>0.02</v>
      </c>
      <c r="D72">
        <v>2001</v>
      </c>
      <c r="E72" t="s">
        <v>40</v>
      </c>
      <c r="F72">
        <v>116</v>
      </c>
      <c r="G72">
        <v>83</v>
      </c>
      <c r="H72">
        <v>3.46</v>
      </c>
      <c r="I72">
        <v>1.9</v>
      </c>
      <c r="J72">
        <v>39091</v>
      </c>
      <c r="K72">
        <v>45489</v>
      </c>
      <c r="L72">
        <v>6398</v>
      </c>
      <c r="M72">
        <v>0.02</v>
      </c>
      <c r="N72">
        <v>0.15</v>
      </c>
    </row>
    <row r="73" spans="1:14" x14ac:dyDescent="0.3">
      <c r="A73" t="s">
        <v>38</v>
      </c>
      <c r="B73" t="s">
        <v>130</v>
      </c>
      <c r="C73">
        <v>0.02</v>
      </c>
      <c r="D73">
        <v>2001</v>
      </c>
      <c r="E73" t="s">
        <v>40</v>
      </c>
      <c r="F73">
        <v>2</v>
      </c>
      <c r="G73">
        <v>9</v>
      </c>
      <c r="H73">
        <v>0.06</v>
      </c>
      <c r="I73">
        <v>0.21</v>
      </c>
      <c r="J73">
        <v>-6883</v>
      </c>
      <c r="K73">
        <v>122</v>
      </c>
      <c r="L73">
        <v>7005</v>
      </c>
      <c r="M73">
        <v>0.02</v>
      </c>
      <c r="N73">
        <v>0</v>
      </c>
    </row>
    <row r="74" spans="1:14" x14ac:dyDescent="0.3">
      <c r="A74" t="s">
        <v>38</v>
      </c>
      <c r="B74" t="s">
        <v>176</v>
      </c>
      <c r="C74">
        <v>0.02</v>
      </c>
      <c r="D74">
        <v>2001</v>
      </c>
      <c r="E74" t="s">
        <v>40</v>
      </c>
      <c r="F74">
        <v>12</v>
      </c>
      <c r="G74">
        <v>10</v>
      </c>
      <c r="H74">
        <v>0.36</v>
      </c>
      <c r="I74">
        <v>0.23</v>
      </c>
      <c r="J74">
        <v>-6100</v>
      </c>
      <c r="K74">
        <v>481</v>
      </c>
      <c r="L74">
        <v>6581</v>
      </c>
      <c r="M74">
        <v>0.02</v>
      </c>
      <c r="N74">
        <v>0</v>
      </c>
    </row>
    <row r="75" spans="1:14" x14ac:dyDescent="0.3">
      <c r="A75" t="s">
        <v>38</v>
      </c>
      <c r="B75" t="s">
        <v>239</v>
      </c>
      <c r="C75">
        <v>0.02</v>
      </c>
      <c r="D75">
        <v>2001</v>
      </c>
      <c r="E75" t="s">
        <v>40</v>
      </c>
      <c r="F75">
        <v>93</v>
      </c>
      <c r="G75">
        <v>8</v>
      </c>
      <c r="H75">
        <v>2.77</v>
      </c>
      <c r="I75">
        <v>0.18</v>
      </c>
      <c r="J75">
        <v>-2504</v>
      </c>
      <c r="K75">
        <v>5751</v>
      </c>
      <c r="L75">
        <v>8255</v>
      </c>
      <c r="M75">
        <v>0.02</v>
      </c>
      <c r="N75">
        <v>0.02</v>
      </c>
    </row>
    <row r="76" spans="1:14" x14ac:dyDescent="0.3">
      <c r="A76" t="s">
        <v>38</v>
      </c>
      <c r="B76" t="s">
        <v>202</v>
      </c>
      <c r="C76">
        <v>0.01</v>
      </c>
      <c r="D76">
        <v>2001</v>
      </c>
      <c r="E76" t="s">
        <v>40</v>
      </c>
      <c r="F76">
        <v>3</v>
      </c>
      <c r="G76">
        <v>3</v>
      </c>
      <c r="H76">
        <v>0.09</v>
      </c>
      <c r="I76">
        <v>7.0000000000000007E-2</v>
      </c>
      <c r="J76">
        <v>-2807</v>
      </c>
      <c r="K76">
        <v>36</v>
      </c>
      <c r="L76">
        <v>2843</v>
      </c>
      <c r="M76">
        <v>0.01</v>
      </c>
      <c r="N76">
        <v>0</v>
      </c>
    </row>
    <row r="77" spans="1:14" x14ac:dyDescent="0.3">
      <c r="A77" t="s">
        <v>38</v>
      </c>
      <c r="B77" t="s">
        <v>61</v>
      </c>
      <c r="C77">
        <v>0.01</v>
      </c>
      <c r="D77">
        <v>2001</v>
      </c>
      <c r="E77" t="s">
        <v>40</v>
      </c>
      <c r="F77">
        <v>58</v>
      </c>
      <c r="G77">
        <v>37</v>
      </c>
      <c r="H77">
        <v>1.73</v>
      </c>
      <c r="I77">
        <v>0.85</v>
      </c>
      <c r="J77">
        <v>1169</v>
      </c>
      <c r="K77">
        <v>3421</v>
      </c>
      <c r="L77">
        <v>2252</v>
      </c>
      <c r="M77">
        <v>0.01</v>
      </c>
      <c r="N77">
        <v>0.01</v>
      </c>
    </row>
    <row r="78" spans="1:14" x14ac:dyDescent="0.3">
      <c r="A78" t="s">
        <v>38</v>
      </c>
      <c r="B78" t="s">
        <v>66</v>
      </c>
      <c r="C78">
        <v>0.01</v>
      </c>
      <c r="D78">
        <v>2001</v>
      </c>
      <c r="E78" t="s">
        <v>40</v>
      </c>
      <c r="F78">
        <v>41</v>
      </c>
      <c r="G78">
        <v>27</v>
      </c>
      <c r="H78">
        <v>1.22</v>
      </c>
      <c r="I78">
        <v>0.62</v>
      </c>
      <c r="J78">
        <v>-2449</v>
      </c>
      <c r="K78">
        <v>1708</v>
      </c>
      <c r="L78">
        <v>4157</v>
      </c>
      <c r="M78">
        <v>0.01</v>
      </c>
      <c r="N78">
        <v>0.01</v>
      </c>
    </row>
    <row r="79" spans="1:14" x14ac:dyDescent="0.3">
      <c r="A79" t="s">
        <v>38</v>
      </c>
      <c r="B79" t="s">
        <v>68</v>
      </c>
      <c r="C79">
        <v>0.01</v>
      </c>
      <c r="D79">
        <v>2001</v>
      </c>
      <c r="E79" t="s">
        <v>40</v>
      </c>
      <c r="F79">
        <v>22</v>
      </c>
      <c r="G79">
        <v>48</v>
      </c>
      <c r="H79">
        <v>0.66</v>
      </c>
      <c r="I79">
        <v>1.1000000000000001</v>
      </c>
      <c r="J79">
        <v>-2099</v>
      </c>
      <c r="K79">
        <v>343</v>
      </c>
      <c r="L79">
        <v>2442</v>
      </c>
      <c r="M79">
        <v>0.01</v>
      </c>
      <c r="N79">
        <v>0</v>
      </c>
    </row>
    <row r="80" spans="1:14" x14ac:dyDescent="0.3">
      <c r="A80" t="s">
        <v>38</v>
      </c>
      <c r="B80" t="s">
        <v>71</v>
      </c>
      <c r="C80">
        <v>0.01</v>
      </c>
      <c r="D80">
        <v>2001</v>
      </c>
      <c r="E80" t="s">
        <v>40</v>
      </c>
      <c r="F80">
        <v>308</v>
      </c>
      <c r="G80">
        <v>25</v>
      </c>
      <c r="H80">
        <v>9.19</v>
      </c>
      <c r="I80">
        <v>0.56999999999999995</v>
      </c>
      <c r="J80">
        <v>19511</v>
      </c>
      <c r="K80">
        <v>21709</v>
      </c>
      <c r="L80">
        <v>2198</v>
      </c>
      <c r="M80">
        <v>0.01</v>
      </c>
      <c r="N80">
        <v>7.0000000000000007E-2</v>
      </c>
    </row>
    <row r="81" spans="1:14" x14ac:dyDescent="0.3">
      <c r="A81" t="s">
        <v>38</v>
      </c>
      <c r="B81" t="s">
        <v>80</v>
      </c>
      <c r="C81">
        <v>0.01</v>
      </c>
      <c r="D81">
        <v>2001</v>
      </c>
      <c r="E81" t="s">
        <v>40</v>
      </c>
      <c r="F81">
        <v>154</v>
      </c>
      <c r="G81">
        <v>130</v>
      </c>
      <c r="H81">
        <v>4.59</v>
      </c>
      <c r="I81">
        <v>2.98</v>
      </c>
      <c r="J81">
        <v>21982</v>
      </c>
      <c r="K81">
        <v>26864</v>
      </c>
      <c r="L81">
        <v>4882</v>
      </c>
      <c r="M81">
        <v>0.01</v>
      </c>
      <c r="N81">
        <v>0.09</v>
      </c>
    </row>
    <row r="82" spans="1:14" x14ac:dyDescent="0.3">
      <c r="A82" t="s">
        <v>38</v>
      </c>
      <c r="B82" t="s">
        <v>89</v>
      </c>
      <c r="C82">
        <v>0.01</v>
      </c>
      <c r="D82">
        <v>2001</v>
      </c>
      <c r="E82" t="s">
        <v>40</v>
      </c>
      <c r="F82">
        <v>19</v>
      </c>
      <c r="G82">
        <v>3</v>
      </c>
      <c r="H82">
        <v>0.56999999999999995</v>
      </c>
      <c r="I82">
        <v>7.0000000000000007E-2</v>
      </c>
      <c r="J82">
        <v>-2130</v>
      </c>
      <c r="K82">
        <v>286</v>
      </c>
      <c r="L82">
        <v>2416</v>
      </c>
      <c r="M82">
        <v>0.01</v>
      </c>
      <c r="N82">
        <v>0</v>
      </c>
    </row>
    <row r="83" spans="1:14" x14ac:dyDescent="0.3">
      <c r="A83" t="s">
        <v>38</v>
      </c>
      <c r="B83" t="s">
        <v>118</v>
      </c>
      <c r="C83">
        <v>0.01</v>
      </c>
      <c r="D83">
        <v>2001</v>
      </c>
      <c r="E83" t="s">
        <v>40</v>
      </c>
      <c r="F83">
        <v>36</v>
      </c>
      <c r="G83">
        <v>124</v>
      </c>
      <c r="H83">
        <v>1.07</v>
      </c>
      <c r="I83">
        <v>2.85</v>
      </c>
      <c r="J83">
        <v>-3324</v>
      </c>
      <c r="K83">
        <v>1267</v>
      </c>
      <c r="L83">
        <v>4591</v>
      </c>
      <c r="M83">
        <v>0.01</v>
      </c>
      <c r="N83">
        <v>0</v>
      </c>
    </row>
    <row r="84" spans="1:14" x14ac:dyDescent="0.3">
      <c r="A84" t="s">
        <v>38</v>
      </c>
      <c r="B84" t="s">
        <v>220</v>
      </c>
      <c r="C84">
        <v>0.01</v>
      </c>
      <c r="D84">
        <v>2001</v>
      </c>
      <c r="E84" t="s">
        <v>40</v>
      </c>
      <c r="F84">
        <v>358</v>
      </c>
      <c r="G84">
        <v>101</v>
      </c>
      <c r="H84">
        <v>10.68</v>
      </c>
      <c r="I84">
        <v>2.3199999999999998</v>
      </c>
      <c r="J84">
        <v>27531</v>
      </c>
      <c r="K84">
        <v>31665</v>
      </c>
      <c r="L84">
        <v>4134</v>
      </c>
      <c r="M84">
        <v>0.01</v>
      </c>
      <c r="N84">
        <v>0.1</v>
      </c>
    </row>
    <row r="85" spans="1:14" x14ac:dyDescent="0.3">
      <c r="A85" t="s">
        <v>38</v>
      </c>
      <c r="B85" t="s">
        <v>221</v>
      </c>
      <c r="C85">
        <v>0.01</v>
      </c>
      <c r="D85">
        <v>2001</v>
      </c>
      <c r="E85" t="s">
        <v>40</v>
      </c>
      <c r="F85">
        <v>455</v>
      </c>
      <c r="G85">
        <v>58</v>
      </c>
      <c r="H85">
        <v>13.57</v>
      </c>
      <c r="I85">
        <v>1.33</v>
      </c>
      <c r="J85">
        <v>17013</v>
      </c>
      <c r="K85">
        <v>21801</v>
      </c>
      <c r="L85">
        <v>4788</v>
      </c>
      <c r="M85">
        <v>0.01</v>
      </c>
      <c r="N85">
        <v>7.0000000000000007E-2</v>
      </c>
    </row>
    <row r="86" spans="1:14" x14ac:dyDescent="0.3">
      <c r="A86" t="s">
        <v>38</v>
      </c>
      <c r="B86" t="s">
        <v>223</v>
      </c>
      <c r="C86">
        <v>0.01</v>
      </c>
      <c r="D86">
        <v>2001</v>
      </c>
      <c r="E86" t="s">
        <v>40</v>
      </c>
      <c r="F86">
        <v>557</v>
      </c>
      <c r="G86">
        <v>78</v>
      </c>
      <c r="H86">
        <v>16.61</v>
      </c>
      <c r="I86">
        <v>1.79</v>
      </c>
      <c r="J86">
        <v>32903</v>
      </c>
      <c r="K86">
        <v>37046</v>
      </c>
      <c r="L86">
        <v>4143</v>
      </c>
      <c r="M86">
        <v>0.01</v>
      </c>
      <c r="N86">
        <v>0.12</v>
      </c>
    </row>
    <row r="87" spans="1:14" x14ac:dyDescent="0.3">
      <c r="A87" t="s">
        <v>38</v>
      </c>
      <c r="B87" t="s">
        <v>140</v>
      </c>
      <c r="C87">
        <v>0.01</v>
      </c>
      <c r="D87">
        <v>2001</v>
      </c>
      <c r="E87" t="s">
        <v>40</v>
      </c>
      <c r="F87">
        <v>103</v>
      </c>
      <c r="G87">
        <v>143</v>
      </c>
      <c r="H87">
        <v>3.07</v>
      </c>
      <c r="I87">
        <v>3.28</v>
      </c>
      <c r="J87">
        <v>-1530</v>
      </c>
      <c r="K87">
        <v>2805</v>
      </c>
      <c r="L87">
        <v>4335</v>
      </c>
      <c r="M87">
        <v>0.01</v>
      </c>
      <c r="N87">
        <v>0.01</v>
      </c>
    </row>
    <row r="88" spans="1:14" x14ac:dyDescent="0.3">
      <c r="A88" t="s">
        <v>38</v>
      </c>
      <c r="B88" t="s">
        <v>156</v>
      </c>
      <c r="C88">
        <v>0.01</v>
      </c>
      <c r="D88">
        <v>2001</v>
      </c>
      <c r="E88" t="s">
        <v>40</v>
      </c>
      <c r="F88">
        <v>103</v>
      </c>
      <c r="G88">
        <v>24</v>
      </c>
      <c r="H88">
        <v>3.07</v>
      </c>
      <c r="I88">
        <v>0.55000000000000004</v>
      </c>
      <c r="J88">
        <v>36919</v>
      </c>
      <c r="K88">
        <v>39700</v>
      </c>
      <c r="L88">
        <v>2781</v>
      </c>
      <c r="M88">
        <v>0.01</v>
      </c>
      <c r="N88">
        <v>0.13</v>
      </c>
    </row>
    <row r="89" spans="1:14" x14ac:dyDescent="0.3">
      <c r="A89" t="s">
        <v>38</v>
      </c>
      <c r="B89" t="s">
        <v>175</v>
      </c>
      <c r="C89">
        <v>0.01</v>
      </c>
      <c r="D89">
        <v>2001</v>
      </c>
      <c r="E89" t="s">
        <v>40</v>
      </c>
      <c r="F89">
        <v>12</v>
      </c>
      <c r="G89">
        <v>14</v>
      </c>
      <c r="H89">
        <v>0.36</v>
      </c>
      <c r="I89">
        <v>0.32</v>
      </c>
      <c r="J89">
        <v>-4487</v>
      </c>
      <c r="K89">
        <v>135</v>
      </c>
      <c r="L89">
        <v>4622</v>
      </c>
      <c r="M89">
        <v>0.01</v>
      </c>
      <c r="N89">
        <v>0</v>
      </c>
    </row>
    <row r="90" spans="1:14" x14ac:dyDescent="0.3">
      <c r="A90" t="s">
        <v>38</v>
      </c>
      <c r="B90" t="s">
        <v>189</v>
      </c>
      <c r="C90">
        <v>0.01</v>
      </c>
      <c r="D90">
        <v>2001</v>
      </c>
      <c r="E90" t="s">
        <v>40</v>
      </c>
      <c r="F90">
        <v>5</v>
      </c>
      <c r="G90">
        <v>30</v>
      </c>
      <c r="H90">
        <v>0.15</v>
      </c>
      <c r="I90">
        <v>0.69</v>
      </c>
      <c r="J90">
        <v>-2418</v>
      </c>
      <c r="K90">
        <v>73</v>
      </c>
      <c r="L90">
        <v>2491</v>
      </c>
      <c r="M90">
        <v>0.01</v>
      </c>
      <c r="N90">
        <v>0</v>
      </c>
    </row>
    <row r="91" spans="1:14" x14ac:dyDescent="0.3">
      <c r="A91" t="s">
        <v>38</v>
      </c>
      <c r="B91" t="s">
        <v>39</v>
      </c>
      <c r="C91">
        <v>0</v>
      </c>
      <c r="D91">
        <v>2001</v>
      </c>
      <c r="E91" t="s">
        <v>40</v>
      </c>
      <c r="F91">
        <v>2</v>
      </c>
      <c r="G91">
        <v>5</v>
      </c>
      <c r="H91">
        <v>0.06</v>
      </c>
      <c r="I91">
        <v>0.11</v>
      </c>
      <c r="J91">
        <v>33</v>
      </c>
      <c r="K91">
        <v>46</v>
      </c>
      <c r="L91">
        <v>13</v>
      </c>
      <c r="M91">
        <v>0</v>
      </c>
      <c r="N91">
        <v>0</v>
      </c>
    </row>
    <row r="92" spans="1:14" x14ac:dyDescent="0.3">
      <c r="A92" t="s">
        <v>38</v>
      </c>
      <c r="B92" t="s">
        <v>41</v>
      </c>
      <c r="C92">
        <v>0</v>
      </c>
      <c r="D92">
        <v>2001</v>
      </c>
      <c r="E92" t="s">
        <v>40</v>
      </c>
      <c r="F92">
        <v>12</v>
      </c>
      <c r="G92">
        <v>2</v>
      </c>
      <c r="H92">
        <v>0.36</v>
      </c>
      <c r="I92">
        <v>0.05</v>
      </c>
      <c r="J92">
        <v>343</v>
      </c>
      <c r="K92">
        <v>345</v>
      </c>
      <c r="L92">
        <v>2</v>
      </c>
      <c r="M92">
        <v>0</v>
      </c>
      <c r="N92">
        <v>0</v>
      </c>
    </row>
    <row r="93" spans="1:14" x14ac:dyDescent="0.3">
      <c r="A93" t="s">
        <v>38</v>
      </c>
      <c r="B93" t="s">
        <v>42</v>
      </c>
      <c r="C93">
        <v>0</v>
      </c>
      <c r="D93">
        <v>2001</v>
      </c>
      <c r="E93" t="s">
        <v>40</v>
      </c>
      <c r="F93">
        <v>108</v>
      </c>
      <c r="G93">
        <v>27</v>
      </c>
      <c r="H93">
        <v>3.22</v>
      </c>
      <c r="I93">
        <v>0.62</v>
      </c>
      <c r="J93">
        <v>8283</v>
      </c>
      <c r="K93">
        <v>8585</v>
      </c>
      <c r="L93">
        <v>302</v>
      </c>
      <c r="M93">
        <v>0</v>
      </c>
      <c r="N93">
        <v>0.03</v>
      </c>
    </row>
    <row r="94" spans="1:14" x14ac:dyDescent="0.3">
      <c r="A94" t="s">
        <v>38</v>
      </c>
      <c r="B94" t="s">
        <v>191</v>
      </c>
      <c r="C94">
        <v>0</v>
      </c>
      <c r="D94">
        <v>2001</v>
      </c>
      <c r="E94" t="s">
        <v>40</v>
      </c>
      <c r="F94">
        <v>1</v>
      </c>
      <c r="G94">
        <v>2</v>
      </c>
      <c r="H94">
        <v>0.03</v>
      </c>
      <c r="I94">
        <v>0.05</v>
      </c>
      <c r="J94">
        <v>-188</v>
      </c>
      <c r="K94">
        <v>5</v>
      </c>
      <c r="L94">
        <v>193</v>
      </c>
      <c r="M94">
        <v>0</v>
      </c>
      <c r="N94">
        <v>0</v>
      </c>
    </row>
    <row r="95" spans="1:14" x14ac:dyDescent="0.3">
      <c r="A95" t="s">
        <v>38</v>
      </c>
      <c r="B95" t="s">
        <v>192</v>
      </c>
      <c r="C95">
        <v>0</v>
      </c>
      <c r="D95">
        <v>2001</v>
      </c>
      <c r="E95" t="s">
        <v>40</v>
      </c>
      <c r="F95">
        <v>14</v>
      </c>
      <c r="G95">
        <v>1</v>
      </c>
      <c r="H95">
        <v>0.42</v>
      </c>
      <c r="I95">
        <v>0.02</v>
      </c>
      <c r="J95">
        <v>1105</v>
      </c>
      <c r="K95">
        <v>1115</v>
      </c>
      <c r="L95">
        <v>10</v>
      </c>
      <c r="M95">
        <v>0</v>
      </c>
      <c r="N95">
        <v>0</v>
      </c>
    </row>
    <row r="96" spans="1:14" x14ac:dyDescent="0.3">
      <c r="A96" t="s">
        <v>38</v>
      </c>
      <c r="B96" t="s">
        <v>43</v>
      </c>
      <c r="C96">
        <v>0</v>
      </c>
      <c r="D96">
        <v>2001</v>
      </c>
      <c r="E96" t="s">
        <v>40</v>
      </c>
      <c r="F96">
        <v>190</v>
      </c>
      <c r="G96">
        <v>47</v>
      </c>
      <c r="H96">
        <v>5.67</v>
      </c>
      <c r="I96">
        <v>1.08</v>
      </c>
      <c r="J96">
        <v>32041</v>
      </c>
      <c r="K96">
        <v>32762</v>
      </c>
      <c r="L96">
        <v>721</v>
      </c>
      <c r="M96">
        <v>0</v>
      </c>
      <c r="N96">
        <v>0.11</v>
      </c>
    </row>
    <row r="97" spans="1:14" x14ac:dyDescent="0.3">
      <c r="A97" t="s">
        <v>38</v>
      </c>
      <c r="B97" t="s">
        <v>193</v>
      </c>
      <c r="C97">
        <v>0</v>
      </c>
      <c r="D97">
        <v>2001</v>
      </c>
      <c r="E97" t="s">
        <v>40</v>
      </c>
      <c r="F97">
        <v>30</v>
      </c>
      <c r="G97">
        <v>3</v>
      </c>
      <c r="H97">
        <v>0.89</v>
      </c>
      <c r="I97">
        <v>7.0000000000000007E-2</v>
      </c>
      <c r="J97">
        <v>1501</v>
      </c>
      <c r="K97">
        <v>1616</v>
      </c>
      <c r="L97">
        <v>115</v>
      </c>
      <c r="M97">
        <v>0</v>
      </c>
      <c r="N97">
        <v>0.01</v>
      </c>
    </row>
    <row r="98" spans="1:14" x14ac:dyDescent="0.3">
      <c r="A98" t="s">
        <v>38</v>
      </c>
      <c r="B98" t="s">
        <v>45</v>
      </c>
      <c r="C98">
        <v>0</v>
      </c>
      <c r="D98">
        <v>2001</v>
      </c>
      <c r="E98" t="s">
        <v>40</v>
      </c>
      <c r="F98">
        <v>2</v>
      </c>
      <c r="G98">
        <v>9</v>
      </c>
      <c r="H98">
        <v>0.06</v>
      </c>
      <c r="I98">
        <v>0.21</v>
      </c>
      <c r="J98">
        <v>1</v>
      </c>
      <c r="K98">
        <v>149</v>
      </c>
      <c r="L98">
        <v>148</v>
      </c>
      <c r="M98">
        <v>0</v>
      </c>
      <c r="N98">
        <v>0</v>
      </c>
    </row>
    <row r="99" spans="1:14" x14ac:dyDescent="0.3">
      <c r="A99" t="s">
        <v>38</v>
      </c>
      <c r="B99" t="s">
        <v>194</v>
      </c>
      <c r="C99">
        <v>0</v>
      </c>
      <c r="D99">
        <v>2001</v>
      </c>
      <c r="E99" t="s">
        <v>40</v>
      </c>
      <c r="F99">
        <v>38</v>
      </c>
      <c r="G99">
        <v>7</v>
      </c>
      <c r="H99">
        <v>1.1299999999999999</v>
      </c>
      <c r="I99">
        <v>0.16</v>
      </c>
      <c r="J99">
        <v>4154</v>
      </c>
      <c r="K99">
        <v>4321</v>
      </c>
      <c r="L99">
        <v>167</v>
      </c>
      <c r="M99">
        <v>0</v>
      </c>
      <c r="N99">
        <v>0.01</v>
      </c>
    </row>
    <row r="100" spans="1:14" x14ac:dyDescent="0.3">
      <c r="A100" t="s">
        <v>38</v>
      </c>
      <c r="B100" t="s">
        <v>195</v>
      </c>
      <c r="C100">
        <v>0</v>
      </c>
      <c r="D100">
        <v>2001</v>
      </c>
      <c r="E100" t="s">
        <v>40</v>
      </c>
      <c r="F100">
        <v>7</v>
      </c>
      <c r="G100">
        <v>1</v>
      </c>
      <c r="H100">
        <v>0.21</v>
      </c>
      <c r="I100">
        <v>0.02</v>
      </c>
      <c r="J100">
        <v>-553</v>
      </c>
      <c r="K100">
        <v>46</v>
      </c>
      <c r="L100">
        <v>599</v>
      </c>
      <c r="M100">
        <v>0</v>
      </c>
      <c r="N100">
        <v>0</v>
      </c>
    </row>
    <row r="101" spans="1:14" x14ac:dyDescent="0.3">
      <c r="A101" t="s">
        <v>38</v>
      </c>
      <c r="B101" t="s">
        <v>197</v>
      </c>
      <c r="C101">
        <v>0</v>
      </c>
      <c r="D101">
        <v>2001</v>
      </c>
      <c r="E101" t="s">
        <v>40</v>
      </c>
      <c r="F101">
        <v>9</v>
      </c>
      <c r="G101">
        <v>2</v>
      </c>
      <c r="H101">
        <v>0.27</v>
      </c>
      <c r="I101">
        <v>0.05</v>
      </c>
      <c r="J101">
        <v>328</v>
      </c>
      <c r="K101">
        <v>332</v>
      </c>
      <c r="L101">
        <v>4</v>
      </c>
      <c r="M101">
        <v>0</v>
      </c>
      <c r="N101">
        <v>0</v>
      </c>
    </row>
    <row r="102" spans="1:14" x14ac:dyDescent="0.3">
      <c r="A102" t="s">
        <v>38</v>
      </c>
      <c r="B102" t="s">
        <v>198</v>
      </c>
      <c r="C102">
        <v>0</v>
      </c>
      <c r="D102">
        <v>2001</v>
      </c>
      <c r="E102" t="s">
        <v>40</v>
      </c>
      <c r="F102">
        <v>3</v>
      </c>
      <c r="G102">
        <v>1</v>
      </c>
      <c r="H102">
        <v>0.09</v>
      </c>
      <c r="I102">
        <v>0.02</v>
      </c>
      <c r="J102">
        <v>123</v>
      </c>
      <c r="K102">
        <v>165</v>
      </c>
      <c r="L102">
        <v>42</v>
      </c>
      <c r="M102">
        <v>0</v>
      </c>
      <c r="N102">
        <v>0</v>
      </c>
    </row>
    <row r="103" spans="1:14" x14ac:dyDescent="0.3">
      <c r="A103" t="s">
        <v>38</v>
      </c>
      <c r="B103" t="s">
        <v>50</v>
      </c>
      <c r="C103">
        <v>0</v>
      </c>
      <c r="D103">
        <v>2001</v>
      </c>
      <c r="E103" t="s">
        <v>40</v>
      </c>
      <c r="F103">
        <v>34</v>
      </c>
      <c r="G103">
        <v>9</v>
      </c>
      <c r="H103">
        <v>1.01</v>
      </c>
      <c r="I103">
        <v>0.21</v>
      </c>
      <c r="J103">
        <v>895</v>
      </c>
      <c r="K103">
        <v>1226</v>
      </c>
      <c r="L103">
        <v>331</v>
      </c>
      <c r="M103">
        <v>0</v>
      </c>
      <c r="N103">
        <v>0</v>
      </c>
    </row>
    <row r="104" spans="1:14" x14ac:dyDescent="0.3">
      <c r="A104" t="s">
        <v>38</v>
      </c>
      <c r="B104" t="s">
        <v>51</v>
      </c>
      <c r="C104">
        <v>0</v>
      </c>
      <c r="D104">
        <v>2001</v>
      </c>
      <c r="E104" t="s">
        <v>40</v>
      </c>
      <c r="F104">
        <v>25</v>
      </c>
      <c r="G104">
        <v>10</v>
      </c>
      <c r="H104">
        <v>0.75</v>
      </c>
      <c r="I104">
        <v>0.23</v>
      </c>
      <c r="J104">
        <v>392</v>
      </c>
      <c r="K104">
        <v>654</v>
      </c>
      <c r="L104">
        <v>262</v>
      </c>
      <c r="M104">
        <v>0</v>
      </c>
      <c r="N104">
        <v>0</v>
      </c>
    </row>
    <row r="105" spans="1:14" x14ac:dyDescent="0.3">
      <c r="A105" t="s">
        <v>38</v>
      </c>
      <c r="B105" t="s">
        <v>53</v>
      </c>
      <c r="C105">
        <v>0</v>
      </c>
      <c r="D105">
        <v>2001</v>
      </c>
      <c r="E105" t="s">
        <v>40</v>
      </c>
      <c r="F105">
        <v>15</v>
      </c>
      <c r="G105">
        <v>5</v>
      </c>
      <c r="H105">
        <v>0.45</v>
      </c>
      <c r="I105">
        <v>0.11</v>
      </c>
      <c r="J105">
        <v>-161</v>
      </c>
      <c r="K105">
        <v>86</v>
      </c>
      <c r="L105">
        <v>247</v>
      </c>
      <c r="M105">
        <v>0</v>
      </c>
      <c r="N105">
        <v>0</v>
      </c>
    </row>
    <row r="106" spans="1:14" x14ac:dyDescent="0.3">
      <c r="A106" t="s">
        <v>38</v>
      </c>
      <c r="B106" t="s">
        <v>54</v>
      </c>
      <c r="C106">
        <v>0</v>
      </c>
      <c r="D106">
        <v>2001</v>
      </c>
      <c r="E106" t="s">
        <v>40</v>
      </c>
      <c r="F106">
        <v>5</v>
      </c>
      <c r="G106">
        <v>1</v>
      </c>
      <c r="H106">
        <v>0.15</v>
      </c>
      <c r="I106">
        <v>0.02</v>
      </c>
      <c r="J106">
        <v>491</v>
      </c>
      <c r="K106">
        <v>535</v>
      </c>
      <c r="L106">
        <v>44</v>
      </c>
      <c r="M106">
        <v>0</v>
      </c>
      <c r="N106">
        <v>0</v>
      </c>
    </row>
    <row r="107" spans="1:14" x14ac:dyDescent="0.3">
      <c r="A107" t="s">
        <v>38</v>
      </c>
      <c r="B107" t="s">
        <v>55</v>
      </c>
      <c r="C107">
        <v>0</v>
      </c>
      <c r="D107">
        <v>2001</v>
      </c>
      <c r="E107" t="s">
        <v>40</v>
      </c>
      <c r="F107">
        <v>5</v>
      </c>
      <c r="G107">
        <v>8</v>
      </c>
      <c r="H107">
        <v>0.15</v>
      </c>
      <c r="I107">
        <v>0.18</v>
      </c>
      <c r="J107">
        <v>77</v>
      </c>
      <c r="K107">
        <v>122</v>
      </c>
      <c r="L107">
        <v>45</v>
      </c>
      <c r="M107">
        <v>0</v>
      </c>
      <c r="N107">
        <v>0</v>
      </c>
    </row>
    <row r="108" spans="1:14" x14ac:dyDescent="0.3">
      <c r="A108" t="s">
        <v>38</v>
      </c>
      <c r="B108" t="s">
        <v>57</v>
      </c>
      <c r="C108">
        <v>0</v>
      </c>
      <c r="D108">
        <v>2001</v>
      </c>
      <c r="E108" t="s">
        <v>40</v>
      </c>
      <c r="F108">
        <v>1</v>
      </c>
      <c r="G108">
        <v>7</v>
      </c>
      <c r="H108">
        <v>0.03</v>
      </c>
      <c r="I108">
        <v>0.16</v>
      </c>
      <c r="J108">
        <v>-54</v>
      </c>
      <c r="K108">
        <v>19</v>
      </c>
      <c r="L108">
        <v>73</v>
      </c>
      <c r="M108">
        <v>0</v>
      </c>
      <c r="N108">
        <v>0</v>
      </c>
    </row>
    <row r="109" spans="1:14" x14ac:dyDescent="0.3">
      <c r="A109" t="s">
        <v>38</v>
      </c>
      <c r="B109" t="s">
        <v>201</v>
      </c>
      <c r="C109">
        <v>0</v>
      </c>
      <c r="D109">
        <v>2001</v>
      </c>
      <c r="E109" t="s">
        <v>40</v>
      </c>
      <c r="F109">
        <v>1</v>
      </c>
      <c r="G109">
        <v>5</v>
      </c>
      <c r="H109">
        <v>0.03</v>
      </c>
      <c r="I109">
        <v>0.11</v>
      </c>
      <c r="J109">
        <v>-255</v>
      </c>
      <c r="K109">
        <v>2</v>
      </c>
      <c r="L109">
        <v>257</v>
      </c>
      <c r="M109">
        <v>0</v>
      </c>
      <c r="N109">
        <v>0</v>
      </c>
    </row>
    <row r="110" spans="1:14" x14ac:dyDescent="0.3">
      <c r="A110" t="s">
        <v>38</v>
      </c>
      <c r="B110" t="s">
        <v>58</v>
      </c>
      <c r="C110">
        <v>0</v>
      </c>
      <c r="D110">
        <v>2001</v>
      </c>
      <c r="E110" t="s">
        <v>40</v>
      </c>
      <c r="F110">
        <v>3</v>
      </c>
      <c r="G110">
        <v>5</v>
      </c>
      <c r="H110">
        <v>0.09</v>
      </c>
      <c r="I110">
        <v>0.11</v>
      </c>
      <c r="J110">
        <v>-103</v>
      </c>
      <c r="K110">
        <v>20</v>
      </c>
      <c r="L110">
        <v>123</v>
      </c>
      <c r="M110">
        <v>0</v>
      </c>
      <c r="N110">
        <v>0</v>
      </c>
    </row>
    <row r="111" spans="1:14" x14ac:dyDescent="0.3">
      <c r="A111" t="s">
        <v>38</v>
      </c>
      <c r="B111" t="s">
        <v>64</v>
      </c>
      <c r="C111">
        <v>0</v>
      </c>
      <c r="D111">
        <v>2001</v>
      </c>
      <c r="E111" t="s">
        <v>40</v>
      </c>
      <c r="F111">
        <v>47</v>
      </c>
      <c r="G111">
        <v>19</v>
      </c>
      <c r="H111">
        <v>1.4</v>
      </c>
      <c r="I111">
        <v>0.44</v>
      </c>
      <c r="J111">
        <v>-1354</v>
      </c>
      <c r="K111">
        <v>300</v>
      </c>
      <c r="L111">
        <v>1654</v>
      </c>
      <c r="M111">
        <v>0</v>
      </c>
      <c r="N111">
        <v>0</v>
      </c>
    </row>
    <row r="112" spans="1:14" x14ac:dyDescent="0.3">
      <c r="A112" t="s">
        <v>38</v>
      </c>
      <c r="B112" t="s">
        <v>65</v>
      </c>
      <c r="C112">
        <v>0</v>
      </c>
      <c r="D112">
        <v>2001</v>
      </c>
      <c r="E112" t="s">
        <v>40</v>
      </c>
      <c r="F112">
        <v>2</v>
      </c>
      <c r="G112">
        <v>1</v>
      </c>
      <c r="H112">
        <v>0.06</v>
      </c>
      <c r="I112">
        <v>0.02</v>
      </c>
      <c r="J112">
        <v>-21</v>
      </c>
      <c r="K112">
        <v>6</v>
      </c>
      <c r="L112">
        <v>27</v>
      </c>
      <c r="M112">
        <v>0</v>
      </c>
      <c r="N112">
        <v>0</v>
      </c>
    </row>
    <row r="113" spans="1:14" x14ac:dyDescent="0.3">
      <c r="A113" t="s">
        <v>38</v>
      </c>
      <c r="B113" t="s">
        <v>67</v>
      </c>
      <c r="C113">
        <v>0</v>
      </c>
      <c r="D113">
        <v>2001</v>
      </c>
      <c r="E113" t="s">
        <v>40</v>
      </c>
      <c r="G113">
        <v>2</v>
      </c>
      <c r="I113">
        <v>0.05</v>
      </c>
      <c r="L113">
        <v>16</v>
      </c>
      <c r="M113">
        <v>0</v>
      </c>
    </row>
    <row r="114" spans="1:14" x14ac:dyDescent="0.3">
      <c r="A114" t="s">
        <v>38</v>
      </c>
      <c r="B114" t="s">
        <v>70</v>
      </c>
      <c r="C114">
        <v>0</v>
      </c>
      <c r="D114">
        <v>2001</v>
      </c>
      <c r="E114" t="s">
        <v>40</v>
      </c>
      <c r="F114">
        <v>25</v>
      </c>
      <c r="G114">
        <v>8</v>
      </c>
      <c r="H114">
        <v>0.75</v>
      </c>
      <c r="I114">
        <v>0.18</v>
      </c>
      <c r="J114">
        <v>-139</v>
      </c>
      <c r="K114">
        <v>269</v>
      </c>
      <c r="L114">
        <v>408</v>
      </c>
      <c r="M114">
        <v>0</v>
      </c>
      <c r="N114">
        <v>0</v>
      </c>
    </row>
    <row r="115" spans="1:14" x14ac:dyDescent="0.3">
      <c r="A115" t="s">
        <v>38</v>
      </c>
      <c r="B115" t="s">
        <v>203</v>
      </c>
      <c r="C115">
        <v>0</v>
      </c>
      <c r="D115">
        <v>2001</v>
      </c>
      <c r="E115" t="s">
        <v>40</v>
      </c>
      <c r="F115">
        <v>2</v>
      </c>
      <c r="G115">
        <v>1</v>
      </c>
      <c r="H115">
        <v>0.06</v>
      </c>
      <c r="I115">
        <v>0.02</v>
      </c>
      <c r="J115">
        <v>214</v>
      </c>
      <c r="K115">
        <v>215</v>
      </c>
      <c r="L115">
        <v>1</v>
      </c>
      <c r="M115">
        <v>0</v>
      </c>
      <c r="N115">
        <v>0</v>
      </c>
    </row>
    <row r="116" spans="1:14" x14ac:dyDescent="0.3">
      <c r="A116" t="s">
        <v>38</v>
      </c>
      <c r="B116" t="s">
        <v>205</v>
      </c>
      <c r="C116">
        <v>0</v>
      </c>
      <c r="D116">
        <v>2001</v>
      </c>
      <c r="E116" t="s">
        <v>40</v>
      </c>
      <c r="F116">
        <v>3</v>
      </c>
      <c r="G116">
        <v>7</v>
      </c>
      <c r="H116">
        <v>0.09</v>
      </c>
      <c r="I116">
        <v>0.16</v>
      </c>
      <c r="J116">
        <v>-92</v>
      </c>
      <c r="K116">
        <v>28</v>
      </c>
      <c r="L116">
        <v>120</v>
      </c>
      <c r="M116">
        <v>0</v>
      </c>
      <c r="N116">
        <v>0</v>
      </c>
    </row>
    <row r="117" spans="1:14" x14ac:dyDescent="0.3">
      <c r="A117" t="s">
        <v>38</v>
      </c>
      <c r="B117" t="s">
        <v>75</v>
      </c>
      <c r="C117">
        <v>0</v>
      </c>
      <c r="D117">
        <v>2001</v>
      </c>
      <c r="E117" t="s">
        <v>40</v>
      </c>
      <c r="F117">
        <v>7</v>
      </c>
      <c r="G117">
        <v>22</v>
      </c>
      <c r="H117">
        <v>0.21</v>
      </c>
      <c r="I117">
        <v>0.5</v>
      </c>
      <c r="J117">
        <v>380</v>
      </c>
      <c r="K117">
        <v>757</v>
      </c>
      <c r="L117">
        <v>377</v>
      </c>
      <c r="M117">
        <v>0</v>
      </c>
      <c r="N117">
        <v>0</v>
      </c>
    </row>
    <row r="118" spans="1:14" x14ac:dyDescent="0.3">
      <c r="A118" t="s">
        <v>38</v>
      </c>
      <c r="B118" t="s">
        <v>76</v>
      </c>
      <c r="C118">
        <v>0</v>
      </c>
      <c r="D118">
        <v>2001</v>
      </c>
      <c r="E118" t="s">
        <v>40</v>
      </c>
      <c r="F118">
        <v>78</v>
      </c>
      <c r="G118">
        <v>3</v>
      </c>
      <c r="H118">
        <v>2.33</v>
      </c>
      <c r="I118">
        <v>7.0000000000000007E-2</v>
      </c>
      <c r="J118">
        <v>10877</v>
      </c>
      <c r="K118">
        <v>11016</v>
      </c>
      <c r="L118">
        <v>139</v>
      </c>
      <c r="M118">
        <v>0</v>
      </c>
      <c r="N118">
        <v>0.04</v>
      </c>
    </row>
    <row r="119" spans="1:14" x14ac:dyDescent="0.3">
      <c r="A119" t="s">
        <v>38</v>
      </c>
      <c r="B119" t="s">
        <v>207</v>
      </c>
      <c r="C119">
        <v>0</v>
      </c>
      <c r="D119">
        <v>2001</v>
      </c>
      <c r="E119" t="s">
        <v>40</v>
      </c>
      <c r="F119">
        <v>31</v>
      </c>
      <c r="G119">
        <v>6</v>
      </c>
      <c r="H119">
        <v>0.92</v>
      </c>
      <c r="I119">
        <v>0.14000000000000001</v>
      </c>
      <c r="J119">
        <v>2296</v>
      </c>
      <c r="K119">
        <v>2449</v>
      </c>
      <c r="L119">
        <v>153</v>
      </c>
      <c r="M119">
        <v>0</v>
      </c>
      <c r="N119">
        <v>0.01</v>
      </c>
    </row>
    <row r="120" spans="1:14" x14ac:dyDescent="0.3">
      <c r="A120" t="s">
        <v>38</v>
      </c>
      <c r="B120" t="s">
        <v>208</v>
      </c>
      <c r="C120">
        <v>0</v>
      </c>
      <c r="D120">
        <v>2001</v>
      </c>
      <c r="E120" t="s">
        <v>40</v>
      </c>
      <c r="F120">
        <v>5</v>
      </c>
      <c r="G120">
        <v>4</v>
      </c>
      <c r="H120">
        <v>0.15</v>
      </c>
      <c r="I120">
        <v>0.09</v>
      </c>
      <c r="J120">
        <v>12</v>
      </c>
      <c r="K120">
        <v>19</v>
      </c>
      <c r="L120">
        <v>7</v>
      </c>
      <c r="M120">
        <v>0</v>
      </c>
      <c r="N120">
        <v>0</v>
      </c>
    </row>
    <row r="121" spans="1:14" x14ac:dyDescent="0.3">
      <c r="A121" t="s">
        <v>38</v>
      </c>
      <c r="B121" t="s">
        <v>83</v>
      </c>
      <c r="C121">
        <v>0</v>
      </c>
      <c r="D121">
        <v>2001</v>
      </c>
      <c r="E121" t="s">
        <v>40</v>
      </c>
      <c r="G121">
        <v>3</v>
      </c>
      <c r="I121">
        <v>7.0000000000000007E-2</v>
      </c>
      <c r="L121">
        <v>3</v>
      </c>
      <c r="M121">
        <v>0</v>
      </c>
    </row>
    <row r="122" spans="1:14" x14ac:dyDescent="0.3">
      <c r="A122" t="s">
        <v>38</v>
      </c>
      <c r="B122" t="s">
        <v>209</v>
      </c>
      <c r="C122">
        <v>0</v>
      </c>
      <c r="D122">
        <v>2001</v>
      </c>
      <c r="E122" t="s">
        <v>40</v>
      </c>
      <c r="G122">
        <v>1</v>
      </c>
      <c r="I122">
        <v>0.02</v>
      </c>
      <c r="L122">
        <v>10</v>
      </c>
      <c r="M122">
        <v>0</v>
      </c>
    </row>
    <row r="123" spans="1:14" x14ac:dyDescent="0.3">
      <c r="A123" t="s">
        <v>38</v>
      </c>
      <c r="B123" t="s">
        <v>85</v>
      </c>
      <c r="C123">
        <v>0</v>
      </c>
      <c r="D123">
        <v>2001</v>
      </c>
      <c r="E123" t="s">
        <v>40</v>
      </c>
      <c r="F123">
        <v>17</v>
      </c>
      <c r="G123">
        <v>4</v>
      </c>
      <c r="H123">
        <v>0.51</v>
      </c>
      <c r="I123">
        <v>0.09</v>
      </c>
      <c r="J123">
        <v>-19</v>
      </c>
      <c r="K123">
        <v>161</v>
      </c>
      <c r="L123">
        <v>180</v>
      </c>
      <c r="M123">
        <v>0</v>
      </c>
      <c r="N123">
        <v>0</v>
      </c>
    </row>
    <row r="124" spans="1:14" x14ac:dyDescent="0.3">
      <c r="A124" t="s">
        <v>38</v>
      </c>
      <c r="B124" t="s">
        <v>210</v>
      </c>
      <c r="C124">
        <v>0</v>
      </c>
      <c r="D124">
        <v>2001</v>
      </c>
      <c r="E124" t="s">
        <v>40</v>
      </c>
      <c r="F124">
        <v>50</v>
      </c>
      <c r="G124">
        <v>8</v>
      </c>
      <c r="H124">
        <v>1.49</v>
      </c>
      <c r="I124">
        <v>0.18</v>
      </c>
      <c r="J124">
        <v>5476</v>
      </c>
      <c r="K124">
        <v>5495</v>
      </c>
      <c r="L124">
        <v>19</v>
      </c>
      <c r="M124">
        <v>0</v>
      </c>
      <c r="N124">
        <v>0.02</v>
      </c>
    </row>
    <row r="125" spans="1:14" x14ac:dyDescent="0.3">
      <c r="A125" t="s">
        <v>38</v>
      </c>
      <c r="B125" t="s">
        <v>87</v>
      </c>
      <c r="C125">
        <v>0</v>
      </c>
      <c r="D125">
        <v>2001</v>
      </c>
      <c r="E125" t="s">
        <v>40</v>
      </c>
      <c r="F125">
        <v>16</v>
      </c>
      <c r="G125">
        <v>11</v>
      </c>
      <c r="H125">
        <v>0.48</v>
      </c>
      <c r="I125">
        <v>0.25</v>
      </c>
      <c r="J125">
        <v>128</v>
      </c>
      <c r="K125">
        <v>743</v>
      </c>
      <c r="L125">
        <v>615</v>
      </c>
      <c r="M125">
        <v>0</v>
      </c>
      <c r="N125">
        <v>0</v>
      </c>
    </row>
    <row r="126" spans="1:14" x14ac:dyDescent="0.3">
      <c r="A126" t="s">
        <v>38</v>
      </c>
      <c r="B126" t="s">
        <v>88</v>
      </c>
      <c r="C126">
        <v>0</v>
      </c>
      <c r="D126">
        <v>2001</v>
      </c>
      <c r="E126" t="s">
        <v>40</v>
      </c>
      <c r="F126">
        <v>15</v>
      </c>
      <c r="G126">
        <v>1</v>
      </c>
      <c r="H126">
        <v>0.45</v>
      </c>
      <c r="I126">
        <v>0.02</v>
      </c>
      <c r="J126">
        <v>444</v>
      </c>
      <c r="K126">
        <v>461</v>
      </c>
      <c r="L126">
        <v>17</v>
      </c>
      <c r="M126">
        <v>0</v>
      </c>
      <c r="N126">
        <v>0</v>
      </c>
    </row>
    <row r="127" spans="1:14" x14ac:dyDescent="0.3">
      <c r="A127" t="s">
        <v>38</v>
      </c>
      <c r="B127" t="s">
        <v>211</v>
      </c>
      <c r="C127">
        <v>0</v>
      </c>
      <c r="D127">
        <v>2001</v>
      </c>
      <c r="E127" t="s">
        <v>40</v>
      </c>
      <c r="F127">
        <v>7</v>
      </c>
      <c r="G127">
        <v>3</v>
      </c>
      <c r="H127">
        <v>0.21</v>
      </c>
      <c r="I127">
        <v>7.0000000000000007E-2</v>
      </c>
      <c r="J127">
        <v>-8</v>
      </c>
      <c r="K127">
        <v>11</v>
      </c>
      <c r="L127">
        <v>19</v>
      </c>
      <c r="M127">
        <v>0</v>
      </c>
      <c r="N127">
        <v>0</v>
      </c>
    </row>
    <row r="128" spans="1:14" x14ac:dyDescent="0.3">
      <c r="A128" t="s">
        <v>38</v>
      </c>
      <c r="B128" t="s">
        <v>212</v>
      </c>
      <c r="C128">
        <v>0</v>
      </c>
      <c r="D128">
        <v>2001</v>
      </c>
      <c r="E128" t="s">
        <v>40</v>
      </c>
      <c r="G128">
        <v>1</v>
      </c>
      <c r="I128">
        <v>0.02</v>
      </c>
      <c r="L128">
        <v>1</v>
      </c>
      <c r="M128">
        <v>0</v>
      </c>
    </row>
    <row r="129" spans="1:14" x14ac:dyDescent="0.3">
      <c r="A129" t="s">
        <v>38</v>
      </c>
      <c r="B129" t="s">
        <v>92</v>
      </c>
      <c r="C129">
        <v>0</v>
      </c>
      <c r="D129">
        <v>2001</v>
      </c>
      <c r="E129" t="s">
        <v>40</v>
      </c>
      <c r="F129">
        <v>1</v>
      </c>
      <c r="G129">
        <v>2</v>
      </c>
      <c r="H129">
        <v>0.03</v>
      </c>
      <c r="I129">
        <v>0.05</v>
      </c>
      <c r="J129">
        <v>106</v>
      </c>
      <c r="K129">
        <v>120</v>
      </c>
      <c r="L129">
        <v>14</v>
      </c>
      <c r="M129">
        <v>0</v>
      </c>
      <c r="N129">
        <v>0</v>
      </c>
    </row>
    <row r="130" spans="1:14" x14ac:dyDescent="0.3">
      <c r="A130" t="s">
        <v>38</v>
      </c>
      <c r="B130" t="s">
        <v>93</v>
      </c>
      <c r="C130">
        <v>0</v>
      </c>
      <c r="D130">
        <v>2001</v>
      </c>
      <c r="E130" t="s">
        <v>40</v>
      </c>
      <c r="F130">
        <v>14</v>
      </c>
      <c r="G130">
        <v>17</v>
      </c>
      <c r="H130">
        <v>0.42</v>
      </c>
      <c r="I130">
        <v>0.39</v>
      </c>
      <c r="J130">
        <v>-537</v>
      </c>
      <c r="K130">
        <v>264</v>
      </c>
      <c r="L130">
        <v>801</v>
      </c>
      <c r="M130">
        <v>0</v>
      </c>
      <c r="N130">
        <v>0</v>
      </c>
    </row>
    <row r="131" spans="1:14" x14ac:dyDescent="0.3">
      <c r="A131" t="s">
        <v>38</v>
      </c>
      <c r="B131" t="s">
        <v>94</v>
      </c>
      <c r="C131">
        <v>0</v>
      </c>
      <c r="D131">
        <v>2001</v>
      </c>
      <c r="E131" t="s">
        <v>40</v>
      </c>
      <c r="F131">
        <v>1</v>
      </c>
      <c r="G131">
        <v>4</v>
      </c>
      <c r="H131">
        <v>0.03</v>
      </c>
      <c r="I131">
        <v>0.09</v>
      </c>
      <c r="J131">
        <v>4</v>
      </c>
      <c r="K131">
        <v>12</v>
      </c>
      <c r="L131">
        <v>8</v>
      </c>
      <c r="M131">
        <v>0</v>
      </c>
      <c r="N131">
        <v>0</v>
      </c>
    </row>
    <row r="132" spans="1:14" x14ac:dyDescent="0.3">
      <c r="A132" t="s">
        <v>38</v>
      </c>
      <c r="B132" t="s">
        <v>96</v>
      </c>
      <c r="C132">
        <v>0</v>
      </c>
      <c r="D132">
        <v>2001</v>
      </c>
      <c r="E132" t="s">
        <v>40</v>
      </c>
      <c r="F132">
        <v>5</v>
      </c>
      <c r="G132">
        <v>16</v>
      </c>
      <c r="H132">
        <v>0.15</v>
      </c>
      <c r="I132">
        <v>0.37</v>
      </c>
      <c r="J132">
        <v>-395</v>
      </c>
      <c r="K132">
        <v>471</v>
      </c>
      <c r="L132">
        <v>866</v>
      </c>
      <c r="M132">
        <v>0</v>
      </c>
      <c r="N132">
        <v>0</v>
      </c>
    </row>
    <row r="133" spans="1:14" x14ac:dyDescent="0.3">
      <c r="A133" t="s">
        <v>38</v>
      </c>
      <c r="B133" t="s">
        <v>97</v>
      </c>
      <c r="C133">
        <v>0</v>
      </c>
      <c r="D133">
        <v>2001</v>
      </c>
      <c r="E133" t="s">
        <v>40</v>
      </c>
      <c r="F133">
        <v>3</v>
      </c>
      <c r="G133">
        <v>5</v>
      </c>
      <c r="H133">
        <v>0.09</v>
      </c>
      <c r="I133">
        <v>0.11</v>
      </c>
      <c r="J133">
        <v>223</v>
      </c>
      <c r="K133">
        <v>233</v>
      </c>
      <c r="L133">
        <v>10</v>
      </c>
      <c r="M133">
        <v>0</v>
      </c>
      <c r="N133">
        <v>0</v>
      </c>
    </row>
    <row r="134" spans="1:14" x14ac:dyDescent="0.3">
      <c r="A134" t="s">
        <v>38</v>
      </c>
      <c r="B134" t="s">
        <v>102</v>
      </c>
      <c r="C134">
        <v>0</v>
      </c>
      <c r="D134">
        <v>2001</v>
      </c>
      <c r="E134" t="s">
        <v>40</v>
      </c>
      <c r="F134">
        <v>57</v>
      </c>
      <c r="G134">
        <v>35</v>
      </c>
      <c r="H134">
        <v>1.7</v>
      </c>
      <c r="I134">
        <v>0.8</v>
      </c>
      <c r="J134">
        <v>1795</v>
      </c>
      <c r="K134">
        <v>2274</v>
      </c>
      <c r="L134">
        <v>479</v>
      </c>
      <c r="M134">
        <v>0</v>
      </c>
      <c r="N134">
        <v>0.01</v>
      </c>
    </row>
    <row r="135" spans="1:14" x14ac:dyDescent="0.3">
      <c r="A135" t="s">
        <v>38</v>
      </c>
      <c r="B135" t="s">
        <v>105</v>
      </c>
      <c r="C135">
        <v>0</v>
      </c>
      <c r="D135">
        <v>2001</v>
      </c>
      <c r="E135" t="s">
        <v>40</v>
      </c>
      <c r="F135">
        <v>28</v>
      </c>
      <c r="G135">
        <v>11</v>
      </c>
      <c r="H135">
        <v>0.84</v>
      </c>
      <c r="I135">
        <v>0.25</v>
      </c>
      <c r="J135">
        <v>2671</v>
      </c>
      <c r="K135">
        <v>2734</v>
      </c>
      <c r="L135">
        <v>63</v>
      </c>
      <c r="M135">
        <v>0</v>
      </c>
      <c r="N135">
        <v>0.01</v>
      </c>
    </row>
    <row r="136" spans="1:14" x14ac:dyDescent="0.3">
      <c r="A136" t="s">
        <v>38</v>
      </c>
      <c r="B136" t="s">
        <v>106</v>
      </c>
      <c r="C136">
        <v>0</v>
      </c>
      <c r="D136">
        <v>2001</v>
      </c>
      <c r="E136" t="s">
        <v>40</v>
      </c>
      <c r="F136">
        <v>57</v>
      </c>
      <c r="G136">
        <v>9</v>
      </c>
      <c r="H136">
        <v>1.7</v>
      </c>
      <c r="I136">
        <v>0.21</v>
      </c>
      <c r="J136">
        <v>6309</v>
      </c>
      <c r="K136">
        <v>6348</v>
      </c>
      <c r="L136">
        <v>39</v>
      </c>
      <c r="M136">
        <v>0</v>
      </c>
      <c r="N136">
        <v>0.02</v>
      </c>
    </row>
    <row r="137" spans="1:14" x14ac:dyDescent="0.3">
      <c r="A137" t="s">
        <v>38</v>
      </c>
      <c r="B137" t="s">
        <v>108</v>
      </c>
      <c r="C137">
        <v>0</v>
      </c>
      <c r="D137">
        <v>2001</v>
      </c>
      <c r="E137" t="s">
        <v>40</v>
      </c>
      <c r="F137">
        <v>46</v>
      </c>
      <c r="G137">
        <v>24</v>
      </c>
      <c r="H137">
        <v>1.37</v>
      </c>
      <c r="I137">
        <v>0.55000000000000004</v>
      </c>
      <c r="J137">
        <v>632</v>
      </c>
      <c r="K137">
        <v>1352</v>
      </c>
      <c r="L137">
        <v>720</v>
      </c>
      <c r="M137">
        <v>0</v>
      </c>
      <c r="N137">
        <v>0</v>
      </c>
    </row>
    <row r="138" spans="1:14" x14ac:dyDescent="0.3">
      <c r="A138" t="s">
        <v>38</v>
      </c>
      <c r="B138" t="s">
        <v>215</v>
      </c>
      <c r="C138">
        <v>0</v>
      </c>
      <c r="D138">
        <v>2001</v>
      </c>
      <c r="E138" t="s">
        <v>40</v>
      </c>
      <c r="F138">
        <v>24</v>
      </c>
      <c r="G138">
        <v>2</v>
      </c>
      <c r="H138">
        <v>0.72</v>
      </c>
      <c r="I138">
        <v>0.05</v>
      </c>
      <c r="J138">
        <v>1001</v>
      </c>
      <c r="K138">
        <v>1746</v>
      </c>
      <c r="L138">
        <v>745</v>
      </c>
      <c r="M138">
        <v>0</v>
      </c>
      <c r="N138">
        <v>0.01</v>
      </c>
    </row>
    <row r="139" spans="1:14" x14ac:dyDescent="0.3">
      <c r="A139" t="s">
        <v>38</v>
      </c>
      <c r="B139" t="s">
        <v>109</v>
      </c>
      <c r="C139">
        <v>0</v>
      </c>
      <c r="D139">
        <v>2001</v>
      </c>
      <c r="E139" t="s">
        <v>40</v>
      </c>
      <c r="F139">
        <v>5</v>
      </c>
      <c r="G139">
        <v>34</v>
      </c>
      <c r="H139">
        <v>0.15</v>
      </c>
      <c r="I139">
        <v>0.78</v>
      </c>
      <c r="J139">
        <v>-522</v>
      </c>
      <c r="K139">
        <v>117</v>
      </c>
      <c r="L139">
        <v>639</v>
      </c>
      <c r="M139">
        <v>0</v>
      </c>
      <c r="N139">
        <v>0</v>
      </c>
    </row>
    <row r="140" spans="1:14" x14ac:dyDescent="0.3">
      <c r="A140" t="s">
        <v>38</v>
      </c>
      <c r="B140" t="s">
        <v>216</v>
      </c>
      <c r="C140">
        <v>0</v>
      </c>
      <c r="D140">
        <v>2001</v>
      </c>
      <c r="E140" t="s">
        <v>40</v>
      </c>
      <c r="G140">
        <v>3</v>
      </c>
      <c r="I140">
        <v>7.0000000000000007E-2</v>
      </c>
      <c r="L140">
        <v>3</v>
      </c>
      <c r="M140">
        <v>0</v>
      </c>
    </row>
    <row r="141" spans="1:14" x14ac:dyDescent="0.3">
      <c r="A141" t="s">
        <v>38</v>
      </c>
      <c r="B141" t="s">
        <v>217</v>
      </c>
      <c r="C141">
        <v>0</v>
      </c>
      <c r="D141">
        <v>2001</v>
      </c>
      <c r="E141" t="s">
        <v>40</v>
      </c>
      <c r="G141">
        <v>9</v>
      </c>
      <c r="I141">
        <v>0.21</v>
      </c>
      <c r="L141">
        <v>146</v>
      </c>
      <c r="M141">
        <v>0</v>
      </c>
    </row>
    <row r="142" spans="1:14" x14ac:dyDescent="0.3">
      <c r="A142" t="s">
        <v>38</v>
      </c>
      <c r="B142" t="s">
        <v>111</v>
      </c>
      <c r="C142">
        <v>0</v>
      </c>
      <c r="D142">
        <v>2001</v>
      </c>
      <c r="E142" t="s">
        <v>40</v>
      </c>
      <c r="F142">
        <v>69</v>
      </c>
      <c r="G142">
        <v>1</v>
      </c>
      <c r="H142">
        <v>2.06</v>
      </c>
      <c r="I142">
        <v>0.02</v>
      </c>
      <c r="J142">
        <v>17688</v>
      </c>
      <c r="K142">
        <v>17689</v>
      </c>
      <c r="L142">
        <v>1</v>
      </c>
      <c r="M142">
        <v>0</v>
      </c>
      <c r="N142">
        <v>0.06</v>
      </c>
    </row>
    <row r="143" spans="1:14" x14ac:dyDescent="0.3">
      <c r="A143" t="s">
        <v>38</v>
      </c>
      <c r="B143" t="s">
        <v>112</v>
      </c>
      <c r="C143">
        <v>0</v>
      </c>
      <c r="D143">
        <v>2001</v>
      </c>
      <c r="E143" t="s">
        <v>40</v>
      </c>
      <c r="F143">
        <v>10</v>
      </c>
      <c r="G143">
        <v>27</v>
      </c>
      <c r="H143">
        <v>0.3</v>
      </c>
      <c r="I143">
        <v>0.62</v>
      </c>
      <c r="J143">
        <v>-1389</v>
      </c>
      <c r="K143">
        <v>41</v>
      </c>
      <c r="L143">
        <v>1430</v>
      </c>
      <c r="M143">
        <v>0</v>
      </c>
      <c r="N143">
        <v>0</v>
      </c>
    </row>
    <row r="144" spans="1:14" x14ac:dyDescent="0.3">
      <c r="A144" t="s">
        <v>38</v>
      </c>
      <c r="B144" t="s">
        <v>113</v>
      </c>
      <c r="C144">
        <v>0</v>
      </c>
      <c r="D144">
        <v>2001</v>
      </c>
      <c r="E144" t="s">
        <v>40</v>
      </c>
      <c r="F144">
        <v>86</v>
      </c>
      <c r="G144">
        <v>17</v>
      </c>
      <c r="H144">
        <v>2.56</v>
      </c>
      <c r="I144">
        <v>0.39</v>
      </c>
      <c r="J144">
        <v>14349</v>
      </c>
      <c r="K144">
        <v>15468</v>
      </c>
      <c r="L144">
        <v>1119</v>
      </c>
      <c r="M144">
        <v>0</v>
      </c>
      <c r="N144">
        <v>0.05</v>
      </c>
    </row>
    <row r="145" spans="1:14" x14ac:dyDescent="0.3">
      <c r="A145" t="s">
        <v>38</v>
      </c>
      <c r="B145" t="s">
        <v>115</v>
      </c>
      <c r="C145">
        <v>0</v>
      </c>
      <c r="D145">
        <v>2001</v>
      </c>
      <c r="E145" t="s">
        <v>40</v>
      </c>
      <c r="F145">
        <v>50</v>
      </c>
      <c r="G145">
        <v>2</v>
      </c>
      <c r="H145">
        <v>1.49</v>
      </c>
      <c r="I145">
        <v>0.05</v>
      </c>
      <c r="J145">
        <v>4687</v>
      </c>
      <c r="K145">
        <v>4928</v>
      </c>
      <c r="L145">
        <v>241</v>
      </c>
      <c r="M145">
        <v>0</v>
      </c>
      <c r="N145">
        <v>0.02</v>
      </c>
    </row>
    <row r="146" spans="1:14" x14ac:dyDescent="0.3">
      <c r="A146" t="s">
        <v>38</v>
      </c>
      <c r="B146" t="s">
        <v>116</v>
      </c>
      <c r="C146">
        <v>0</v>
      </c>
      <c r="D146">
        <v>2001</v>
      </c>
      <c r="E146" t="s">
        <v>40</v>
      </c>
      <c r="F146">
        <v>2</v>
      </c>
      <c r="G146">
        <v>4</v>
      </c>
      <c r="H146">
        <v>0.06</v>
      </c>
      <c r="I146">
        <v>0.09</v>
      </c>
      <c r="J146">
        <v>20</v>
      </c>
      <c r="K146">
        <v>28</v>
      </c>
      <c r="L146">
        <v>8</v>
      </c>
      <c r="M146">
        <v>0</v>
      </c>
      <c r="N146">
        <v>0</v>
      </c>
    </row>
    <row r="147" spans="1:14" x14ac:dyDescent="0.3">
      <c r="A147" t="s">
        <v>38</v>
      </c>
      <c r="B147" t="s">
        <v>119</v>
      </c>
      <c r="C147">
        <v>0</v>
      </c>
      <c r="D147">
        <v>2001</v>
      </c>
      <c r="E147" t="s">
        <v>40</v>
      </c>
      <c r="F147">
        <v>3</v>
      </c>
      <c r="G147">
        <v>78</v>
      </c>
      <c r="H147">
        <v>0.09</v>
      </c>
      <c r="I147">
        <v>1.79</v>
      </c>
      <c r="J147">
        <v>-1484</v>
      </c>
      <c r="K147">
        <v>72</v>
      </c>
      <c r="L147">
        <v>1556</v>
      </c>
      <c r="M147">
        <v>0</v>
      </c>
      <c r="N147">
        <v>0</v>
      </c>
    </row>
    <row r="148" spans="1:14" x14ac:dyDescent="0.3">
      <c r="A148" t="s">
        <v>38</v>
      </c>
      <c r="B148" t="s">
        <v>121</v>
      </c>
      <c r="C148">
        <v>0</v>
      </c>
      <c r="D148">
        <v>2001</v>
      </c>
      <c r="E148" t="s">
        <v>40</v>
      </c>
      <c r="F148">
        <v>6</v>
      </c>
      <c r="G148">
        <v>29</v>
      </c>
      <c r="H148">
        <v>0.18</v>
      </c>
      <c r="I148">
        <v>0.67</v>
      </c>
      <c r="J148">
        <v>-338</v>
      </c>
      <c r="K148">
        <v>58</v>
      </c>
      <c r="L148">
        <v>396</v>
      </c>
      <c r="M148">
        <v>0</v>
      </c>
      <c r="N148">
        <v>0</v>
      </c>
    </row>
    <row r="149" spans="1:14" x14ac:dyDescent="0.3">
      <c r="A149" t="s">
        <v>38</v>
      </c>
      <c r="B149" t="s">
        <v>222</v>
      </c>
      <c r="C149">
        <v>0</v>
      </c>
      <c r="D149">
        <v>2001</v>
      </c>
      <c r="E149" t="s">
        <v>40</v>
      </c>
      <c r="F149">
        <v>3</v>
      </c>
      <c r="G149">
        <v>4</v>
      </c>
      <c r="H149">
        <v>0.09</v>
      </c>
      <c r="I149">
        <v>0.09</v>
      </c>
      <c r="J149">
        <v>65</v>
      </c>
      <c r="K149">
        <v>97</v>
      </c>
      <c r="L149">
        <v>32</v>
      </c>
      <c r="M149">
        <v>0</v>
      </c>
      <c r="N149">
        <v>0</v>
      </c>
    </row>
    <row r="150" spans="1:14" x14ac:dyDescent="0.3">
      <c r="A150" t="s">
        <v>38</v>
      </c>
      <c r="B150" t="s">
        <v>124</v>
      </c>
      <c r="C150">
        <v>0</v>
      </c>
      <c r="D150">
        <v>2001</v>
      </c>
      <c r="E150" t="s">
        <v>40</v>
      </c>
      <c r="F150">
        <v>7</v>
      </c>
      <c r="G150">
        <v>11</v>
      </c>
      <c r="H150">
        <v>0.21</v>
      </c>
      <c r="I150">
        <v>0.25</v>
      </c>
      <c r="J150">
        <v>185</v>
      </c>
      <c r="K150">
        <v>348</v>
      </c>
      <c r="L150">
        <v>163</v>
      </c>
      <c r="M150">
        <v>0</v>
      </c>
      <c r="N150">
        <v>0</v>
      </c>
    </row>
    <row r="151" spans="1:14" x14ac:dyDescent="0.3">
      <c r="A151" t="s">
        <v>38</v>
      </c>
      <c r="B151" t="s">
        <v>126</v>
      </c>
      <c r="C151">
        <v>0</v>
      </c>
      <c r="D151">
        <v>2001</v>
      </c>
      <c r="E151" t="s">
        <v>40</v>
      </c>
      <c r="F151">
        <v>6</v>
      </c>
      <c r="G151">
        <v>43</v>
      </c>
      <c r="H151">
        <v>0.18</v>
      </c>
      <c r="I151">
        <v>0.99</v>
      </c>
      <c r="J151">
        <v>-748</v>
      </c>
      <c r="K151">
        <v>274</v>
      </c>
      <c r="L151">
        <v>1022</v>
      </c>
      <c r="M151">
        <v>0</v>
      </c>
      <c r="N151">
        <v>0</v>
      </c>
    </row>
    <row r="152" spans="1:14" x14ac:dyDescent="0.3">
      <c r="A152" t="s">
        <v>38</v>
      </c>
      <c r="B152" t="s">
        <v>127</v>
      </c>
      <c r="C152">
        <v>0</v>
      </c>
      <c r="D152">
        <v>2001</v>
      </c>
      <c r="E152" t="s">
        <v>40</v>
      </c>
      <c r="F152">
        <v>25</v>
      </c>
      <c r="G152">
        <v>1</v>
      </c>
      <c r="H152">
        <v>0.75</v>
      </c>
      <c r="I152">
        <v>0.02</v>
      </c>
      <c r="J152">
        <v>1583</v>
      </c>
      <c r="K152">
        <v>1589</v>
      </c>
      <c r="L152">
        <v>6</v>
      </c>
      <c r="M152">
        <v>0</v>
      </c>
      <c r="N152">
        <v>0.01</v>
      </c>
    </row>
    <row r="153" spans="1:14" x14ac:dyDescent="0.3">
      <c r="A153" t="s">
        <v>38</v>
      </c>
      <c r="B153" t="s">
        <v>224</v>
      </c>
      <c r="C153">
        <v>0</v>
      </c>
      <c r="D153">
        <v>2001</v>
      </c>
      <c r="E153" t="s">
        <v>40</v>
      </c>
      <c r="F153">
        <v>5</v>
      </c>
      <c r="G153">
        <v>6</v>
      </c>
      <c r="H153">
        <v>0.15</v>
      </c>
      <c r="I153">
        <v>0.14000000000000001</v>
      </c>
      <c r="J153">
        <v>-291</v>
      </c>
      <c r="K153">
        <v>35</v>
      </c>
      <c r="L153">
        <v>326</v>
      </c>
      <c r="M153">
        <v>0</v>
      </c>
      <c r="N153">
        <v>0</v>
      </c>
    </row>
    <row r="154" spans="1:14" x14ac:dyDescent="0.3">
      <c r="A154" t="s">
        <v>38</v>
      </c>
      <c r="B154" t="s">
        <v>128</v>
      </c>
      <c r="C154">
        <v>0</v>
      </c>
      <c r="D154">
        <v>2001</v>
      </c>
      <c r="E154" t="s">
        <v>40</v>
      </c>
      <c r="F154">
        <v>5</v>
      </c>
      <c r="G154">
        <v>8</v>
      </c>
      <c r="H154">
        <v>0.15</v>
      </c>
      <c r="I154">
        <v>0.18</v>
      </c>
      <c r="J154">
        <v>797</v>
      </c>
      <c r="K154">
        <v>834</v>
      </c>
      <c r="L154">
        <v>37</v>
      </c>
      <c r="M154">
        <v>0</v>
      </c>
      <c r="N154">
        <v>0</v>
      </c>
    </row>
    <row r="155" spans="1:14" x14ac:dyDescent="0.3">
      <c r="A155" t="s">
        <v>38</v>
      </c>
      <c r="B155" t="s">
        <v>225</v>
      </c>
      <c r="C155">
        <v>0</v>
      </c>
      <c r="D155">
        <v>2001</v>
      </c>
      <c r="E155" t="s">
        <v>40</v>
      </c>
      <c r="G155">
        <v>1</v>
      </c>
      <c r="I155">
        <v>0.02</v>
      </c>
      <c r="L155">
        <v>3</v>
      </c>
      <c r="M155">
        <v>0</v>
      </c>
    </row>
    <row r="156" spans="1:14" x14ac:dyDescent="0.3">
      <c r="A156" t="s">
        <v>38</v>
      </c>
      <c r="B156" t="s">
        <v>129</v>
      </c>
      <c r="C156">
        <v>0</v>
      </c>
      <c r="D156">
        <v>2001</v>
      </c>
      <c r="E156" t="s">
        <v>40</v>
      </c>
      <c r="F156">
        <v>27</v>
      </c>
      <c r="G156">
        <v>27</v>
      </c>
      <c r="H156">
        <v>0.81</v>
      </c>
      <c r="I156">
        <v>0.62</v>
      </c>
      <c r="J156">
        <v>403</v>
      </c>
      <c r="K156">
        <v>788</v>
      </c>
      <c r="L156">
        <v>385</v>
      </c>
      <c r="M156">
        <v>0</v>
      </c>
      <c r="N156">
        <v>0</v>
      </c>
    </row>
    <row r="157" spans="1:14" x14ac:dyDescent="0.3">
      <c r="A157" t="s">
        <v>38</v>
      </c>
      <c r="B157" t="s">
        <v>226</v>
      </c>
      <c r="C157">
        <v>0</v>
      </c>
      <c r="D157">
        <v>2001</v>
      </c>
      <c r="E157" t="s">
        <v>40</v>
      </c>
      <c r="F157">
        <v>6</v>
      </c>
      <c r="G157">
        <v>6</v>
      </c>
      <c r="H157">
        <v>0.18</v>
      </c>
      <c r="I157">
        <v>0.14000000000000001</v>
      </c>
      <c r="J157">
        <v>12</v>
      </c>
      <c r="K157">
        <v>31</v>
      </c>
      <c r="L157">
        <v>19</v>
      </c>
      <c r="M157">
        <v>0</v>
      </c>
      <c r="N157">
        <v>0</v>
      </c>
    </row>
    <row r="158" spans="1:14" x14ac:dyDescent="0.3">
      <c r="A158" t="s">
        <v>38</v>
      </c>
      <c r="B158" t="s">
        <v>227</v>
      </c>
      <c r="C158">
        <v>0</v>
      </c>
      <c r="D158">
        <v>2001</v>
      </c>
      <c r="E158" t="s">
        <v>40</v>
      </c>
      <c r="F158">
        <v>1</v>
      </c>
      <c r="G158">
        <v>1</v>
      </c>
      <c r="H158">
        <v>0.03</v>
      </c>
      <c r="I158">
        <v>0.02</v>
      </c>
      <c r="J158">
        <v>13</v>
      </c>
      <c r="K158">
        <v>14</v>
      </c>
      <c r="L158">
        <v>1</v>
      </c>
      <c r="M158">
        <v>0</v>
      </c>
      <c r="N158">
        <v>0</v>
      </c>
    </row>
    <row r="159" spans="1:14" x14ac:dyDescent="0.3">
      <c r="A159" t="s">
        <v>38</v>
      </c>
      <c r="B159" t="s">
        <v>134</v>
      </c>
      <c r="C159">
        <v>0</v>
      </c>
      <c r="D159">
        <v>2001</v>
      </c>
      <c r="E159" t="s">
        <v>40</v>
      </c>
      <c r="F159">
        <v>59</v>
      </c>
      <c r="G159">
        <v>9</v>
      </c>
      <c r="H159">
        <v>1.76</v>
      </c>
      <c r="I159">
        <v>0.21</v>
      </c>
      <c r="J159">
        <v>5052</v>
      </c>
      <c r="K159">
        <v>5557</v>
      </c>
      <c r="L159">
        <v>505</v>
      </c>
      <c r="M159">
        <v>0</v>
      </c>
      <c r="N159">
        <v>0.02</v>
      </c>
    </row>
    <row r="160" spans="1:14" x14ac:dyDescent="0.3">
      <c r="A160" t="s">
        <v>38</v>
      </c>
      <c r="B160" t="s">
        <v>135</v>
      </c>
      <c r="C160">
        <v>0</v>
      </c>
      <c r="D160">
        <v>2001</v>
      </c>
      <c r="E160" t="s">
        <v>40</v>
      </c>
      <c r="F160">
        <v>3</v>
      </c>
      <c r="G160">
        <v>19</v>
      </c>
      <c r="H160">
        <v>0.09</v>
      </c>
      <c r="I160">
        <v>0.44</v>
      </c>
      <c r="J160">
        <v>-553</v>
      </c>
      <c r="K160">
        <v>116</v>
      </c>
      <c r="L160">
        <v>669</v>
      </c>
      <c r="M160">
        <v>0</v>
      </c>
      <c r="N160">
        <v>0</v>
      </c>
    </row>
    <row r="161" spans="1:14" x14ac:dyDescent="0.3">
      <c r="A161" t="s">
        <v>38</v>
      </c>
      <c r="B161" t="s">
        <v>138</v>
      </c>
      <c r="C161">
        <v>0</v>
      </c>
      <c r="D161">
        <v>2001</v>
      </c>
      <c r="E161" t="s">
        <v>40</v>
      </c>
      <c r="F161">
        <v>7</v>
      </c>
      <c r="G161">
        <v>39</v>
      </c>
      <c r="H161">
        <v>0.21</v>
      </c>
      <c r="I161">
        <v>0.89</v>
      </c>
      <c r="J161">
        <v>-119</v>
      </c>
      <c r="K161">
        <v>59</v>
      </c>
      <c r="L161">
        <v>178</v>
      </c>
      <c r="M161">
        <v>0</v>
      </c>
      <c r="N161">
        <v>0</v>
      </c>
    </row>
    <row r="162" spans="1:14" x14ac:dyDescent="0.3">
      <c r="A162" t="s">
        <v>38</v>
      </c>
      <c r="B162" t="s">
        <v>228</v>
      </c>
      <c r="C162">
        <v>0</v>
      </c>
      <c r="D162">
        <v>2001</v>
      </c>
      <c r="E162" t="s">
        <v>40</v>
      </c>
      <c r="F162">
        <v>34</v>
      </c>
      <c r="G162">
        <v>4</v>
      </c>
      <c r="H162">
        <v>1.01</v>
      </c>
      <c r="I162">
        <v>0.09</v>
      </c>
      <c r="J162">
        <v>1744</v>
      </c>
      <c r="K162">
        <v>1753</v>
      </c>
      <c r="L162">
        <v>9</v>
      </c>
      <c r="M162">
        <v>0</v>
      </c>
      <c r="N162">
        <v>0.01</v>
      </c>
    </row>
    <row r="163" spans="1:14" x14ac:dyDescent="0.3">
      <c r="A163" t="s">
        <v>38</v>
      </c>
      <c r="B163" t="s">
        <v>143</v>
      </c>
      <c r="C163">
        <v>0</v>
      </c>
      <c r="D163">
        <v>2001</v>
      </c>
      <c r="E163" t="s">
        <v>40</v>
      </c>
      <c r="F163">
        <v>45</v>
      </c>
      <c r="G163">
        <v>16</v>
      </c>
      <c r="H163">
        <v>1.34</v>
      </c>
      <c r="I163">
        <v>0.37</v>
      </c>
      <c r="J163">
        <v>-224</v>
      </c>
      <c r="K163">
        <v>1237</v>
      </c>
      <c r="L163">
        <v>1461</v>
      </c>
      <c r="M163">
        <v>0</v>
      </c>
      <c r="N163">
        <v>0</v>
      </c>
    </row>
    <row r="164" spans="1:14" x14ac:dyDescent="0.3">
      <c r="A164" t="s">
        <v>38</v>
      </c>
      <c r="B164" t="s">
        <v>146</v>
      </c>
      <c r="C164">
        <v>0</v>
      </c>
      <c r="D164">
        <v>2001</v>
      </c>
      <c r="E164" t="s">
        <v>40</v>
      </c>
      <c r="G164">
        <v>4</v>
      </c>
      <c r="I164">
        <v>0.09</v>
      </c>
      <c r="L164">
        <v>153</v>
      </c>
      <c r="M164">
        <v>0</v>
      </c>
    </row>
    <row r="165" spans="1:14" x14ac:dyDescent="0.3">
      <c r="A165" t="s">
        <v>38</v>
      </c>
      <c r="B165" t="s">
        <v>148</v>
      </c>
      <c r="C165">
        <v>0</v>
      </c>
      <c r="D165">
        <v>2001</v>
      </c>
      <c r="E165" t="s">
        <v>40</v>
      </c>
      <c r="F165">
        <v>27</v>
      </c>
      <c r="G165">
        <v>68</v>
      </c>
      <c r="H165">
        <v>0.81</v>
      </c>
      <c r="I165">
        <v>1.56</v>
      </c>
      <c r="J165">
        <v>-34</v>
      </c>
      <c r="K165">
        <v>488</v>
      </c>
      <c r="L165">
        <v>522</v>
      </c>
      <c r="M165">
        <v>0</v>
      </c>
      <c r="N165">
        <v>0</v>
      </c>
    </row>
    <row r="166" spans="1:14" x14ac:dyDescent="0.3">
      <c r="A166" t="s">
        <v>38</v>
      </c>
      <c r="B166" t="s">
        <v>150</v>
      </c>
      <c r="C166">
        <v>0</v>
      </c>
      <c r="D166">
        <v>2001</v>
      </c>
      <c r="E166" t="s">
        <v>40</v>
      </c>
      <c r="F166">
        <v>3</v>
      </c>
      <c r="G166">
        <v>3</v>
      </c>
      <c r="H166">
        <v>0.09</v>
      </c>
      <c r="I166">
        <v>7.0000000000000007E-2</v>
      </c>
      <c r="J166">
        <v>-691</v>
      </c>
      <c r="K166">
        <v>106</v>
      </c>
      <c r="L166">
        <v>797</v>
      </c>
      <c r="M166">
        <v>0</v>
      </c>
      <c r="N166">
        <v>0</v>
      </c>
    </row>
    <row r="167" spans="1:14" x14ac:dyDescent="0.3">
      <c r="A167" t="s">
        <v>38</v>
      </c>
      <c r="B167" t="s">
        <v>151</v>
      </c>
      <c r="C167">
        <v>0</v>
      </c>
      <c r="D167">
        <v>2001</v>
      </c>
      <c r="E167" t="s">
        <v>40</v>
      </c>
      <c r="F167">
        <v>24</v>
      </c>
      <c r="G167">
        <v>1</v>
      </c>
      <c r="H167">
        <v>0.72</v>
      </c>
      <c r="I167">
        <v>0.02</v>
      </c>
      <c r="J167">
        <v>1034</v>
      </c>
      <c r="K167">
        <v>1035</v>
      </c>
      <c r="L167">
        <v>1</v>
      </c>
      <c r="M167">
        <v>0</v>
      </c>
      <c r="N167">
        <v>0</v>
      </c>
    </row>
    <row r="168" spans="1:14" x14ac:dyDescent="0.3">
      <c r="A168" t="s">
        <v>38</v>
      </c>
      <c r="B168" t="s">
        <v>154</v>
      </c>
      <c r="C168">
        <v>0</v>
      </c>
      <c r="D168">
        <v>2001</v>
      </c>
      <c r="E168" t="s">
        <v>40</v>
      </c>
      <c r="F168">
        <v>2</v>
      </c>
      <c r="G168">
        <v>5</v>
      </c>
      <c r="H168">
        <v>0.06</v>
      </c>
      <c r="I168">
        <v>0.11</v>
      </c>
      <c r="J168">
        <v>-435</v>
      </c>
      <c r="K168">
        <v>10</v>
      </c>
      <c r="L168">
        <v>445</v>
      </c>
      <c r="M168">
        <v>0</v>
      </c>
      <c r="N168">
        <v>0</v>
      </c>
    </row>
    <row r="169" spans="1:14" x14ac:dyDescent="0.3">
      <c r="A169" t="s">
        <v>38</v>
      </c>
      <c r="B169" t="s">
        <v>157</v>
      </c>
      <c r="C169">
        <v>0</v>
      </c>
      <c r="D169">
        <v>2001</v>
      </c>
      <c r="E169" t="s">
        <v>40</v>
      </c>
      <c r="F169">
        <v>10</v>
      </c>
      <c r="G169">
        <v>6</v>
      </c>
      <c r="H169">
        <v>0.3</v>
      </c>
      <c r="I169">
        <v>0.14000000000000001</v>
      </c>
      <c r="J169">
        <v>-347</v>
      </c>
      <c r="K169">
        <v>390</v>
      </c>
      <c r="L169">
        <v>737</v>
      </c>
      <c r="M169">
        <v>0</v>
      </c>
      <c r="N169">
        <v>0</v>
      </c>
    </row>
    <row r="170" spans="1:14" x14ac:dyDescent="0.3">
      <c r="A170" t="s">
        <v>38</v>
      </c>
      <c r="B170" t="s">
        <v>158</v>
      </c>
      <c r="C170">
        <v>0</v>
      </c>
      <c r="D170">
        <v>2001</v>
      </c>
      <c r="E170" t="s">
        <v>40</v>
      </c>
      <c r="F170">
        <v>25</v>
      </c>
      <c r="G170">
        <v>19</v>
      </c>
      <c r="H170">
        <v>0.75</v>
      </c>
      <c r="I170">
        <v>0.44</v>
      </c>
      <c r="J170">
        <v>501</v>
      </c>
      <c r="K170">
        <v>581</v>
      </c>
      <c r="L170">
        <v>80</v>
      </c>
      <c r="M170">
        <v>0</v>
      </c>
      <c r="N170">
        <v>0</v>
      </c>
    </row>
    <row r="171" spans="1:14" x14ac:dyDescent="0.3">
      <c r="A171" t="s">
        <v>38</v>
      </c>
      <c r="B171" t="s">
        <v>162</v>
      </c>
      <c r="C171">
        <v>0</v>
      </c>
      <c r="D171">
        <v>2001</v>
      </c>
      <c r="E171" t="s">
        <v>40</v>
      </c>
      <c r="F171">
        <v>34</v>
      </c>
      <c r="G171">
        <v>30</v>
      </c>
      <c r="H171">
        <v>1.01</v>
      </c>
      <c r="I171">
        <v>0.69</v>
      </c>
      <c r="J171">
        <v>571</v>
      </c>
      <c r="K171">
        <v>939</v>
      </c>
      <c r="L171">
        <v>368</v>
      </c>
      <c r="M171">
        <v>0</v>
      </c>
      <c r="N171">
        <v>0</v>
      </c>
    </row>
    <row r="172" spans="1:14" x14ac:dyDescent="0.3">
      <c r="A172" t="s">
        <v>38</v>
      </c>
      <c r="B172" t="s">
        <v>163</v>
      </c>
      <c r="C172">
        <v>0</v>
      </c>
      <c r="D172">
        <v>2001</v>
      </c>
      <c r="E172" t="s">
        <v>40</v>
      </c>
      <c r="F172">
        <v>8</v>
      </c>
      <c r="G172">
        <v>13</v>
      </c>
      <c r="H172">
        <v>0.24</v>
      </c>
      <c r="I172">
        <v>0.3</v>
      </c>
      <c r="J172">
        <v>-32</v>
      </c>
      <c r="K172">
        <v>302</v>
      </c>
      <c r="L172">
        <v>334</v>
      </c>
      <c r="M172">
        <v>0</v>
      </c>
      <c r="N172">
        <v>0</v>
      </c>
    </row>
    <row r="173" spans="1:14" x14ac:dyDescent="0.3">
      <c r="A173" t="s">
        <v>38</v>
      </c>
      <c r="B173" t="s">
        <v>229</v>
      </c>
      <c r="C173">
        <v>0</v>
      </c>
      <c r="D173">
        <v>2001</v>
      </c>
      <c r="E173" t="s">
        <v>40</v>
      </c>
      <c r="F173">
        <v>8</v>
      </c>
      <c r="G173">
        <v>7</v>
      </c>
      <c r="H173">
        <v>0.24</v>
      </c>
      <c r="I173">
        <v>0.16</v>
      </c>
      <c r="J173">
        <v>108</v>
      </c>
      <c r="K173">
        <v>172</v>
      </c>
      <c r="L173">
        <v>64</v>
      </c>
      <c r="M173">
        <v>0</v>
      </c>
      <c r="N173">
        <v>0</v>
      </c>
    </row>
    <row r="174" spans="1:14" x14ac:dyDescent="0.3">
      <c r="A174" t="s">
        <v>38</v>
      </c>
      <c r="B174" t="s">
        <v>166</v>
      </c>
      <c r="C174">
        <v>0</v>
      </c>
      <c r="D174">
        <v>2001</v>
      </c>
      <c r="E174" t="s">
        <v>40</v>
      </c>
      <c r="F174">
        <v>1</v>
      </c>
      <c r="G174">
        <v>7</v>
      </c>
      <c r="H174">
        <v>0.03</v>
      </c>
      <c r="I174">
        <v>0.16</v>
      </c>
      <c r="J174">
        <v>-30</v>
      </c>
      <c r="K174">
        <v>2</v>
      </c>
      <c r="L174">
        <v>32</v>
      </c>
      <c r="M174">
        <v>0</v>
      </c>
      <c r="N174">
        <v>0</v>
      </c>
    </row>
    <row r="175" spans="1:14" x14ac:dyDescent="0.3">
      <c r="A175" t="s">
        <v>38</v>
      </c>
      <c r="B175" t="s">
        <v>167</v>
      </c>
      <c r="C175">
        <v>0</v>
      </c>
      <c r="D175">
        <v>2001</v>
      </c>
      <c r="E175" t="s">
        <v>40</v>
      </c>
      <c r="F175">
        <v>3</v>
      </c>
      <c r="G175">
        <v>2</v>
      </c>
      <c r="H175">
        <v>0.09</v>
      </c>
      <c r="I175">
        <v>0.05</v>
      </c>
      <c r="J175">
        <v>-21</v>
      </c>
      <c r="K175">
        <v>26</v>
      </c>
      <c r="L175">
        <v>47</v>
      </c>
      <c r="M175">
        <v>0</v>
      </c>
      <c r="N175">
        <v>0</v>
      </c>
    </row>
    <row r="176" spans="1:14" x14ac:dyDescent="0.3">
      <c r="A176" t="s">
        <v>38</v>
      </c>
      <c r="B176" t="s">
        <v>232</v>
      </c>
      <c r="C176">
        <v>0</v>
      </c>
      <c r="D176">
        <v>2001</v>
      </c>
      <c r="E176" t="s">
        <v>40</v>
      </c>
      <c r="G176">
        <v>10</v>
      </c>
      <c r="I176">
        <v>0.23</v>
      </c>
      <c r="L176">
        <v>86</v>
      </c>
      <c r="M176">
        <v>0</v>
      </c>
    </row>
    <row r="177" spans="1:14" x14ac:dyDescent="0.3">
      <c r="A177" t="s">
        <v>38</v>
      </c>
      <c r="B177" t="s">
        <v>169</v>
      </c>
      <c r="C177">
        <v>0</v>
      </c>
      <c r="D177">
        <v>2001</v>
      </c>
      <c r="E177" t="s">
        <v>40</v>
      </c>
      <c r="F177">
        <v>62</v>
      </c>
      <c r="G177">
        <v>5</v>
      </c>
      <c r="H177">
        <v>1.85</v>
      </c>
      <c r="I177">
        <v>0.11</v>
      </c>
      <c r="J177">
        <v>699</v>
      </c>
      <c r="K177">
        <v>1235</v>
      </c>
      <c r="L177">
        <v>536</v>
      </c>
      <c r="M177">
        <v>0</v>
      </c>
      <c r="N177">
        <v>0</v>
      </c>
    </row>
    <row r="178" spans="1:14" x14ac:dyDescent="0.3">
      <c r="A178" t="s">
        <v>38</v>
      </c>
      <c r="B178" t="s">
        <v>170</v>
      </c>
      <c r="C178">
        <v>0</v>
      </c>
      <c r="D178">
        <v>2001</v>
      </c>
      <c r="E178" t="s">
        <v>40</v>
      </c>
      <c r="F178">
        <v>176</v>
      </c>
      <c r="G178">
        <v>47</v>
      </c>
      <c r="H178">
        <v>5.25</v>
      </c>
      <c r="I178">
        <v>1.08</v>
      </c>
      <c r="J178">
        <v>17977</v>
      </c>
      <c r="K178">
        <v>19168</v>
      </c>
      <c r="L178">
        <v>1191</v>
      </c>
      <c r="M178">
        <v>0</v>
      </c>
      <c r="N178">
        <v>0.06</v>
      </c>
    </row>
    <row r="179" spans="1:14" x14ac:dyDescent="0.3">
      <c r="A179" t="s">
        <v>38</v>
      </c>
      <c r="B179" t="s">
        <v>233</v>
      </c>
      <c r="C179">
        <v>0</v>
      </c>
      <c r="D179">
        <v>2001</v>
      </c>
      <c r="E179" t="s">
        <v>40</v>
      </c>
      <c r="F179">
        <v>2</v>
      </c>
      <c r="G179">
        <v>2</v>
      </c>
      <c r="H179">
        <v>0.06</v>
      </c>
      <c r="I179">
        <v>0.05</v>
      </c>
      <c r="J179">
        <v>-412</v>
      </c>
      <c r="K179">
        <v>44</v>
      </c>
      <c r="L179">
        <v>456</v>
      </c>
      <c r="M179">
        <v>0</v>
      </c>
      <c r="N179">
        <v>0</v>
      </c>
    </row>
    <row r="180" spans="1:14" x14ac:dyDescent="0.3">
      <c r="A180" t="s">
        <v>38</v>
      </c>
      <c r="B180" t="s">
        <v>235</v>
      </c>
      <c r="C180">
        <v>0</v>
      </c>
      <c r="D180">
        <v>2001</v>
      </c>
      <c r="E180" t="s">
        <v>40</v>
      </c>
      <c r="F180">
        <v>59</v>
      </c>
      <c r="G180">
        <v>4</v>
      </c>
      <c r="H180">
        <v>1.76</v>
      </c>
      <c r="I180">
        <v>0.09</v>
      </c>
      <c r="J180">
        <v>1010</v>
      </c>
      <c r="K180">
        <v>1472</v>
      </c>
      <c r="L180">
        <v>462</v>
      </c>
      <c r="M180">
        <v>0</v>
      </c>
      <c r="N180">
        <v>0</v>
      </c>
    </row>
    <row r="181" spans="1:14" x14ac:dyDescent="0.3">
      <c r="A181" t="s">
        <v>38</v>
      </c>
      <c r="B181" t="s">
        <v>236</v>
      </c>
      <c r="C181">
        <v>0</v>
      </c>
      <c r="D181">
        <v>2001</v>
      </c>
      <c r="E181" t="s">
        <v>40</v>
      </c>
      <c r="G181">
        <v>1</v>
      </c>
      <c r="I181">
        <v>0.02</v>
      </c>
      <c r="L181">
        <v>2</v>
      </c>
      <c r="M181">
        <v>0</v>
      </c>
    </row>
    <row r="182" spans="1:14" x14ac:dyDescent="0.3">
      <c r="A182" t="s">
        <v>38</v>
      </c>
      <c r="B182" t="s">
        <v>172</v>
      </c>
      <c r="C182">
        <v>0</v>
      </c>
      <c r="D182">
        <v>2001</v>
      </c>
      <c r="E182" t="s">
        <v>40</v>
      </c>
      <c r="F182">
        <v>6</v>
      </c>
      <c r="G182">
        <v>3</v>
      </c>
      <c r="H182">
        <v>0.18</v>
      </c>
      <c r="I182">
        <v>7.0000000000000007E-2</v>
      </c>
      <c r="J182">
        <v>146</v>
      </c>
      <c r="K182">
        <v>153</v>
      </c>
      <c r="L182">
        <v>7</v>
      </c>
      <c r="M182">
        <v>0</v>
      </c>
      <c r="N182">
        <v>0</v>
      </c>
    </row>
    <row r="183" spans="1:14" x14ac:dyDescent="0.3">
      <c r="A183" t="s">
        <v>38</v>
      </c>
      <c r="B183" t="s">
        <v>237</v>
      </c>
      <c r="C183">
        <v>0</v>
      </c>
      <c r="D183">
        <v>2001</v>
      </c>
      <c r="E183" t="s">
        <v>40</v>
      </c>
      <c r="G183">
        <v>2</v>
      </c>
      <c r="I183">
        <v>0.05</v>
      </c>
      <c r="L183">
        <v>9</v>
      </c>
      <c r="M183">
        <v>0</v>
      </c>
    </row>
    <row r="184" spans="1:14" x14ac:dyDescent="0.3">
      <c r="A184" t="s">
        <v>38</v>
      </c>
      <c r="B184" t="s">
        <v>178</v>
      </c>
      <c r="C184">
        <v>0</v>
      </c>
      <c r="D184">
        <v>2001</v>
      </c>
      <c r="E184" t="s">
        <v>40</v>
      </c>
      <c r="F184">
        <v>35</v>
      </c>
      <c r="G184">
        <v>15</v>
      </c>
      <c r="H184">
        <v>1.04</v>
      </c>
      <c r="I184">
        <v>0.34</v>
      </c>
      <c r="J184">
        <v>696</v>
      </c>
      <c r="K184">
        <v>1157</v>
      </c>
      <c r="L184">
        <v>461</v>
      </c>
      <c r="M184">
        <v>0</v>
      </c>
      <c r="N184">
        <v>0</v>
      </c>
    </row>
    <row r="185" spans="1:14" x14ac:dyDescent="0.3">
      <c r="A185" t="s">
        <v>38</v>
      </c>
      <c r="B185" t="s">
        <v>240</v>
      </c>
      <c r="C185">
        <v>0</v>
      </c>
      <c r="D185">
        <v>2001</v>
      </c>
      <c r="E185" t="s">
        <v>40</v>
      </c>
      <c r="F185">
        <v>1</v>
      </c>
      <c r="G185">
        <v>1</v>
      </c>
      <c r="H185">
        <v>0.03</v>
      </c>
      <c r="I185">
        <v>0.02</v>
      </c>
      <c r="J185">
        <v>1</v>
      </c>
      <c r="K185">
        <v>2</v>
      </c>
      <c r="L185">
        <v>1</v>
      </c>
      <c r="M185">
        <v>0</v>
      </c>
      <c r="N185">
        <v>0</v>
      </c>
    </row>
    <row r="186" spans="1:14" x14ac:dyDescent="0.3">
      <c r="A186" t="s">
        <v>38</v>
      </c>
      <c r="B186" t="s">
        <v>181</v>
      </c>
      <c r="C186">
        <v>0</v>
      </c>
      <c r="D186">
        <v>2001</v>
      </c>
      <c r="E186" t="s">
        <v>40</v>
      </c>
      <c r="F186">
        <v>43</v>
      </c>
      <c r="G186">
        <v>17</v>
      </c>
      <c r="H186">
        <v>1.28</v>
      </c>
      <c r="I186">
        <v>0.39</v>
      </c>
      <c r="J186">
        <v>3134</v>
      </c>
      <c r="K186">
        <v>3589</v>
      </c>
      <c r="L186">
        <v>455</v>
      </c>
      <c r="M186">
        <v>0</v>
      </c>
      <c r="N186">
        <v>0.01</v>
      </c>
    </row>
    <row r="187" spans="1:14" x14ac:dyDescent="0.3">
      <c r="A187" t="s">
        <v>38</v>
      </c>
      <c r="B187" t="s">
        <v>185</v>
      </c>
      <c r="C187">
        <v>0</v>
      </c>
      <c r="D187">
        <v>2001</v>
      </c>
      <c r="E187" t="s">
        <v>40</v>
      </c>
      <c r="F187">
        <v>28</v>
      </c>
      <c r="G187">
        <v>3</v>
      </c>
      <c r="H187">
        <v>0.84</v>
      </c>
      <c r="I187">
        <v>7.0000000000000007E-2</v>
      </c>
      <c r="J187">
        <v>2159</v>
      </c>
      <c r="K187">
        <v>2311</v>
      </c>
      <c r="L187">
        <v>152</v>
      </c>
      <c r="M187">
        <v>0</v>
      </c>
      <c r="N187">
        <v>0.01</v>
      </c>
    </row>
    <row r="188" spans="1:14" x14ac:dyDescent="0.3">
      <c r="A188" t="s">
        <v>38</v>
      </c>
      <c r="B188" t="s">
        <v>187</v>
      </c>
      <c r="C188">
        <v>0</v>
      </c>
      <c r="D188">
        <v>2001</v>
      </c>
      <c r="E188" t="s">
        <v>40</v>
      </c>
      <c r="F188">
        <v>7</v>
      </c>
      <c r="G188">
        <v>9</v>
      </c>
      <c r="H188">
        <v>0.21</v>
      </c>
      <c r="I188">
        <v>0.21</v>
      </c>
      <c r="J188">
        <v>-120</v>
      </c>
      <c r="K188">
        <v>65</v>
      </c>
      <c r="L188">
        <v>185</v>
      </c>
      <c r="M188">
        <v>0</v>
      </c>
      <c r="N188">
        <v>0</v>
      </c>
    </row>
    <row r="189" spans="1:14" x14ac:dyDescent="0.3">
      <c r="A189" t="s">
        <v>38</v>
      </c>
      <c r="B189" t="s">
        <v>188</v>
      </c>
      <c r="C189">
        <v>0</v>
      </c>
      <c r="D189">
        <v>2001</v>
      </c>
      <c r="E189" t="s">
        <v>40</v>
      </c>
      <c r="F189">
        <v>6</v>
      </c>
      <c r="G189">
        <v>4</v>
      </c>
      <c r="H189">
        <v>0.18</v>
      </c>
      <c r="I189">
        <v>0.09</v>
      </c>
      <c r="J189">
        <v>-18</v>
      </c>
      <c r="K189">
        <v>41</v>
      </c>
      <c r="L189">
        <v>59</v>
      </c>
      <c r="M189">
        <v>0</v>
      </c>
      <c r="N189">
        <v>0</v>
      </c>
    </row>
  </sheetData>
  <sortState xmlns:xlrd2="http://schemas.microsoft.com/office/spreadsheetml/2017/richdata2" ref="A2:AM189">
    <sortCondition descending="1" ref="M2:M18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7093B-31F1-4B5B-BAE9-B2909CB68AE5}">
  <dimension ref="A1:AM165"/>
  <sheetViews>
    <sheetView topLeftCell="A52" workbookViewId="0">
      <selection activeCell="C1" sqref="C1:C1048576"/>
    </sheetView>
  </sheetViews>
  <sheetFormatPr defaultRowHeight="14.4" x14ac:dyDescent="0.3"/>
  <cols>
    <col min="3" max="3" width="9.109375"/>
  </cols>
  <sheetData>
    <row r="1" spans="1:39" x14ac:dyDescent="0.3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3">
      <c r="A2" t="s">
        <v>38</v>
      </c>
      <c r="B2" t="s">
        <v>184</v>
      </c>
      <c r="C2">
        <v>100</v>
      </c>
      <c r="D2">
        <v>2008</v>
      </c>
      <c r="E2" t="s">
        <v>40</v>
      </c>
      <c r="F2">
        <v>3057</v>
      </c>
      <c r="G2">
        <v>3977</v>
      </c>
      <c r="H2">
        <v>100</v>
      </c>
      <c r="I2">
        <v>100</v>
      </c>
      <c r="J2">
        <v>-573558</v>
      </c>
      <c r="K2">
        <v>108211166</v>
      </c>
      <c r="L2">
        <v>108784724</v>
      </c>
      <c r="M2">
        <v>100</v>
      </c>
      <c r="N2">
        <v>100</v>
      </c>
      <c r="O2">
        <v>2.27</v>
      </c>
      <c r="P2">
        <v>1.1100000000000001</v>
      </c>
      <c r="Q2">
        <v>83800</v>
      </c>
      <c r="R2">
        <v>37.47</v>
      </c>
      <c r="S2">
        <v>58.42</v>
      </c>
      <c r="T2">
        <v>0.9</v>
      </c>
      <c r="U2">
        <v>3.21</v>
      </c>
      <c r="V2">
        <v>174.79</v>
      </c>
      <c r="W2">
        <v>0</v>
      </c>
      <c r="X2">
        <v>37026</v>
      </c>
      <c r="Y2">
        <v>9521416</v>
      </c>
      <c r="Z2">
        <v>19567735</v>
      </c>
      <c r="AA2">
        <v>5.46</v>
      </c>
      <c r="AB2">
        <v>1.74</v>
      </c>
      <c r="AC2">
        <v>14237</v>
      </c>
      <c r="AD2">
        <v>62.98</v>
      </c>
      <c r="AE2">
        <v>26.52</v>
      </c>
      <c r="AF2">
        <v>0.19</v>
      </c>
      <c r="AG2">
        <v>1.59</v>
      </c>
      <c r="AH2">
        <v>457.68</v>
      </c>
      <c r="AI2">
        <v>0</v>
      </c>
      <c r="AJ2">
        <v>40353</v>
      </c>
      <c r="AK2">
        <v>14280897</v>
      </c>
      <c r="AL2">
        <v>14808254</v>
      </c>
    </row>
    <row r="3" spans="1:39" x14ac:dyDescent="0.3">
      <c r="A3" t="s">
        <v>38</v>
      </c>
      <c r="B3" t="s">
        <v>78</v>
      </c>
      <c r="C3">
        <v>82.04</v>
      </c>
      <c r="D3">
        <v>2008</v>
      </c>
      <c r="E3" t="s">
        <v>40</v>
      </c>
      <c r="F3">
        <v>3048</v>
      </c>
      <c r="G3">
        <v>3967</v>
      </c>
      <c r="H3">
        <v>99.71</v>
      </c>
      <c r="I3">
        <v>99.75</v>
      </c>
      <c r="J3">
        <v>9585438</v>
      </c>
      <c r="K3">
        <v>98834544</v>
      </c>
      <c r="L3">
        <v>89249106</v>
      </c>
      <c r="M3">
        <v>82.04</v>
      </c>
      <c r="N3">
        <v>91.33</v>
      </c>
      <c r="O3">
        <v>1.07</v>
      </c>
      <c r="P3">
        <v>0.68</v>
      </c>
      <c r="Q3">
        <v>23806</v>
      </c>
      <c r="R3">
        <v>15.25</v>
      </c>
      <c r="S3">
        <v>80.569999999999993</v>
      </c>
      <c r="T3">
        <v>0.87</v>
      </c>
      <c r="U3">
        <v>3.32</v>
      </c>
      <c r="V3">
        <v>174.79</v>
      </c>
      <c r="W3">
        <v>0</v>
      </c>
      <c r="X3">
        <v>6492</v>
      </c>
      <c r="Y3">
        <v>587386</v>
      </c>
      <c r="Z3">
        <v>9189477</v>
      </c>
      <c r="AA3">
        <v>4.5</v>
      </c>
      <c r="AB3">
        <v>1.49</v>
      </c>
      <c r="AC3">
        <v>8894</v>
      </c>
      <c r="AD3">
        <v>67.010000000000005</v>
      </c>
      <c r="AE3">
        <v>25.7</v>
      </c>
      <c r="AF3">
        <v>0.39</v>
      </c>
      <c r="AG3">
        <v>2.33</v>
      </c>
      <c r="AH3">
        <v>174.79</v>
      </c>
      <c r="AI3">
        <v>0</v>
      </c>
      <c r="AJ3">
        <v>9485</v>
      </c>
      <c r="AK3">
        <v>2762470</v>
      </c>
      <c r="AL3">
        <v>7014393</v>
      </c>
    </row>
    <row r="4" spans="1:39" x14ac:dyDescent="0.3">
      <c r="A4" t="s">
        <v>38</v>
      </c>
      <c r="B4" t="s">
        <v>72</v>
      </c>
      <c r="C4">
        <v>25.53</v>
      </c>
      <c r="D4">
        <v>2008</v>
      </c>
      <c r="E4" t="s">
        <v>40</v>
      </c>
      <c r="F4">
        <v>2102</v>
      </c>
      <c r="G4">
        <v>3709</v>
      </c>
      <c r="H4">
        <v>68.760000000000005</v>
      </c>
      <c r="I4">
        <v>93.26</v>
      </c>
      <c r="J4">
        <v>1132719</v>
      </c>
      <c r="K4">
        <v>28909331</v>
      </c>
      <c r="L4">
        <v>27776612</v>
      </c>
      <c r="M4">
        <v>25.53</v>
      </c>
      <c r="N4">
        <v>26.72</v>
      </c>
    </row>
    <row r="5" spans="1:39" x14ac:dyDescent="0.3">
      <c r="A5" t="s">
        <v>38</v>
      </c>
      <c r="B5" t="s">
        <v>77</v>
      </c>
      <c r="C5">
        <v>12.96</v>
      </c>
      <c r="D5">
        <v>2008</v>
      </c>
      <c r="E5" t="s">
        <v>40</v>
      </c>
      <c r="F5">
        <v>1219</v>
      </c>
      <c r="G5">
        <v>2506</v>
      </c>
      <c r="H5">
        <v>39.880000000000003</v>
      </c>
      <c r="I5">
        <v>63.01</v>
      </c>
      <c r="J5">
        <v>-11372201</v>
      </c>
      <c r="K5">
        <v>2723239</v>
      </c>
      <c r="L5">
        <v>14095440</v>
      </c>
      <c r="M5">
        <v>12.96</v>
      </c>
      <c r="N5">
        <v>2.52</v>
      </c>
      <c r="O5">
        <v>2.73</v>
      </c>
      <c r="P5">
        <v>1.1000000000000001</v>
      </c>
      <c r="Q5">
        <v>29597</v>
      </c>
      <c r="R5">
        <v>49.8</v>
      </c>
      <c r="S5">
        <v>47.5</v>
      </c>
      <c r="T5">
        <v>0.71</v>
      </c>
      <c r="U5">
        <v>1.99</v>
      </c>
      <c r="V5">
        <v>174.79</v>
      </c>
      <c r="W5">
        <v>0</v>
      </c>
      <c r="X5">
        <v>8740</v>
      </c>
      <c r="Y5">
        <v>5978915</v>
      </c>
      <c r="Z5">
        <v>7980931</v>
      </c>
      <c r="AA5">
        <v>4.3499999999999996</v>
      </c>
      <c r="AB5">
        <v>1.75</v>
      </c>
      <c r="AC5">
        <v>8543</v>
      </c>
      <c r="AD5">
        <v>69.34</v>
      </c>
      <c r="AE5">
        <v>26.06</v>
      </c>
      <c r="AF5">
        <v>0.23</v>
      </c>
      <c r="AG5">
        <v>1.1000000000000001</v>
      </c>
      <c r="AH5">
        <v>174.79</v>
      </c>
      <c r="AI5">
        <v>0</v>
      </c>
      <c r="AJ5">
        <v>8740</v>
      </c>
      <c r="AK5">
        <v>8218106</v>
      </c>
      <c r="AL5">
        <v>5741740</v>
      </c>
    </row>
    <row r="6" spans="1:39" x14ac:dyDescent="0.3">
      <c r="A6" t="s">
        <v>38</v>
      </c>
      <c r="B6" t="s">
        <v>153</v>
      </c>
      <c r="C6">
        <v>9.34</v>
      </c>
      <c r="D6">
        <v>2008</v>
      </c>
      <c r="E6" t="s">
        <v>40</v>
      </c>
      <c r="F6">
        <v>1096</v>
      </c>
      <c r="G6">
        <v>448</v>
      </c>
      <c r="H6">
        <v>35.85</v>
      </c>
      <c r="I6">
        <v>11.26</v>
      </c>
      <c r="J6">
        <v>-6285083</v>
      </c>
      <c r="K6">
        <v>3872211</v>
      </c>
      <c r="L6">
        <v>10157294</v>
      </c>
      <c r="M6">
        <v>9.34</v>
      </c>
      <c r="N6">
        <v>3.58</v>
      </c>
      <c r="O6">
        <v>0.97</v>
      </c>
      <c r="P6">
        <v>0.06</v>
      </c>
      <c r="Q6">
        <v>2292</v>
      </c>
      <c r="R6">
        <v>20.2</v>
      </c>
      <c r="S6">
        <v>74.3</v>
      </c>
      <c r="T6">
        <v>1</v>
      </c>
      <c r="U6">
        <v>4.49</v>
      </c>
      <c r="V6">
        <v>50.15</v>
      </c>
      <c r="W6">
        <v>0</v>
      </c>
      <c r="X6">
        <v>520</v>
      </c>
      <c r="Y6">
        <v>112430</v>
      </c>
      <c r="Z6">
        <v>5379981</v>
      </c>
      <c r="AA6">
        <v>2.97</v>
      </c>
      <c r="AB6">
        <v>0.4</v>
      </c>
      <c r="AC6">
        <v>2292</v>
      </c>
      <c r="AD6">
        <v>59.42</v>
      </c>
      <c r="AE6">
        <v>34.9</v>
      </c>
      <c r="AF6">
        <v>1</v>
      </c>
      <c r="AG6">
        <v>4.67</v>
      </c>
      <c r="AH6">
        <v>50.15</v>
      </c>
      <c r="AI6">
        <v>0</v>
      </c>
      <c r="AJ6">
        <v>520</v>
      </c>
      <c r="AK6">
        <v>801032</v>
      </c>
      <c r="AL6">
        <v>4691379</v>
      </c>
    </row>
    <row r="7" spans="1:39" x14ac:dyDescent="0.3">
      <c r="A7" t="s">
        <v>38</v>
      </c>
      <c r="B7" t="s">
        <v>47</v>
      </c>
      <c r="C7">
        <v>6.17</v>
      </c>
      <c r="D7">
        <v>2008</v>
      </c>
      <c r="E7" t="s">
        <v>40</v>
      </c>
      <c r="F7">
        <v>1796</v>
      </c>
      <c r="G7">
        <v>3173</v>
      </c>
      <c r="H7">
        <v>58.75</v>
      </c>
      <c r="I7">
        <v>79.78</v>
      </c>
      <c r="J7">
        <v>-1412072</v>
      </c>
      <c r="K7">
        <v>5303746</v>
      </c>
      <c r="L7">
        <v>6715818</v>
      </c>
      <c r="M7">
        <v>6.17</v>
      </c>
      <c r="N7">
        <v>4.9000000000000004</v>
      </c>
    </row>
    <row r="8" spans="1:39" x14ac:dyDescent="0.3">
      <c r="A8" t="s">
        <v>38</v>
      </c>
      <c r="B8" t="s">
        <v>62</v>
      </c>
      <c r="C8">
        <v>5.63</v>
      </c>
      <c r="D8">
        <v>2008</v>
      </c>
      <c r="E8" t="s">
        <v>40</v>
      </c>
      <c r="F8">
        <v>656</v>
      </c>
      <c r="G8">
        <v>2161</v>
      </c>
      <c r="H8">
        <v>21.46</v>
      </c>
      <c r="I8">
        <v>54.34</v>
      </c>
      <c r="J8">
        <v>-5019133</v>
      </c>
      <c r="K8">
        <v>1110516</v>
      </c>
      <c r="L8">
        <v>6129649</v>
      </c>
      <c r="M8">
        <v>5.63</v>
      </c>
      <c r="N8">
        <v>1.03</v>
      </c>
      <c r="O8">
        <v>2.06</v>
      </c>
      <c r="P8">
        <v>0.31</v>
      </c>
      <c r="Q8">
        <v>7330</v>
      </c>
      <c r="R8">
        <v>31.79</v>
      </c>
      <c r="S8">
        <v>65.58</v>
      </c>
      <c r="T8">
        <v>0.76</v>
      </c>
      <c r="U8">
        <v>1.87</v>
      </c>
      <c r="V8">
        <v>174.79</v>
      </c>
      <c r="W8">
        <v>0</v>
      </c>
      <c r="X8">
        <v>2132</v>
      </c>
      <c r="Y8">
        <v>1556512</v>
      </c>
      <c r="Z8">
        <v>4553777</v>
      </c>
      <c r="AA8">
        <v>4.28</v>
      </c>
      <c r="AB8">
        <v>1.56</v>
      </c>
      <c r="AC8">
        <v>7330</v>
      </c>
      <c r="AD8">
        <v>70.53</v>
      </c>
      <c r="AE8">
        <v>26.62</v>
      </c>
      <c r="AF8">
        <v>0.76</v>
      </c>
      <c r="AG8">
        <v>2.09</v>
      </c>
      <c r="AH8">
        <v>174.79</v>
      </c>
      <c r="AI8">
        <v>0</v>
      </c>
      <c r="AJ8">
        <v>2132</v>
      </c>
      <c r="AK8">
        <v>3422054</v>
      </c>
      <c r="AL8">
        <v>2688235</v>
      </c>
    </row>
    <row r="9" spans="1:39" x14ac:dyDescent="0.3">
      <c r="A9" t="s">
        <v>38</v>
      </c>
      <c r="B9" t="s">
        <v>136</v>
      </c>
      <c r="C9">
        <v>4.5199999999999996</v>
      </c>
      <c r="D9">
        <v>2008</v>
      </c>
      <c r="E9" t="s">
        <v>40</v>
      </c>
      <c r="F9">
        <v>1005</v>
      </c>
      <c r="G9">
        <v>2577</v>
      </c>
      <c r="H9">
        <v>32.880000000000003</v>
      </c>
      <c r="I9">
        <v>64.8</v>
      </c>
      <c r="J9">
        <v>-1832993</v>
      </c>
      <c r="K9">
        <v>3087636</v>
      </c>
      <c r="L9">
        <v>4920629</v>
      </c>
      <c r="M9">
        <v>4.5199999999999996</v>
      </c>
      <c r="N9">
        <v>2.85</v>
      </c>
    </row>
    <row r="10" spans="1:39" x14ac:dyDescent="0.3">
      <c r="A10" t="s">
        <v>38</v>
      </c>
      <c r="B10" t="s">
        <v>84</v>
      </c>
      <c r="C10">
        <v>4.3499999999999996</v>
      </c>
      <c r="D10">
        <v>2008</v>
      </c>
      <c r="E10" t="s">
        <v>40</v>
      </c>
      <c r="F10">
        <v>1168</v>
      </c>
      <c r="G10">
        <v>2583</v>
      </c>
      <c r="H10">
        <v>38.21</v>
      </c>
      <c r="I10">
        <v>64.95</v>
      </c>
      <c r="J10">
        <v>343386</v>
      </c>
      <c r="K10">
        <v>5072915</v>
      </c>
      <c r="L10">
        <v>4729529</v>
      </c>
      <c r="M10">
        <v>4.3499999999999996</v>
      </c>
      <c r="N10">
        <v>4.6900000000000004</v>
      </c>
    </row>
    <row r="11" spans="1:39" x14ac:dyDescent="0.3">
      <c r="A11" t="s">
        <v>38</v>
      </c>
      <c r="B11" t="s">
        <v>104</v>
      </c>
      <c r="C11">
        <v>4.24</v>
      </c>
      <c r="D11">
        <v>2008</v>
      </c>
      <c r="E11" t="s">
        <v>40</v>
      </c>
      <c r="F11">
        <v>1404</v>
      </c>
      <c r="G11">
        <v>2951</v>
      </c>
      <c r="H11">
        <v>45.93</v>
      </c>
      <c r="I11">
        <v>74.2</v>
      </c>
      <c r="J11">
        <v>1146600</v>
      </c>
      <c r="K11">
        <v>5759189</v>
      </c>
      <c r="L11">
        <v>4612589</v>
      </c>
      <c r="M11">
        <v>4.24</v>
      </c>
      <c r="N11">
        <v>5.32</v>
      </c>
    </row>
    <row r="12" spans="1:39" x14ac:dyDescent="0.3">
      <c r="A12" t="s">
        <v>38</v>
      </c>
      <c r="B12" t="s">
        <v>147</v>
      </c>
      <c r="C12">
        <v>3.96</v>
      </c>
      <c r="D12">
        <v>2008</v>
      </c>
      <c r="E12" t="s">
        <v>40</v>
      </c>
      <c r="F12">
        <v>1456</v>
      </c>
      <c r="G12">
        <v>2250</v>
      </c>
      <c r="H12">
        <v>47.63</v>
      </c>
      <c r="I12">
        <v>56.58</v>
      </c>
      <c r="J12">
        <v>-4203</v>
      </c>
      <c r="K12">
        <v>4302175</v>
      </c>
      <c r="L12">
        <v>4306378</v>
      </c>
      <c r="M12">
        <v>3.96</v>
      </c>
      <c r="N12">
        <v>3.98</v>
      </c>
    </row>
    <row r="13" spans="1:39" x14ac:dyDescent="0.3">
      <c r="A13" t="s">
        <v>38</v>
      </c>
      <c r="B13" t="s">
        <v>204</v>
      </c>
      <c r="C13">
        <v>3.79</v>
      </c>
      <c r="D13">
        <v>2008</v>
      </c>
      <c r="E13" t="s">
        <v>40</v>
      </c>
      <c r="F13">
        <v>1706</v>
      </c>
      <c r="G13">
        <v>2338</v>
      </c>
      <c r="H13">
        <v>55.81</v>
      </c>
      <c r="I13">
        <v>58.79</v>
      </c>
      <c r="J13">
        <v>183914</v>
      </c>
      <c r="K13">
        <v>4306426</v>
      </c>
      <c r="L13">
        <v>4122512</v>
      </c>
      <c r="M13">
        <v>3.79</v>
      </c>
      <c r="N13">
        <v>3.98</v>
      </c>
    </row>
    <row r="14" spans="1:39" x14ac:dyDescent="0.3">
      <c r="A14" t="s">
        <v>38</v>
      </c>
      <c r="B14" t="s">
        <v>230</v>
      </c>
      <c r="C14">
        <v>3.53</v>
      </c>
      <c r="D14">
        <v>2008</v>
      </c>
      <c r="E14" t="s">
        <v>40</v>
      </c>
      <c r="F14">
        <v>2147</v>
      </c>
      <c r="G14">
        <v>2218</v>
      </c>
      <c r="H14">
        <v>70.23</v>
      </c>
      <c r="I14">
        <v>55.77</v>
      </c>
      <c r="J14">
        <v>1266404</v>
      </c>
      <c r="K14">
        <v>5104987</v>
      </c>
      <c r="L14">
        <v>3838583</v>
      </c>
      <c r="M14">
        <v>3.53</v>
      </c>
      <c r="N14">
        <v>4.72</v>
      </c>
    </row>
    <row r="15" spans="1:39" x14ac:dyDescent="0.3">
      <c r="A15" t="s">
        <v>38</v>
      </c>
      <c r="B15" t="s">
        <v>107</v>
      </c>
      <c r="C15">
        <v>2.58</v>
      </c>
      <c r="D15">
        <v>2008</v>
      </c>
      <c r="E15" t="s">
        <v>40</v>
      </c>
      <c r="F15">
        <v>592</v>
      </c>
      <c r="G15">
        <v>1106</v>
      </c>
      <c r="H15">
        <v>19.37</v>
      </c>
      <c r="I15">
        <v>27.81</v>
      </c>
      <c r="J15">
        <v>-2316248</v>
      </c>
      <c r="K15">
        <v>492511</v>
      </c>
      <c r="L15">
        <v>2808759</v>
      </c>
      <c r="M15">
        <v>2.58</v>
      </c>
      <c r="N15">
        <v>0.46</v>
      </c>
      <c r="O15">
        <v>3.22</v>
      </c>
      <c r="P15">
        <v>2.17</v>
      </c>
      <c r="Q15">
        <v>4164</v>
      </c>
      <c r="R15">
        <v>70.53</v>
      </c>
      <c r="S15">
        <v>28.7</v>
      </c>
      <c r="T15">
        <v>0.34</v>
      </c>
      <c r="U15">
        <v>0.43</v>
      </c>
      <c r="V15">
        <v>40.6</v>
      </c>
      <c r="W15">
        <v>0</v>
      </c>
      <c r="X15">
        <v>50</v>
      </c>
      <c r="Y15">
        <v>1854157</v>
      </c>
      <c r="Z15">
        <v>850141</v>
      </c>
      <c r="AA15">
        <v>3.22</v>
      </c>
      <c r="AB15">
        <v>2.17</v>
      </c>
      <c r="AC15">
        <v>4164</v>
      </c>
      <c r="AD15">
        <v>70.53</v>
      </c>
      <c r="AE15">
        <v>28.7</v>
      </c>
      <c r="AF15">
        <v>0.34</v>
      </c>
      <c r="AG15">
        <v>0.43</v>
      </c>
      <c r="AH15">
        <v>40.6</v>
      </c>
      <c r="AI15">
        <v>0</v>
      </c>
      <c r="AJ15">
        <v>50</v>
      </c>
      <c r="AK15">
        <v>1854157</v>
      </c>
      <c r="AL15">
        <v>850141</v>
      </c>
    </row>
    <row r="16" spans="1:39" x14ac:dyDescent="0.3">
      <c r="A16" t="s">
        <v>38</v>
      </c>
      <c r="B16" t="s">
        <v>196</v>
      </c>
      <c r="C16">
        <v>2.3199999999999998</v>
      </c>
      <c r="D16">
        <v>2008</v>
      </c>
      <c r="E16" t="s">
        <v>40</v>
      </c>
      <c r="F16">
        <v>901</v>
      </c>
      <c r="G16">
        <v>2045</v>
      </c>
      <c r="H16">
        <v>29.47</v>
      </c>
      <c r="I16">
        <v>51.42</v>
      </c>
      <c r="J16">
        <v>-693900</v>
      </c>
      <c r="K16">
        <v>1832948</v>
      </c>
      <c r="L16">
        <v>2526848</v>
      </c>
      <c r="M16">
        <v>2.3199999999999998</v>
      </c>
      <c r="N16">
        <v>1.69</v>
      </c>
    </row>
    <row r="17" spans="1:38" x14ac:dyDescent="0.3">
      <c r="A17" t="s">
        <v>38</v>
      </c>
      <c r="B17" t="s">
        <v>152</v>
      </c>
      <c r="C17">
        <v>2.15</v>
      </c>
      <c r="D17">
        <v>2008</v>
      </c>
      <c r="E17" t="s">
        <v>40</v>
      </c>
      <c r="F17">
        <v>2452</v>
      </c>
      <c r="G17">
        <v>1500</v>
      </c>
      <c r="H17">
        <v>80.209999999999994</v>
      </c>
      <c r="I17">
        <v>37.72</v>
      </c>
      <c r="J17">
        <v>3398348</v>
      </c>
      <c r="K17">
        <v>5739594</v>
      </c>
      <c r="L17">
        <v>2341246</v>
      </c>
      <c r="M17">
        <v>2.15</v>
      </c>
      <c r="N17">
        <v>5.3</v>
      </c>
    </row>
    <row r="18" spans="1:38" x14ac:dyDescent="0.3">
      <c r="A18" t="s">
        <v>38</v>
      </c>
      <c r="B18" t="s">
        <v>132</v>
      </c>
      <c r="C18">
        <v>2.02</v>
      </c>
      <c r="D18">
        <v>2008</v>
      </c>
      <c r="E18" t="s">
        <v>40</v>
      </c>
      <c r="F18">
        <v>1155</v>
      </c>
      <c r="G18">
        <v>2155</v>
      </c>
      <c r="H18">
        <v>37.78</v>
      </c>
      <c r="I18">
        <v>54.19</v>
      </c>
      <c r="J18">
        <v>495611</v>
      </c>
      <c r="K18">
        <v>2695194</v>
      </c>
      <c r="L18">
        <v>2199583</v>
      </c>
      <c r="M18">
        <v>2.02</v>
      </c>
      <c r="N18">
        <v>2.4900000000000002</v>
      </c>
      <c r="O18">
        <v>3.73</v>
      </c>
      <c r="P18">
        <v>1.53</v>
      </c>
      <c r="Q18">
        <v>10187</v>
      </c>
      <c r="R18">
        <v>66.489999999999995</v>
      </c>
      <c r="S18">
        <v>29.32</v>
      </c>
      <c r="T18">
        <v>1.1599999999999999</v>
      </c>
      <c r="U18">
        <v>3.03</v>
      </c>
      <c r="V18">
        <v>174.79</v>
      </c>
      <c r="W18">
        <v>0</v>
      </c>
      <c r="X18">
        <v>19345</v>
      </c>
      <c r="Y18">
        <v>1061612</v>
      </c>
      <c r="Z18">
        <v>1092760</v>
      </c>
      <c r="AA18">
        <v>3.9</v>
      </c>
      <c r="AB18">
        <v>1.53</v>
      </c>
      <c r="AC18">
        <v>7467</v>
      </c>
      <c r="AD18">
        <v>66.81</v>
      </c>
      <c r="AE18">
        <v>28.61</v>
      </c>
      <c r="AF18">
        <v>0.75</v>
      </c>
      <c r="AG18">
        <v>2.61</v>
      </c>
      <c r="AH18">
        <v>174.79</v>
      </c>
      <c r="AI18">
        <v>0</v>
      </c>
      <c r="AJ18">
        <v>19345</v>
      </c>
      <c r="AK18">
        <v>1061612</v>
      </c>
      <c r="AL18">
        <v>1092760</v>
      </c>
    </row>
    <row r="19" spans="1:38" x14ac:dyDescent="0.3">
      <c r="A19" t="s">
        <v>38</v>
      </c>
      <c r="B19" t="s">
        <v>86</v>
      </c>
      <c r="C19">
        <v>1.95</v>
      </c>
      <c r="D19">
        <v>2008</v>
      </c>
      <c r="E19" t="s">
        <v>40</v>
      </c>
      <c r="F19">
        <v>973</v>
      </c>
      <c r="G19">
        <v>2101</v>
      </c>
      <c r="H19">
        <v>31.83</v>
      </c>
      <c r="I19">
        <v>52.83</v>
      </c>
      <c r="J19">
        <v>2935588</v>
      </c>
      <c r="K19">
        <v>5055838</v>
      </c>
      <c r="L19">
        <v>2120250</v>
      </c>
      <c r="M19">
        <v>1.95</v>
      </c>
      <c r="N19">
        <v>4.67</v>
      </c>
    </row>
    <row r="20" spans="1:38" x14ac:dyDescent="0.3">
      <c r="A20" t="s">
        <v>38</v>
      </c>
      <c r="B20" t="s">
        <v>141</v>
      </c>
      <c r="C20">
        <v>1.8</v>
      </c>
      <c r="D20">
        <v>2008</v>
      </c>
      <c r="E20" t="s">
        <v>40</v>
      </c>
      <c r="J20">
        <v>-1901035</v>
      </c>
      <c r="K20">
        <v>61321</v>
      </c>
      <c r="L20">
        <v>1962356</v>
      </c>
      <c r="M20">
        <v>1.8</v>
      </c>
      <c r="N20">
        <v>0.06</v>
      </c>
    </row>
    <row r="21" spans="1:38" x14ac:dyDescent="0.3">
      <c r="A21" t="s">
        <v>38</v>
      </c>
      <c r="B21" t="s">
        <v>179</v>
      </c>
      <c r="C21">
        <v>1.8</v>
      </c>
      <c r="D21">
        <v>2008</v>
      </c>
      <c r="E21" t="s">
        <v>40</v>
      </c>
      <c r="F21">
        <v>1086</v>
      </c>
      <c r="G21">
        <v>2094</v>
      </c>
      <c r="H21">
        <v>35.520000000000003</v>
      </c>
      <c r="I21">
        <v>52.65</v>
      </c>
      <c r="J21">
        <v>515920</v>
      </c>
      <c r="K21">
        <v>2478477</v>
      </c>
      <c r="L21">
        <v>1962557</v>
      </c>
      <c r="M21">
        <v>1.8</v>
      </c>
      <c r="N21">
        <v>2.29</v>
      </c>
      <c r="O21">
        <v>3.88</v>
      </c>
      <c r="P21">
        <v>1.56</v>
      </c>
      <c r="Q21">
        <v>7333</v>
      </c>
      <c r="R21">
        <v>66.89</v>
      </c>
      <c r="S21">
        <v>28.49</v>
      </c>
      <c r="T21">
        <v>1.02</v>
      </c>
      <c r="U21">
        <v>3.6</v>
      </c>
      <c r="V21">
        <v>174.79</v>
      </c>
      <c r="W21">
        <v>0</v>
      </c>
      <c r="X21">
        <v>18895</v>
      </c>
      <c r="Y21">
        <v>961302</v>
      </c>
      <c r="Z21">
        <v>956742</v>
      </c>
      <c r="AA21">
        <v>3.88</v>
      </c>
      <c r="AB21">
        <v>1.56</v>
      </c>
      <c r="AC21">
        <v>7333</v>
      </c>
      <c r="AD21">
        <v>66.89</v>
      </c>
      <c r="AE21">
        <v>28.49</v>
      </c>
      <c r="AF21">
        <v>1.02</v>
      </c>
      <c r="AG21">
        <v>3.6</v>
      </c>
      <c r="AH21">
        <v>174.79</v>
      </c>
      <c r="AI21">
        <v>0</v>
      </c>
      <c r="AJ21">
        <v>18895</v>
      </c>
      <c r="AK21">
        <v>961302</v>
      </c>
      <c r="AL21">
        <v>956742</v>
      </c>
    </row>
    <row r="22" spans="1:38" x14ac:dyDescent="0.3">
      <c r="A22" t="s">
        <v>38</v>
      </c>
      <c r="B22" t="s">
        <v>110</v>
      </c>
      <c r="C22">
        <v>1.69</v>
      </c>
      <c r="D22">
        <v>2008</v>
      </c>
      <c r="E22" t="s">
        <v>40</v>
      </c>
      <c r="F22">
        <v>307</v>
      </c>
      <c r="G22">
        <v>790</v>
      </c>
      <c r="H22">
        <v>10.039999999999999</v>
      </c>
      <c r="I22">
        <v>19.86</v>
      </c>
      <c r="J22">
        <v>-1473411</v>
      </c>
      <c r="K22">
        <v>366267</v>
      </c>
      <c r="L22">
        <v>1839678</v>
      </c>
      <c r="M22">
        <v>1.69</v>
      </c>
      <c r="N22">
        <v>0.34</v>
      </c>
      <c r="O22">
        <v>3.4</v>
      </c>
      <c r="P22">
        <v>2.38</v>
      </c>
      <c r="Q22">
        <v>3245</v>
      </c>
      <c r="R22">
        <v>71.03</v>
      </c>
      <c r="S22">
        <v>27.49</v>
      </c>
      <c r="T22">
        <v>0.09</v>
      </c>
      <c r="U22">
        <v>1.39</v>
      </c>
      <c r="V22">
        <v>33.93</v>
      </c>
      <c r="W22">
        <v>0</v>
      </c>
      <c r="X22">
        <v>292</v>
      </c>
      <c r="Y22">
        <v>1343477</v>
      </c>
      <c r="Z22">
        <v>493650</v>
      </c>
      <c r="AA22">
        <v>3.4</v>
      </c>
      <c r="AB22">
        <v>2.38</v>
      </c>
      <c r="AC22">
        <v>3245</v>
      </c>
      <c r="AD22">
        <v>71.03</v>
      </c>
      <c r="AE22">
        <v>27.49</v>
      </c>
      <c r="AF22">
        <v>0.09</v>
      </c>
      <c r="AG22">
        <v>1.39</v>
      </c>
      <c r="AH22">
        <v>33.93</v>
      </c>
      <c r="AI22">
        <v>0</v>
      </c>
      <c r="AJ22">
        <v>292</v>
      </c>
      <c r="AK22">
        <v>1343477</v>
      </c>
      <c r="AL22">
        <v>493650</v>
      </c>
    </row>
    <row r="23" spans="1:38" x14ac:dyDescent="0.3">
      <c r="A23" t="s">
        <v>38</v>
      </c>
      <c r="B23" t="s">
        <v>81</v>
      </c>
      <c r="C23">
        <v>1.47</v>
      </c>
      <c r="D23">
        <v>2008</v>
      </c>
      <c r="E23" t="s">
        <v>40</v>
      </c>
      <c r="F23">
        <v>737</v>
      </c>
      <c r="G23">
        <v>1736</v>
      </c>
      <c r="H23">
        <v>24.11</v>
      </c>
      <c r="I23">
        <v>43.65</v>
      </c>
      <c r="J23">
        <v>1412171</v>
      </c>
      <c r="K23">
        <v>3011143</v>
      </c>
      <c r="L23">
        <v>1598972</v>
      </c>
      <c r="M23">
        <v>1.47</v>
      </c>
      <c r="N23">
        <v>2.78</v>
      </c>
    </row>
    <row r="24" spans="1:38" x14ac:dyDescent="0.3">
      <c r="A24" t="s">
        <v>38</v>
      </c>
      <c r="B24" t="s">
        <v>238</v>
      </c>
      <c r="C24">
        <v>1.44</v>
      </c>
      <c r="D24">
        <v>2008</v>
      </c>
      <c r="E24" t="s">
        <v>40</v>
      </c>
      <c r="F24">
        <v>1748</v>
      </c>
      <c r="G24">
        <v>697</v>
      </c>
      <c r="H24">
        <v>57.18</v>
      </c>
      <c r="I24">
        <v>17.53</v>
      </c>
      <c r="J24">
        <v>603619</v>
      </c>
      <c r="K24">
        <v>2165828</v>
      </c>
      <c r="L24">
        <v>1562209</v>
      </c>
      <c r="M24">
        <v>1.44</v>
      </c>
      <c r="N24">
        <v>2</v>
      </c>
      <c r="O24">
        <v>2.0499999999999998</v>
      </c>
      <c r="P24">
        <v>0.36</v>
      </c>
      <c r="Q24">
        <v>2788</v>
      </c>
      <c r="R24">
        <v>21.81</v>
      </c>
      <c r="S24">
        <v>75.069999999999993</v>
      </c>
      <c r="T24">
        <v>0.86</v>
      </c>
      <c r="U24">
        <v>2.2599999999999998</v>
      </c>
      <c r="V24">
        <v>174.79</v>
      </c>
      <c r="W24">
        <v>0</v>
      </c>
      <c r="X24">
        <v>35</v>
      </c>
      <c r="Y24">
        <v>141730</v>
      </c>
      <c r="Z24">
        <v>1334422</v>
      </c>
      <c r="AA24">
        <v>4.07</v>
      </c>
      <c r="AB24">
        <v>1.02</v>
      </c>
      <c r="AC24">
        <v>2788</v>
      </c>
      <c r="AD24">
        <v>65.959999999999994</v>
      </c>
      <c r="AE24">
        <v>30.92</v>
      </c>
      <c r="AF24">
        <v>0.86</v>
      </c>
      <c r="AG24">
        <v>2.2599999999999998</v>
      </c>
      <c r="AH24">
        <v>174.79</v>
      </c>
      <c r="AI24">
        <v>0</v>
      </c>
      <c r="AJ24">
        <v>35</v>
      </c>
      <c r="AK24">
        <v>415157</v>
      </c>
      <c r="AL24">
        <v>1060995</v>
      </c>
    </row>
    <row r="25" spans="1:38" x14ac:dyDescent="0.3">
      <c r="A25" t="s">
        <v>38</v>
      </c>
      <c r="B25" t="s">
        <v>95</v>
      </c>
      <c r="C25">
        <v>1.2</v>
      </c>
      <c r="D25">
        <v>2008</v>
      </c>
      <c r="E25" t="s">
        <v>40</v>
      </c>
      <c r="F25">
        <v>351</v>
      </c>
      <c r="G25">
        <v>1008</v>
      </c>
      <c r="H25">
        <v>11.48</v>
      </c>
      <c r="I25">
        <v>25.35</v>
      </c>
      <c r="J25">
        <v>-1076190</v>
      </c>
      <c r="K25">
        <v>230230</v>
      </c>
      <c r="L25">
        <v>1306420</v>
      </c>
      <c r="M25">
        <v>1.2</v>
      </c>
      <c r="N25">
        <v>0.21</v>
      </c>
      <c r="O25">
        <v>3.87</v>
      </c>
      <c r="P25">
        <v>1.68</v>
      </c>
      <c r="Q25">
        <v>3453</v>
      </c>
      <c r="R25">
        <v>72.84</v>
      </c>
      <c r="S25">
        <v>26.38</v>
      </c>
      <c r="T25">
        <v>0.17</v>
      </c>
      <c r="U25">
        <v>0.61</v>
      </c>
      <c r="V25">
        <v>34.47</v>
      </c>
      <c r="W25">
        <v>0</v>
      </c>
      <c r="X25">
        <v>2</v>
      </c>
      <c r="Y25">
        <v>838120</v>
      </c>
      <c r="Z25">
        <v>466123</v>
      </c>
      <c r="AA25">
        <v>3.87</v>
      </c>
      <c r="AB25">
        <v>1.68</v>
      </c>
      <c r="AC25">
        <v>3453</v>
      </c>
      <c r="AD25">
        <v>72.84</v>
      </c>
      <c r="AE25">
        <v>26.38</v>
      </c>
      <c r="AF25">
        <v>0.17</v>
      </c>
      <c r="AG25">
        <v>0.61</v>
      </c>
      <c r="AH25">
        <v>34.47</v>
      </c>
      <c r="AI25">
        <v>0</v>
      </c>
      <c r="AJ25">
        <v>2</v>
      </c>
      <c r="AK25">
        <v>838120</v>
      </c>
      <c r="AL25">
        <v>466123</v>
      </c>
    </row>
    <row r="26" spans="1:38" x14ac:dyDescent="0.3">
      <c r="A26" t="s">
        <v>38</v>
      </c>
      <c r="B26" t="s">
        <v>231</v>
      </c>
      <c r="C26">
        <v>0.9</v>
      </c>
      <c r="D26">
        <v>2008</v>
      </c>
      <c r="E26" t="s">
        <v>40</v>
      </c>
      <c r="F26">
        <v>1423</v>
      </c>
      <c r="G26">
        <v>1252</v>
      </c>
      <c r="H26">
        <v>46.55</v>
      </c>
      <c r="I26">
        <v>31.48</v>
      </c>
      <c r="J26">
        <v>273075</v>
      </c>
      <c r="K26">
        <v>1255332</v>
      </c>
      <c r="L26">
        <v>982257</v>
      </c>
      <c r="M26">
        <v>0.9</v>
      </c>
      <c r="N26">
        <v>1.1599999999999999</v>
      </c>
    </row>
    <row r="27" spans="1:38" x14ac:dyDescent="0.3">
      <c r="A27" t="s">
        <v>38</v>
      </c>
      <c r="B27" t="s">
        <v>60</v>
      </c>
      <c r="C27">
        <v>0.89</v>
      </c>
      <c r="D27">
        <v>2008</v>
      </c>
      <c r="E27" t="s">
        <v>40</v>
      </c>
      <c r="F27">
        <v>1281</v>
      </c>
      <c r="G27">
        <v>1712</v>
      </c>
      <c r="H27">
        <v>41.9</v>
      </c>
      <c r="I27">
        <v>43.05</v>
      </c>
      <c r="J27">
        <v>396277</v>
      </c>
      <c r="K27">
        <v>1363649</v>
      </c>
      <c r="L27">
        <v>967372</v>
      </c>
      <c r="M27">
        <v>0.89</v>
      </c>
      <c r="N27">
        <v>1.26</v>
      </c>
      <c r="O27">
        <v>0.28000000000000003</v>
      </c>
      <c r="P27">
        <v>0.03</v>
      </c>
      <c r="Q27">
        <v>6161</v>
      </c>
      <c r="R27">
        <v>1.74</v>
      </c>
      <c r="S27">
        <v>96.14</v>
      </c>
      <c r="T27">
        <v>0.03</v>
      </c>
      <c r="U27">
        <v>2.09</v>
      </c>
      <c r="V27">
        <v>174.79</v>
      </c>
      <c r="W27">
        <v>0</v>
      </c>
      <c r="X27">
        <v>1</v>
      </c>
      <c r="Y27">
        <v>3706</v>
      </c>
      <c r="Z27">
        <v>957114</v>
      </c>
      <c r="AA27">
        <v>4.01</v>
      </c>
      <c r="AB27">
        <v>1.34</v>
      </c>
      <c r="AC27">
        <v>6161</v>
      </c>
      <c r="AD27">
        <v>67.08</v>
      </c>
      <c r="AE27">
        <v>27.66</v>
      </c>
      <c r="AF27">
        <v>1.3</v>
      </c>
      <c r="AG27">
        <v>3.96</v>
      </c>
      <c r="AH27">
        <v>174.79</v>
      </c>
      <c r="AI27">
        <v>0</v>
      </c>
      <c r="AJ27">
        <v>2899</v>
      </c>
      <c r="AK27">
        <v>367208</v>
      </c>
      <c r="AL27">
        <v>593612</v>
      </c>
    </row>
    <row r="28" spans="1:38" x14ac:dyDescent="0.3">
      <c r="A28" t="s">
        <v>38</v>
      </c>
      <c r="B28" t="s">
        <v>168</v>
      </c>
      <c r="C28">
        <v>0.88</v>
      </c>
      <c r="D28">
        <v>2008</v>
      </c>
      <c r="E28" t="s">
        <v>40</v>
      </c>
      <c r="F28">
        <v>732</v>
      </c>
      <c r="G28">
        <v>1187</v>
      </c>
      <c r="H28">
        <v>23.95</v>
      </c>
      <c r="I28">
        <v>29.85</v>
      </c>
      <c r="J28">
        <v>142853</v>
      </c>
      <c r="K28">
        <v>1100585</v>
      </c>
      <c r="L28">
        <v>957732</v>
      </c>
      <c r="M28">
        <v>0.88</v>
      </c>
      <c r="N28">
        <v>1.02</v>
      </c>
    </row>
    <row r="29" spans="1:38" x14ac:dyDescent="0.3">
      <c r="A29" t="s">
        <v>38</v>
      </c>
      <c r="B29" t="s">
        <v>82</v>
      </c>
      <c r="C29">
        <v>0.76</v>
      </c>
      <c r="D29">
        <v>2008</v>
      </c>
      <c r="E29" t="s">
        <v>40</v>
      </c>
      <c r="F29">
        <v>491</v>
      </c>
      <c r="G29">
        <v>735</v>
      </c>
      <c r="H29">
        <v>16.059999999999999</v>
      </c>
      <c r="I29">
        <v>18.48</v>
      </c>
      <c r="J29">
        <v>-277058</v>
      </c>
      <c r="K29">
        <v>549499</v>
      </c>
      <c r="L29">
        <v>826557</v>
      </c>
      <c r="M29">
        <v>0.76</v>
      </c>
      <c r="N29">
        <v>0.51</v>
      </c>
    </row>
    <row r="30" spans="1:38" x14ac:dyDescent="0.3">
      <c r="A30" t="s">
        <v>38</v>
      </c>
      <c r="B30" t="s">
        <v>160</v>
      </c>
      <c r="C30">
        <v>0.73</v>
      </c>
      <c r="D30">
        <v>2008</v>
      </c>
      <c r="E30" t="s">
        <v>40</v>
      </c>
      <c r="F30">
        <v>277</v>
      </c>
      <c r="G30">
        <v>385</v>
      </c>
      <c r="H30">
        <v>9.06</v>
      </c>
      <c r="I30">
        <v>9.68</v>
      </c>
      <c r="J30">
        <v>-586857</v>
      </c>
      <c r="K30">
        <v>210892</v>
      </c>
      <c r="L30">
        <v>797749</v>
      </c>
      <c r="M30">
        <v>0.73</v>
      </c>
      <c r="N30">
        <v>0.19</v>
      </c>
      <c r="O30">
        <v>2.73</v>
      </c>
      <c r="P30">
        <v>0.4</v>
      </c>
      <c r="Q30">
        <v>1757</v>
      </c>
      <c r="R30">
        <v>70.180000000000007</v>
      </c>
      <c r="S30">
        <v>28.91</v>
      </c>
      <c r="T30">
        <v>0.28000000000000003</v>
      </c>
      <c r="U30">
        <v>0.63</v>
      </c>
      <c r="V30">
        <v>29.16</v>
      </c>
      <c r="W30">
        <v>0</v>
      </c>
      <c r="X30">
        <v>79</v>
      </c>
      <c r="Y30">
        <v>163026</v>
      </c>
      <c r="Z30">
        <v>633988</v>
      </c>
      <c r="AA30">
        <v>2.73</v>
      </c>
      <c r="AB30">
        <v>0.4</v>
      </c>
      <c r="AC30">
        <v>1757</v>
      </c>
      <c r="AD30">
        <v>70.180000000000007</v>
      </c>
      <c r="AE30">
        <v>28.91</v>
      </c>
      <c r="AF30">
        <v>0.28000000000000003</v>
      </c>
      <c r="AG30">
        <v>0.63</v>
      </c>
      <c r="AH30">
        <v>29.16</v>
      </c>
      <c r="AI30">
        <v>0</v>
      </c>
      <c r="AJ30">
        <v>79</v>
      </c>
      <c r="AK30">
        <v>163026</v>
      </c>
      <c r="AL30">
        <v>633988</v>
      </c>
    </row>
    <row r="31" spans="1:38" x14ac:dyDescent="0.3">
      <c r="A31" t="s">
        <v>38</v>
      </c>
      <c r="B31" t="s">
        <v>74</v>
      </c>
      <c r="C31">
        <v>0.7</v>
      </c>
      <c r="D31">
        <v>2008</v>
      </c>
      <c r="E31" t="s">
        <v>40</v>
      </c>
      <c r="F31">
        <v>592</v>
      </c>
      <c r="G31">
        <v>1110</v>
      </c>
      <c r="H31">
        <v>19.37</v>
      </c>
      <c r="I31">
        <v>27.91</v>
      </c>
      <c r="J31">
        <v>22120</v>
      </c>
      <c r="K31">
        <v>778629</v>
      </c>
      <c r="L31">
        <v>756509</v>
      </c>
      <c r="M31">
        <v>0.7</v>
      </c>
      <c r="N31">
        <v>0.72</v>
      </c>
    </row>
    <row r="32" spans="1:38" x14ac:dyDescent="0.3">
      <c r="A32" t="s">
        <v>38</v>
      </c>
      <c r="B32" t="s">
        <v>174</v>
      </c>
      <c r="C32">
        <v>0.55000000000000004</v>
      </c>
      <c r="D32">
        <v>2008</v>
      </c>
      <c r="E32" t="s">
        <v>40</v>
      </c>
      <c r="F32">
        <v>743</v>
      </c>
      <c r="G32">
        <v>1400</v>
      </c>
      <c r="H32">
        <v>24.3</v>
      </c>
      <c r="I32">
        <v>35.200000000000003</v>
      </c>
      <c r="J32">
        <v>757958</v>
      </c>
      <c r="K32">
        <v>1353370</v>
      </c>
      <c r="L32">
        <v>595412</v>
      </c>
      <c r="M32">
        <v>0.55000000000000004</v>
      </c>
      <c r="N32">
        <v>1.25</v>
      </c>
      <c r="O32">
        <v>0.28000000000000003</v>
      </c>
      <c r="P32">
        <v>0.18</v>
      </c>
      <c r="Q32">
        <v>4993</v>
      </c>
      <c r="R32">
        <v>0.24</v>
      </c>
      <c r="S32">
        <v>93.73</v>
      </c>
      <c r="T32">
        <v>1.36</v>
      </c>
      <c r="U32">
        <v>4.67</v>
      </c>
      <c r="V32">
        <v>174.79</v>
      </c>
      <c r="W32">
        <v>0</v>
      </c>
      <c r="X32">
        <v>3657</v>
      </c>
      <c r="Y32">
        <v>13713</v>
      </c>
      <c r="Z32">
        <v>578001</v>
      </c>
      <c r="AA32">
        <v>5.01</v>
      </c>
      <c r="AB32">
        <v>4.17</v>
      </c>
      <c r="AC32">
        <v>4993</v>
      </c>
      <c r="AD32">
        <v>73.08</v>
      </c>
      <c r="AE32">
        <v>20.39</v>
      </c>
      <c r="AF32">
        <v>1.36</v>
      </c>
      <c r="AG32">
        <v>5.17</v>
      </c>
      <c r="AH32">
        <v>174.79</v>
      </c>
      <c r="AI32">
        <v>0</v>
      </c>
      <c r="AJ32">
        <v>3657</v>
      </c>
      <c r="AK32">
        <v>452855</v>
      </c>
      <c r="AL32">
        <v>138859</v>
      </c>
    </row>
    <row r="33" spans="1:38" x14ac:dyDescent="0.3">
      <c r="A33" t="s">
        <v>38</v>
      </c>
      <c r="B33" t="s">
        <v>155</v>
      </c>
      <c r="C33">
        <v>0.53</v>
      </c>
      <c r="D33">
        <v>2008</v>
      </c>
      <c r="E33" t="s">
        <v>40</v>
      </c>
      <c r="F33">
        <v>487</v>
      </c>
      <c r="G33">
        <v>899</v>
      </c>
      <c r="H33">
        <v>15.93</v>
      </c>
      <c r="I33">
        <v>22.61</v>
      </c>
      <c r="J33">
        <v>-329418</v>
      </c>
      <c r="K33">
        <v>243102</v>
      </c>
      <c r="L33">
        <v>572520</v>
      </c>
      <c r="M33">
        <v>0.53</v>
      </c>
      <c r="N33">
        <v>0.22</v>
      </c>
      <c r="O33">
        <v>3.74</v>
      </c>
      <c r="P33">
        <v>2.1800000000000002</v>
      </c>
      <c r="Q33">
        <v>4144</v>
      </c>
      <c r="R33">
        <v>59.24</v>
      </c>
      <c r="S33">
        <v>37.159999999999997</v>
      </c>
      <c r="T33">
        <v>0.8</v>
      </c>
      <c r="U33">
        <v>2.8</v>
      </c>
      <c r="V33">
        <v>174.79</v>
      </c>
      <c r="W33">
        <v>0</v>
      </c>
      <c r="X33">
        <v>36</v>
      </c>
      <c r="Y33">
        <v>317387</v>
      </c>
      <c r="Z33">
        <v>252851</v>
      </c>
      <c r="AA33">
        <v>4.4400000000000004</v>
      </c>
      <c r="AB33">
        <v>2.2999999999999998</v>
      </c>
      <c r="AC33">
        <v>3415</v>
      </c>
      <c r="AD33">
        <v>70.13</v>
      </c>
      <c r="AE33">
        <v>27.03</v>
      </c>
      <c r="AF33">
        <v>0.41</v>
      </c>
      <c r="AG33">
        <v>1.93</v>
      </c>
      <c r="AH33">
        <v>174.79</v>
      </c>
      <c r="AI33">
        <v>0</v>
      </c>
      <c r="AJ33">
        <v>36</v>
      </c>
      <c r="AK33">
        <v>325908</v>
      </c>
      <c r="AL33">
        <v>244330</v>
      </c>
    </row>
    <row r="34" spans="1:38" x14ac:dyDescent="0.3">
      <c r="A34" t="s">
        <v>38</v>
      </c>
      <c r="B34" t="s">
        <v>99</v>
      </c>
      <c r="C34">
        <v>0.5</v>
      </c>
      <c r="D34">
        <v>2008</v>
      </c>
      <c r="E34" t="s">
        <v>40</v>
      </c>
      <c r="F34">
        <v>411</v>
      </c>
      <c r="G34">
        <v>794</v>
      </c>
      <c r="H34">
        <v>13.44</v>
      </c>
      <c r="I34">
        <v>19.96</v>
      </c>
      <c r="J34">
        <v>-398587</v>
      </c>
      <c r="K34">
        <v>146955</v>
      </c>
      <c r="L34">
        <v>545542</v>
      </c>
      <c r="M34">
        <v>0.5</v>
      </c>
      <c r="N34">
        <v>0.14000000000000001</v>
      </c>
      <c r="O34">
        <v>4.03</v>
      </c>
      <c r="P34">
        <v>1.91</v>
      </c>
      <c r="Q34">
        <v>3111</v>
      </c>
      <c r="R34">
        <v>68.27</v>
      </c>
      <c r="S34">
        <v>28.77</v>
      </c>
      <c r="T34">
        <v>0.55000000000000004</v>
      </c>
      <c r="U34">
        <v>2.41</v>
      </c>
      <c r="V34">
        <v>174.79</v>
      </c>
      <c r="W34">
        <v>0</v>
      </c>
      <c r="X34">
        <v>18</v>
      </c>
      <c r="Y34">
        <v>303784</v>
      </c>
      <c r="Z34">
        <v>239737</v>
      </c>
      <c r="AA34">
        <v>4.03</v>
      </c>
      <c r="AB34">
        <v>1.91</v>
      </c>
      <c r="AC34">
        <v>3111</v>
      </c>
      <c r="AD34">
        <v>68.27</v>
      </c>
      <c r="AE34">
        <v>28.77</v>
      </c>
      <c r="AF34">
        <v>0.55000000000000004</v>
      </c>
      <c r="AG34">
        <v>2.41</v>
      </c>
      <c r="AH34">
        <v>174.79</v>
      </c>
      <c r="AI34">
        <v>0</v>
      </c>
      <c r="AJ34">
        <v>18</v>
      </c>
      <c r="AK34">
        <v>303784</v>
      </c>
      <c r="AL34">
        <v>239737</v>
      </c>
    </row>
    <row r="35" spans="1:38" x14ac:dyDescent="0.3">
      <c r="A35" t="s">
        <v>38</v>
      </c>
      <c r="B35" t="s">
        <v>131</v>
      </c>
      <c r="C35">
        <v>0.43</v>
      </c>
      <c r="D35">
        <v>2008</v>
      </c>
      <c r="E35" t="s">
        <v>40</v>
      </c>
      <c r="F35">
        <v>181</v>
      </c>
      <c r="G35">
        <v>357</v>
      </c>
      <c r="H35">
        <v>5.92</v>
      </c>
      <c r="I35">
        <v>8.98</v>
      </c>
      <c r="J35">
        <v>-427476</v>
      </c>
      <c r="K35">
        <v>40279</v>
      </c>
      <c r="L35">
        <v>467755</v>
      </c>
      <c r="M35">
        <v>0.43</v>
      </c>
      <c r="N35">
        <v>0.04</v>
      </c>
      <c r="O35">
        <v>1.05</v>
      </c>
      <c r="P35">
        <v>0.42</v>
      </c>
      <c r="Q35">
        <v>1725</v>
      </c>
      <c r="R35">
        <v>18.78</v>
      </c>
      <c r="S35">
        <v>79.709999999999994</v>
      </c>
      <c r="T35">
        <v>0.99</v>
      </c>
      <c r="U35">
        <v>0.52</v>
      </c>
      <c r="V35">
        <v>25.66</v>
      </c>
      <c r="W35">
        <v>0</v>
      </c>
      <c r="X35">
        <v>325</v>
      </c>
      <c r="Y35">
        <v>70304</v>
      </c>
      <c r="Z35">
        <v>394332</v>
      </c>
      <c r="AA35">
        <v>3.13</v>
      </c>
      <c r="AB35">
        <v>1.62</v>
      </c>
      <c r="AC35">
        <v>1725</v>
      </c>
      <c r="AD35">
        <v>68.349999999999994</v>
      </c>
      <c r="AE35">
        <v>30.03</v>
      </c>
      <c r="AF35">
        <v>0.99</v>
      </c>
      <c r="AG35">
        <v>0.64</v>
      </c>
      <c r="AH35">
        <v>29.16</v>
      </c>
      <c r="AI35">
        <v>0</v>
      </c>
      <c r="AJ35">
        <v>325</v>
      </c>
      <c r="AK35">
        <v>214300</v>
      </c>
      <c r="AL35">
        <v>250336</v>
      </c>
    </row>
    <row r="36" spans="1:38" x14ac:dyDescent="0.3">
      <c r="A36" t="s">
        <v>38</v>
      </c>
      <c r="B36" t="s">
        <v>100</v>
      </c>
      <c r="C36">
        <v>0.39</v>
      </c>
      <c r="D36">
        <v>2008</v>
      </c>
      <c r="E36" t="s">
        <v>40</v>
      </c>
      <c r="F36">
        <v>318</v>
      </c>
      <c r="G36">
        <v>442</v>
      </c>
      <c r="H36">
        <v>10.4</v>
      </c>
      <c r="I36">
        <v>11.11</v>
      </c>
      <c r="J36">
        <v>15838</v>
      </c>
      <c r="K36">
        <v>438787</v>
      </c>
      <c r="L36">
        <v>422949</v>
      </c>
      <c r="M36">
        <v>0.39</v>
      </c>
      <c r="N36">
        <v>0.41</v>
      </c>
    </row>
    <row r="37" spans="1:38" x14ac:dyDescent="0.3">
      <c r="A37" t="s">
        <v>38</v>
      </c>
      <c r="B37" t="s">
        <v>213</v>
      </c>
      <c r="C37">
        <v>0.36</v>
      </c>
      <c r="D37">
        <v>2008</v>
      </c>
      <c r="E37" t="s">
        <v>40</v>
      </c>
      <c r="F37">
        <v>1963</v>
      </c>
      <c r="G37">
        <v>810</v>
      </c>
      <c r="H37">
        <v>64.209999999999994</v>
      </c>
      <c r="I37">
        <v>20.37</v>
      </c>
      <c r="J37">
        <v>1314379</v>
      </c>
      <c r="K37">
        <v>1706556</v>
      </c>
      <c r="L37">
        <v>392177</v>
      </c>
      <c r="M37">
        <v>0.36</v>
      </c>
      <c r="N37">
        <v>1.58</v>
      </c>
    </row>
    <row r="38" spans="1:38" x14ac:dyDescent="0.3">
      <c r="A38" t="s">
        <v>38</v>
      </c>
      <c r="B38" t="s">
        <v>117</v>
      </c>
      <c r="C38">
        <v>0.33</v>
      </c>
      <c r="D38">
        <v>2008</v>
      </c>
      <c r="E38" t="s">
        <v>40</v>
      </c>
      <c r="F38">
        <v>643</v>
      </c>
      <c r="G38">
        <v>608</v>
      </c>
      <c r="H38">
        <v>21.03</v>
      </c>
      <c r="I38">
        <v>15.29</v>
      </c>
      <c r="J38">
        <v>188864</v>
      </c>
      <c r="K38">
        <v>546354</v>
      </c>
      <c r="L38">
        <v>357490</v>
      </c>
      <c r="M38">
        <v>0.33</v>
      </c>
      <c r="N38">
        <v>0.5</v>
      </c>
      <c r="O38">
        <v>0.99</v>
      </c>
      <c r="P38">
        <v>0.98</v>
      </c>
      <c r="Q38">
        <v>4744</v>
      </c>
      <c r="R38">
        <v>11.64</v>
      </c>
      <c r="S38">
        <v>81.13</v>
      </c>
      <c r="T38">
        <v>1.52</v>
      </c>
      <c r="U38">
        <v>5.71</v>
      </c>
      <c r="V38">
        <v>73.510000000000005</v>
      </c>
      <c r="W38">
        <v>0</v>
      </c>
      <c r="X38">
        <v>1526</v>
      </c>
      <c r="Y38">
        <v>48359</v>
      </c>
      <c r="Z38">
        <v>288621</v>
      </c>
      <c r="AA38">
        <v>4.13</v>
      </c>
      <c r="AB38">
        <v>2.4300000000000002</v>
      </c>
      <c r="AC38">
        <v>3002</v>
      </c>
      <c r="AD38">
        <v>66.22</v>
      </c>
      <c r="AE38">
        <v>23.85</v>
      </c>
      <c r="AF38">
        <v>1.08</v>
      </c>
      <c r="AG38">
        <v>5.21</v>
      </c>
      <c r="AH38">
        <v>74.900000000000006</v>
      </c>
      <c r="AI38">
        <v>0</v>
      </c>
      <c r="AJ38">
        <v>1859</v>
      </c>
      <c r="AK38">
        <v>178570</v>
      </c>
      <c r="AL38">
        <v>158410</v>
      </c>
    </row>
    <row r="39" spans="1:38" x14ac:dyDescent="0.3">
      <c r="A39" t="s">
        <v>38</v>
      </c>
      <c r="B39" t="s">
        <v>159</v>
      </c>
      <c r="C39">
        <v>0.33</v>
      </c>
      <c r="D39">
        <v>2008</v>
      </c>
      <c r="E39" t="s">
        <v>40</v>
      </c>
      <c r="F39">
        <v>2036</v>
      </c>
      <c r="G39">
        <v>791</v>
      </c>
      <c r="H39">
        <v>66.599999999999994</v>
      </c>
      <c r="I39">
        <v>19.89</v>
      </c>
      <c r="J39">
        <v>1181446</v>
      </c>
      <c r="K39">
        <v>1540510</v>
      </c>
      <c r="L39">
        <v>359064</v>
      </c>
      <c r="M39">
        <v>0.33</v>
      </c>
      <c r="N39">
        <v>1.42</v>
      </c>
      <c r="O39">
        <v>4.16</v>
      </c>
      <c r="P39">
        <v>15.49</v>
      </c>
      <c r="Q39">
        <v>3517</v>
      </c>
      <c r="R39">
        <v>65.06</v>
      </c>
      <c r="S39">
        <v>26.16</v>
      </c>
      <c r="T39">
        <v>2.1</v>
      </c>
      <c r="U39">
        <v>6.68</v>
      </c>
      <c r="V39">
        <v>174.79</v>
      </c>
      <c r="W39">
        <v>0</v>
      </c>
      <c r="X39">
        <v>2087</v>
      </c>
      <c r="Y39">
        <v>222271</v>
      </c>
      <c r="Z39">
        <v>120507</v>
      </c>
      <c r="AA39">
        <v>4.16</v>
      </c>
      <c r="AB39">
        <v>15.49</v>
      </c>
      <c r="AC39">
        <v>3517</v>
      </c>
      <c r="AD39">
        <v>65.06</v>
      </c>
      <c r="AE39">
        <v>26.16</v>
      </c>
      <c r="AF39">
        <v>2.1</v>
      </c>
      <c r="AG39">
        <v>6.68</v>
      </c>
      <c r="AH39">
        <v>174.79</v>
      </c>
      <c r="AI39">
        <v>0</v>
      </c>
      <c r="AJ39">
        <v>2087</v>
      </c>
      <c r="AK39">
        <v>222271</v>
      </c>
      <c r="AL39">
        <v>120507</v>
      </c>
    </row>
    <row r="40" spans="1:38" x14ac:dyDescent="0.3">
      <c r="A40" t="s">
        <v>38</v>
      </c>
      <c r="B40" t="s">
        <v>122</v>
      </c>
      <c r="C40">
        <v>0.28000000000000003</v>
      </c>
      <c r="D40">
        <v>2008</v>
      </c>
      <c r="E40" t="s">
        <v>40</v>
      </c>
      <c r="F40">
        <v>1043</v>
      </c>
      <c r="G40">
        <v>905</v>
      </c>
      <c r="H40">
        <v>34.119999999999997</v>
      </c>
      <c r="I40">
        <v>22.76</v>
      </c>
      <c r="J40">
        <v>2256108</v>
      </c>
      <c r="K40">
        <v>2561114</v>
      </c>
      <c r="L40">
        <v>305006</v>
      </c>
      <c r="M40">
        <v>0.28000000000000003</v>
      </c>
      <c r="N40">
        <v>2.37</v>
      </c>
      <c r="O40">
        <v>1.26</v>
      </c>
      <c r="P40">
        <v>0.48</v>
      </c>
      <c r="Q40">
        <v>6196</v>
      </c>
      <c r="R40">
        <v>10.44</v>
      </c>
      <c r="S40">
        <v>79.86</v>
      </c>
      <c r="T40">
        <v>1.65</v>
      </c>
      <c r="U40">
        <v>8.0500000000000007</v>
      </c>
      <c r="V40">
        <v>93.85</v>
      </c>
      <c r="W40">
        <v>0</v>
      </c>
      <c r="X40">
        <v>873</v>
      </c>
      <c r="Y40">
        <v>20170</v>
      </c>
      <c r="Z40">
        <v>269217</v>
      </c>
      <c r="AA40">
        <v>5.03</v>
      </c>
      <c r="AB40">
        <v>3.09</v>
      </c>
      <c r="AC40">
        <v>4229</v>
      </c>
      <c r="AD40">
        <v>66.47</v>
      </c>
      <c r="AE40">
        <v>21.73</v>
      </c>
      <c r="AF40">
        <v>1.26</v>
      </c>
      <c r="AG40">
        <v>6.79</v>
      </c>
      <c r="AH40">
        <v>93.85</v>
      </c>
      <c r="AI40">
        <v>0</v>
      </c>
      <c r="AJ40">
        <v>874</v>
      </c>
      <c r="AK40">
        <v>202556</v>
      </c>
      <c r="AL40">
        <v>86831</v>
      </c>
    </row>
    <row r="41" spans="1:38" x14ac:dyDescent="0.3">
      <c r="A41" t="s">
        <v>38</v>
      </c>
      <c r="B41" t="s">
        <v>171</v>
      </c>
      <c r="C41">
        <v>0.26</v>
      </c>
      <c r="D41">
        <v>2008</v>
      </c>
      <c r="E41" t="s">
        <v>40</v>
      </c>
      <c r="F41">
        <v>194</v>
      </c>
      <c r="G41">
        <v>443</v>
      </c>
      <c r="H41">
        <v>6.35</v>
      </c>
      <c r="I41">
        <v>11.14</v>
      </c>
      <c r="J41">
        <v>-237183</v>
      </c>
      <c r="K41">
        <v>47419</v>
      </c>
      <c r="L41">
        <v>284602</v>
      </c>
      <c r="M41">
        <v>0.26</v>
      </c>
      <c r="N41">
        <v>0.04</v>
      </c>
      <c r="O41">
        <v>2.71</v>
      </c>
      <c r="P41">
        <v>0.88</v>
      </c>
      <c r="Q41">
        <v>2207</v>
      </c>
      <c r="R41">
        <v>36.47</v>
      </c>
      <c r="S41">
        <v>57.05</v>
      </c>
      <c r="T41">
        <v>0.86</v>
      </c>
      <c r="U41">
        <v>5.62</v>
      </c>
      <c r="V41">
        <v>85.3</v>
      </c>
      <c r="W41">
        <v>0</v>
      </c>
      <c r="X41">
        <v>5582</v>
      </c>
      <c r="Y41">
        <v>79124</v>
      </c>
      <c r="Z41">
        <v>205330</v>
      </c>
      <c r="AA41">
        <v>5.1100000000000003</v>
      </c>
      <c r="AB41">
        <v>2.68</v>
      </c>
      <c r="AC41">
        <v>2207</v>
      </c>
      <c r="AD41">
        <v>71.05</v>
      </c>
      <c r="AE41">
        <v>22.34</v>
      </c>
      <c r="AF41">
        <v>0.86</v>
      </c>
      <c r="AG41">
        <v>5.75</v>
      </c>
      <c r="AH41">
        <v>85.3</v>
      </c>
      <c r="AI41">
        <v>0</v>
      </c>
      <c r="AJ41">
        <v>5582</v>
      </c>
      <c r="AK41">
        <v>204120</v>
      </c>
      <c r="AL41">
        <v>80334</v>
      </c>
    </row>
    <row r="42" spans="1:38" x14ac:dyDescent="0.3">
      <c r="A42" t="s">
        <v>38</v>
      </c>
      <c r="B42" t="s">
        <v>145</v>
      </c>
      <c r="C42">
        <v>0.25</v>
      </c>
      <c r="D42">
        <v>2008</v>
      </c>
      <c r="E42" t="s">
        <v>40</v>
      </c>
      <c r="F42">
        <v>98</v>
      </c>
      <c r="G42">
        <v>127</v>
      </c>
      <c r="H42">
        <v>3.21</v>
      </c>
      <c r="I42">
        <v>3.19</v>
      </c>
      <c r="J42">
        <v>-263857</v>
      </c>
      <c r="K42">
        <v>12369</v>
      </c>
      <c r="L42">
        <v>276226</v>
      </c>
      <c r="M42">
        <v>0.25</v>
      </c>
      <c r="N42">
        <v>0.01</v>
      </c>
      <c r="O42">
        <v>1.1200000000000001</v>
      </c>
      <c r="P42">
        <v>0.03</v>
      </c>
      <c r="Q42">
        <v>698</v>
      </c>
      <c r="R42">
        <v>17.05</v>
      </c>
      <c r="S42">
        <v>80.23</v>
      </c>
      <c r="T42">
        <v>0</v>
      </c>
      <c r="U42">
        <v>2.72</v>
      </c>
      <c r="V42">
        <v>52.91</v>
      </c>
      <c r="W42">
        <v>0</v>
      </c>
      <c r="X42">
        <v>0</v>
      </c>
      <c r="Y42">
        <v>17648</v>
      </c>
      <c r="Z42">
        <v>257489</v>
      </c>
      <c r="AA42">
        <v>3.24</v>
      </c>
      <c r="AB42">
        <v>0.38</v>
      </c>
      <c r="AC42">
        <v>698</v>
      </c>
      <c r="AD42">
        <v>70.2</v>
      </c>
      <c r="AE42">
        <v>27.08</v>
      </c>
      <c r="AF42">
        <v>0</v>
      </c>
      <c r="AG42">
        <v>2.72</v>
      </c>
      <c r="AH42">
        <v>56.41</v>
      </c>
      <c r="AI42">
        <v>0</v>
      </c>
      <c r="AJ42">
        <v>0</v>
      </c>
      <c r="AK42">
        <v>60171</v>
      </c>
      <c r="AL42">
        <v>214966</v>
      </c>
    </row>
    <row r="43" spans="1:38" x14ac:dyDescent="0.3">
      <c r="A43" t="s">
        <v>38</v>
      </c>
      <c r="B43" t="s">
        <v>59</v>
      </c>
      <c r="C43">
        <v>0.22</v>
      </c>
      <c r="D43">
        <v>2008</v>
      </c>
      <c r="E43" t="s">
        <v>40</v>
      </c>
      <c r="F43">
        <v>424</v>
      </c>
      <c r="G43">
        <v>711</v>
      </c>
      <c r="H43">
        <v>13.87</v>
      </c>
      <c r="I43">
        <v>17.88</v>
      </c>
      <c r="J43">
        <v>-20536</v>
      </c>
      <c r="K43">
        <v>216469</v>
      </c>
      <c r="L43">
        <v>237005</v>
      </c>
      <c r="M43">
        <v>0.22</v>
      </c>
      <c r="N43">
        <v>0.2</v>
      </c>
      <c r="O43">
        <v>3.29</v>
      </c>
      <c r="P43">
        <v>1.33</v>
      </c>
      <c r="Q43">
        <v>2850</v>
      </c>
      <c r="R43">
        <v>65.540000000000006</v>
      </c>
      <c r="S43">
        <v>31.37</v>
      </c>
      <c r="T43">
        <v>1.51</v>
      </c>
      <c r="U43">
        <v>1.58</v>
      </c>
      <c r="V43">
        <v>174.79</v>
      </c>
      <c r="W43">
        <v>0</v>
      </c>
      <c r="X43">
        <v>450</v>
      </c>
      <c r="Y43">
        <v>100310</v>
      </c>
      <c r="Z43">
        <v>135997</v>
      </c>
      <c r="AA43">
        <v>3.29</v>
      </c>
      <c r="AB43">
        <v>1.33</v>
      </c>
      <c r="AC43">
        <v>2850</v>
      </c>
      <c r="AD43">
        <v>65.540000000000006</v>
      </c>
      <c r="AE43">
        <v>31.37</v>
      </c>
      <c r="AF43">
        <v>1.51</v>
      </c>
      <c r="AG43">
        <v>1.58</v>
      </c>
      <c r="AH43">
        <v>174.79</v>
      </c>
      <c r="AI43">
        <v>0</v>
      </c>
      <c r="AJ43">
        <v>450</v>
      </c>
      <c r="AK43">
        <v>100310</v>
      </c>
      <c r="AL43">
        <v>135997</v>
      </c>
    </row>
    <row r="44" spans="1:38" x14ac:dyDescent="0.3">
      <c r="A44" t="s">
        <v>38</v>
      </c>
      <c r="B44" t="s">
        <v>199</v>
      </c>
      <c r="C44">
        <v>0.17</v>
      </c>
      <c r="D44">
        <v>2008</v>
      </c>
      <c r="E44" t="s">
        <v>40</v>
      </c>
      <c r="F44">
        <v>1117</v>
      </c>
      <c r="G44">
        <v>152</v>
      </c>
      <c r="H44">
        <v>36.54</v>
      </c>
      <c r="I44">
        <v>3.82</v>
      </c>
      <c r="J44">
        <v>389652</v>
      </c>
      <c r="K44">
        <v>579443</v>
      </c>
      <c r="L44">
        <v>189791</v>
      </c>
      <c r="M44">
        <v>0.17</v>
      </c>
      <c r="N44">
        <v>0.54</v>
      </c>
      <c r="O44">
        <v>0</v>
      </c>
      <c r="P44">
        <v>0</v>
      </c>
      <c r="Q44">
        <v>746</v>
      </c>
      <c r="R44">
        <v>0.8</v>
      </c>
      <c r="S44">
        <v>99.2</v>
      </c>
      <c r="T44">
        <v>0</v>
      </c>
      <c r="U44">
        <v>0</v>
      </c>
      <c r="V44">
        <v>2.2000000000000002</v>
      </c>
      <c r="W44">
        <v>0</v>
      </c>
      <c r="X44">
        <v>0</v>
      </c>
      <c r="Y44">
        <v>8</v>
      </c>
      <c r="Z44">
        <v>188270</v>
      </c>
      <c r="AA44">
        <v>2.5499999999999998</v>
      </c>
      <c r="AB44">
        <v>3.58</v>
      </c>
      <c r="AC44">
        <v>746</v>
      </c>
      <c r="AD44">
        <v>71.05</v>
      </c>
      <c r="AE44">
        <v>28.15</v>
      </c>
      <c r="AF44">
        <v>0.67</v>
      </c>
      <c r="AG44">
        <v>0.13</v>
      </c>
      <c r="AH44">
        <v>26.07</v>
      </c>
      <c r="AI44">
        <v>0</v>
      </c>
      <c r="AJ44">
        <v>28</v>
      </c>
      <c r="AK44">
        <v>162779</v>
      </c>
      <c r="AL44">
        <v>25499</v>
      </c>
    </row>
    <row r="45" spans="1:38" x14ac:dyDescent="0.3">
      <c r="A45" t="s">
        <v>38</v>
      </c>
      <c r="B45" t="s">
        <v>200</v>
      </c>
      <c r="C45">
        <v>0.17</v>
      </c>
      <c r="D45">
        <v>2008</v>
      </c>
      <c r="E45" t="s">
        <v>40</v>
      </c>
      <c r="F45">
        <v>514</v>
      </c>
      <c r="G45">
        <v>176</v>
      </c>
      <c r="H45">
        <v>16.809999999999999</v>
      </c>
      <c r="I45">
        <v>4.43</v>
      </c>
      <c r="J45">
        <v>17975</v>
      </c>
      <c r="K45">
        <v>202737</v>
      </c>
      <c r="L45">
        <v>184762</v>
      </c>
      <c r="M45">
        <v>0.17</v>
      </c>
      <c r="N45">
        <v>0.19</v>
      </c>
      <c r="O45">
        <v>0.68</v>
      </c>
      <c r="P45">
        <v>0.53</v>
      </c>
      <c r="Q45">
        <v>842</v>
      </c>
      <c r="R45">
        <v>8.43</v>
      </c>
      <c r="S45">
        <v>91.21</v>
      </c>
      <c r="T45">
        <v>0</v>
      </c>
      <c r="U45">
        <v>0.36</v>
      </c>
      <c r="V45">
        <v>9.8000000000000007</v>
      </c>
      <c r="W45">
        <v>0</v>
      </c>
      <c r="X45">
        <v>0</v>
      </c>
      <c r="Y45">
        <v>31067</v>
      </c>
      <c r="Z45">
        <v>152929</v>
      </c>
      <c r="AA45">
        <v>2.9</v>
      </c>
      <c r="AB45">
        <v>2.75</v>
      </c>
      <c r="AC45">
        <v>842</v>
      </c>
      <c r="AD45">
        <v>70.900000000000006</v>
      </c>
      <c r="AE45">
        <v>28.74</v>
      </c>
      <c r="AF45">
        <v>0</v>
      </c>
      <c r="AG45">
        <v>0.36</v>
      </c>
      <c r="AH45">
        <v>14.1</v>
      </c>
      <c r="AI45">
        <v>0</v>
      </c>
      <c r="AJ45">
        <v>0</v>
      </c>
      <c r="AK45">
        <v>155089</v>
      </c>
      <c r="AL45">
        <v>28907</v>
      </c>
    </row>
    <row r="46" spans="1:38" x14ac:dyDescent="0.3">
      <c r="A46" t="s">
        <v>38</v>
      </c>
      <c r="B46" t="s">
        <v>149</v>
      </c>
      <c r="C46">
        <v>0.17</v>
      </c>
      <c r="D46">
        <v>2008</v>
      </c>
      <c r="E46" t="s">
        <v>40</v>
      </c>
      <c r="F46">
        <v>364</v>
      </c>
      <c r="G46">
        <v>383</v>
      </c>
      <c r="H46">
        <v>11.91</v>
      </c>
      <c r="I46">
        <v>9.6300000000000008</v>
      </c>
      <c r="J46">
        <v>380168</v>
      </c>
      <c r="K46">
        <v>568586</v>
      </c>
      <c r="L46">
        <v>188418</v>
      </c>
      <c r="M46">
        <v>0.17</v>
      </c>
      <c r="N46">
        <v>0.53</v>
      </c>
    </row>
    <row r="47" spans="1:38" x14ac:dyDescent="0.3">
      <c r="A47" t="s">
        <v>38</v>
      </c>
      <c r="B47" t="s">
        <v>103</v>
      </c>
      <c r="C47">
        <v>0.16</v>
      </c>
      <c r="D47">
        <v>2008</v>
      </c>
      <c r="E47" t="s">
        <v>40</v>
      </c>
      <c r="F47">
        <v>421</v>
      </c>
      <c r="G47">
        <v>645</v>
      </c>
      <c r="H47">
        <v>13.77</v>
      </c>
      <c r="I47">
        <v>16.22</v>
      </c>
      <c r="J47">
        <v>169267</v>
      </c>
      <c r="K47">
        <v>341531</v>
      </c>
      <c r="L47">
        <v>172264</v>
      </c>
      <c r="M47">
        <v>0.16</v>
      </c>
      <c r="N47">
        <v>0.32</v>
      </c>
      <c r="O47">
        <v>0.93</v>
      </c>
      <c r="P47">
        <v>0.26</v>
      </c>
      <c r="Q47">
        <v>3159</v>
      </c>
      <c r="R47">
        <v>7.22</v>
      </c>
      <c r="S47">
        <v>84.68</v>
      </c>
      <c r="T47">
        <v>2.44</v>
      </c>
      <c r="U47">
        <v>5.67</v>
      </c>
      <c r="V47">
        <v>93.85</v>
      </c>
      <c r="W47">
        <v>0</v>
      </c>
      <c r="X47">
        <v>629</v>
      </c>
      <c r="Y47">
        <v>4292</v>
      </c>
      <c r="Z47">
        <v>166589</v>
      </c>
      <c r="AA47">
        <v>4.47</v>
      </c>
      <c r="AB47">
        <v>2.84</v>
      </c>
      <c r="AC47">
        <v>3159</v>
      </c>
      <c r="AD47">
        <v>66.19</v>
      </c>
      <c r="AE47">
        <v>25.36</v>
      </c>
      <c r="AF47">
        <v>2.44</v>
      </c>
      <c r="AG47">
        <v>6.01</v>
      </c>
      <c r="AH47">
        <v>93.85</v>
      </c>
      <c r="AI47">
        <v>0</v>
      </c>
      <c r="AJ47">
        <v>629</v>
      </c>
      <c r="AK47">
        <v>99134</v>
      </c>
      <c r="AL47">
        <v>71747</v>
      </c>
    </row>
    <row r="48" spans="1:38" x14ac:dyDescent="0.3">
      <c r="A48" t="s">
        <v>38</v>
      </c>
      <c r="B48" t="s">
        <v>123</v>
      </c>
      <c r="C48">
        <v>0.16</v>
      </c>
      <c r="D48">
        <v>2008</v>
      </c>
      <c r="E48" t="s">
        <v>40</v>
      </c>
      <c r="F48">
        <v>314</v>
      </c>
      <c r="G48">
        <v>291</v>
      </c>
      <c r="H48">
        <v>10.27</v>
      </c>
      <c r="I48">
        <v>7.32</v>
      </c>
      <c r="J48">
        <v>146592</v>
      </c>
      <c r="K48">
        <v>320737</v>
      </c>
      <c r="L48">
        <v>174145</v>
      </c>
      <c r="M48">
        <v>0.16</v>
      </c>
      <c r="N48">
        <v>0.3</v>
      </c>
      <c r="O48">
        <v>0.03</v>
      </c>
      <c r="P48">
        <v>0</v>
      </c>
      <c r="Q48">
        <v>1387</v>
      </c>
      <c r="R48">
        <v>2.09</v>
      </c>
      <c r="S48">
        <v>95.96</v>
      </c>
      <c r="T48">
        <v>1.3</v>
      </c>
      <c r="U48">
        <v>0.65</v>
      </c>
      <c r="V48">
        <v>12.68</v>
      </c>
      <c r="W48">
        <v>0</v>
      </c>
      <c r="X48">
        <v>277</v>
      </c>
      <c r="Y48">
        <v>296</v>
      </c>
      <c r="Z48">
        <v>173570</v>
      </c>
      <c r="AA48">
        <v>2.85</v>
      </c>
      <c r="AB48">
        <v>0.72</v>
      </c>
      <c r="AC48">
        <v>1387</v>
      </c>
      <c r="AD48">
        <v>70.3</v>
      </c>
      <c r="AE48">
        <v>27.76</v>
      </c>
      <c r="AF48">
        <v>1.3</v>
      </c>
      <c r="AG48">
        <v>0.65</v>
      </c>
      <c r="AH48">
        <v>74.900000000000006</v>
      </c>
      <c r="AI48">
        <v>0</v>
      </c>
      <c r="AJ48">
        <v>277</v>
      </c>
      <c r="AK48">
        <v>52202</v>
      </c>
      <c r="AL48">
        <v>121664</v>
      </c>
    </row>
    <row r="49" spans="1:38" x14ac:dyDescent="0.3">
      <c r="A49" t="s">
        <v>38</v>
      </c>
      <c r="B49" t="s">
        <v>235</v>
      </c>
      <c r="C49">
        <v>0.16</v>
      </c>
      <c r="D49">
        <v>2008</v>
      </c>
      <c r="E49" t="s">
        <v>40</v>
      </c>
      <c r="F49">
        <v>56</v>
      </c>
      <c r="G49">
        <v>3</v>
      </c>
      <c r="H49">
        <v>1.83</v>
      </c>
      <c r="I49">
        <v>0.08</v>
      </c>
      <c r="J49">
        <v>-164130</v>
      </c>
      <c r="K49">
        <v>6518</v>
      </c>
      <c r="L49">
        <v>170648</v>
      </c>
      <c r="M49">
        <v>0.16</v>
      </c>
      <c r="N49">
        <v>0.01</v>
      </c>
      <c r="O49">
        <v>0</v>
      </c>
      <c r="P49">
        <v>0</v>
      </c>
      <c r="Q49">
        <v>28</v>
      </c>
      <c r="R49">
        <v>0</v>
      </c>
      <c r="S49">
        <v>100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170648</v>
      </c>
      <c r="AA49">
        <v>0.77</v>
      </c>
      <c r="AB49">
        <v>0</v>
      </c>
      <c r="AC49">
        <v>28</v>
      </c>
      <c r="AD49">
        <v>53.57</v>
      </c>
      <c r="AE49">
        <v>46.43</v>
      </c>
      <c r="AF49">
        <v>0</v>
      </c>
      <c r="AG49">
        <v>0</v>
      </c>
      <c r="AH49">
        <v>4.7</v>
      </c>
      <c r="AI49">
        <v>0</v>
      </c>
      <c r="AJ49">
        <v>0</v>
      </c>
      <c r="AK49">
        <v>74</v>
      </c>
      <c r="AL49">
        <v>170574</v>
      </c>
    </row>
    <row r="50" spans="1:38" x14ac:dyDescent="0.3">
      <c r="A50" t="s">
        <v>38</v>
      </c>
      <c r="B50" t="s">
        <v>49</v>
      </c>
      <c r="C50">
        <v>0.15</v>
      </c>
      <c r="D50">
        <v>2008</v>
      </c>
      <c r="E50" t="s">
        <v>40</v>
      </c>
      <c r="F50">
        <v>1243</v>
      </c>
      <c r="G50">
        <v>444</v>
      </c>
      <c r="H50">
        <v>40.659999999999997</v>
      </c>
      <c r="I50">
        <v>11.16</v>
      </c>
      <c r="J50">
        <v>951455</v>
      </c>
      <c r="K50">
        <v>1110210</v>
      </c>
      <c r="L50">
        <v>158755</v>
      </c>
      <c r="M50">
        <v>0.15</v>
      </c>
      <c r="N50">
        <v>1.03</v>
      </c>
    </row>
    <row r="51" spans="1:38" x14ac:dyDescent="0.3">
      <c r="A51" t="s">
        <v>38</v>
      </c>
      <c r="B51" t="s">
        <v>239</v>
      </c>
      <c r="C51">
        <v>0.15</v>
      </c>
      <c r="D51">
        <v>2008</v>
      </c>
      <c r="E51" t="s">
        <v>40</v>
      </c>
      <c r="F51">
        <v>88</v>
      </c>
      <c r="G51">
        <v>12</v>
      </c>
      <c r="H51">
        <v>2.88</v>
      </c>
      <c r="I51">
        <v>0.3</v>
      </c>
      <c r="J51">
        <v>-130847</v>
      </c>
      <c r="K51">
        <v>32107</v>
      </c>
      <c r="L51">
        <v>162954</v>
      </c>
      <c r="M51">
        <v>0.15</v>
      </c>
      <c r="N51">
        <v>0.03</v>
      </c>
      <c r="O51">
        <v>2.5</v>
      </c>
      <c r="P51">
        <v>1.03</v>
      </c>
      <c r="Q51">
        <v>29</v>
      </c>
      <c r="R51">
        <v>68.97</v>
      </c>
      <c r="S51">
        <v>31.03</v>
      </c>
      <c r="T51">
        <v>0</v>
      </c>
      <c r="U51">
        <v>0</v>
      </c>
      <c r="V51">
        <v>6.5</v>
      </c>
      <c r="W51">
        <v>0</v>
      </c>
      <c r="X51">
        <v>0</v>
      </c>
      <c r="Y51">
        <v>37617</v>
      </c>
      <c r="Z51">
        <v>125304</v>
      </c>
      <c r="AA51">
        <v>3.55</v>
      </c>
      <c r="AB51">
        <v>1.5</v>
      </c>
      <c r="AC51">
        <v>29</v>
      </c>
      <c r="AD51">
        <v>68.97</v>
      </c>
      <c r="AE51">
        <v>31.03</v>
      </c>
      <c r="AF51">
        <v>0</v>
      </c>
      <c r="AG51">
        <v>0</v>
      </c>
      <c r="AH51">
        <v>8</v>
      </c>
      <c r="AI51">
        <v>0</v>
      </c>
      <c r="AJ51">
        <v>0</v>
      </c>
      <c r="AK51">
        <v>37617</v>
      </c>
      <c r="AL51">
        <v>125304</v>
      </c>
    </row>
    <row r="52" spans="1:38" x14ac:dyDescent="0.3">
      <c r="A52" t="s">
        <v>38</v>
      </c>
      <c r="B52" t="s">
        <v>56</v>
      </c>
      <c r="C52">
        <v>0.13</v>
      </c>
      <c r="D52">
        <v>2008</v>
      </c>
      <c r="E52" t="s">
        <v>40</v>
      </c>
      <c r="F52">
        <v>312</v>
      </c>
      <c r="G52">
        <v>274</v>
      </c>
      <c r="H52">
        <v>10.210000000000001</v>
      </c>
      <c r="I52">
        <v>6.89</v>
      </c>
      <c r="J52">
        <v>-11875</v>
      </c>
      <c r="K52">
        <v>125126</v>
      </c>
      <c r="L52">
        <v>137001</v>
      </c>
      <c r="M52">
        <v>0.13</v>
      </c>
      <c r="N52">
        <v>0.12</v>
      </c>
      <c r="O52">
        <v>2.2799999999999998</v>
      </c>
      <c r="P52">
        <v>1.82</v>
      </c>
      <c r="Q52">
        <v>1252</v>
      </c>
      <c r="R52">
        <v>26.6</v>
      </c>
      <c r="S52">
        <v>68.209999999999994</v>
      </c>
      <c r="T52">
        <v>2.2400000000000002</v>
      </c>
      <c r="U52">
        <v>2.96</v>
      </c>
      <c r="V52">
        <v>73.510000000000005</v>
      </c>
      <c r="W52">
        <v>0</v>
      </c>
      <c r="X52">
        <v>144</v>
      </c>
      <c r="Y52">
        <v>28047</v>
      </c>
      <c r="Z52">
        <v>89878</v>
      </c>
      <c r="AA52">
        <v>4.5999999999999996</v>
      </c>
      <c r="AB52">
        <v>4.01</v>
      </c>
      <c r="AC52">
        <v>1252</v>
      </c>
      <c r="AD52">
        <v>73.56</v>
      </c>
      <c r="AE52">
        <v>21.25</v>
      </c>
      <c r="AF52">
        <v>2.2400000000000002</v>
      </c>
      <c r="AG52">
        <v>2.96</v>
      </c>
      <c r="AH52">
        <v>74.900000000000006</v>
      </c>
      <c r="AI52">
        <v>0</v>
      </c>
      <c r="AJ52">
        <v>144</v>
      </c>
      <c r="AK52">
        <v>96174</v>
      </c>
      <c r="AL52">
        <v>21751</v>
      </c>
    </row>
    <row r="53" spans="1:38" x14ac:dyDescent="0.3">
      <c r="A53" t="s">
        <v>38</v>
      </c>
      <c r="B53" t="s">
        <v>91</v>
      </c>
      <c r="C53">
        <v>0.1</v>
      </c>
      <c r="D53">
        <v>2008</v>
      </c>
      <c r="E53" t="s">
        <v>40</v>
      </c>
      <c r="F53">
        <v>583</v>
      </c>
      <c r="G53">
        <v>412</v>
      </c>
      <c r="H53">
        <v>19.07</v>
      </c>
      <c r="I53">
        <v>10.36</v>
      </c>
      <c r="J53">
        <v>553287</v>
      </c>
      <c r="K53">
        <v>660243</v>
      </c>
      <c r="L53">
        <v>106956</v>
      </c>
      <c r="M53">
        <v>0.1</v>
      </c>
      <c r="N53">
        <v>0.61</v>
      </c>
    </row>
    <row r="54" spans="1:38" x14ac:dyDescent="0.3">
      <c r="A54" t="s">
        <v>38</v>
      </c>
      <c r="B54" t="s">
        <v>214</v>
      </c>
      <c r="C54">
        <v>0.1</v>
      </c>
      <c r="D54">
        <v>2008</v>
      </c>
      <c r="E54" t="s">
        <v>40</v>
      </c>
      <c r="F54">
        <v>444</v>
      </c>
      <c r="G54">
        <v>16</v>
      </c>
      <c r="H54">
        <v>14.52</v>
      </c>
      <c r="I54">
        <v>0.4</v>
      </c>
      <c r="J54">
        <v>292175</v>
      </c>
      <c r="K54">
        <v>403286</v>
      </c>
      <c r="L54">
        <v>111111</v>
      </c>
      <c r="M54">
        <v>0.1</v>
      </c>
      <c r="N54">
        <v>0.37</v>
      </c>
      <c r="O54">
        <v>1.4</v>
      </c>
      <c r="P54">
        <v>0.66</v>
      </c>
      <c r="Q54">
        <v>44</v>
      </c>
      <c r="R54">
        <v>13.64</v>
      </c>
      <c r="S54">
        <v>86.36</v>
      </c>
      <c r="T54">
        <v>0</v>
      </c>
      <c r="U54">
        <v>0</v>
      </c>
      <c r="V54">
        <v>15.4</v>
      </c>
      <c r="W54">
        <v>0</v>
      </c>
      <c r="X54">
        <v>0</v>
      </c>
      <c r="Y54">
        <v>11718</v>
      </c>
      <c r="Z54">
        <v>99337</v>
      </c>
      <c r="AA54">
        <v>2.31</v>
      </c>
      <c r="AB54">
        <v>1.63</v>
      </c>
      <c r="AC54">
        <v>44</v>
      </c>
      <c r="AD54">
        <v>36.36</v>
      </c>
      <c r="AE54">
        <v>63.64</v>
      </c>
      <c r="AF54">
        <v>0</v>
      </c>
      <c r="AG54">
        <v>0</v>
      </c>
      <c r="AH54">
        <v>22</v>
      </c>
      <c r="AI54">
        <v>0</v>
      </c>
      <c r="AJ54">
        <v>0</v>
      </c>
      <c r="AK54">
        <v>104624</v>
      </c>
      <c r="AL54">
        <v>6431</v>
      </c>
    </row>
    <row r="55" spans="1:38" x14ac:dyDescent="0.3">
      <c r="A55" t="s">
        <v>38</v>
      </c>
      <c r="B55" t="s">
        <v>219</v>
      </c>
      <c r="C55">
        <v>0.1</v>
      </c>
      <c r="D55">
        <v>2008</v>
      </c>
      <c r="E55" t="s">
        <v>40</v>
      </c>
      <c r="F55">
        <v>146</v>
      </c>
      <c r="G55">
        <v>318</v>
      </c>
      <c r="H55">
        <v>4.78</v>
      </c>
      <c r="I55">
        <v>8</v>
      </c>
      <c r="J55">
        <v>-11408</v>
      </c>
      <c r="K55">
        <v>101121</v>
      </c>
      <c r="L55">
        <v>112529</v>
      </c>
      <c r="M55">
        <v>0.1</v>
      </c>
      <c r="N55">
        <v>0.09</v>
      </c>
    </row>
    <row r="56" spans="1:38" x14ac:dyDescent="0.3">
      <c r="A56" t="s">
        <v>38</v>
      </c>
      <c r="B56" t="s">
        <v>98</v>
      </c>
      <c r="C56">
        <v>0.08</v>
      </c>
      <c r="D56">
        <v>2008</v>
      </c>
      <c r="E56" t="s">
        <v>40</v>
      </c>
      <c r="F56">
        <v>162</v>
      </c>
      <c r="G56">
        <v>312</v>
      </c>
      <c r="H56">
        <v>5.3</v>
      </c>
      <c r="I56">
        <v>7.85</v>
      </c>
      <c r="J56">
        <v>-75704</v>
      </c>
      <c r="K56">
        <v>14838</v>
      </c>
      <c r="L56">
        <v>90542</v>
      </c>
      <c r="M56">
        <v>0.08</v>
      </c>
      <c r="N56">
        <v>0.01</v>
      </c>
      <c r="O56">
        <v>2.31</v>
      </c>
      <c r="P56">
        <v>1.8</v>
      </c>
      <c r="Q56">
        <v>1396</v>
      </c>
      <c r="R56">
        <v>33.380000000000003</v>
      </c>
      <c r="S56">
        <v>65.69</v>
      </c>
      <c r="T56">
        <v>0.72</v>
      </c>
      <c r="U56">
        <v>0.21</v>
      </c>
      <c r="V56">
        <v>40.299999999999997</v>
      </c>
      <c r="W56">
        <v>0</v>
      </c>
      <c r="X56">
        <v>80</v>
      </c>
      <c r="Y56">
        <v>25539</v>
      </c>
      <c r="Z56">
        <v>64933</v>
      </c>
      <c r="AA56">
        <v>4.51</v>
      </c>
      <c r="AB56">
        <v>3.59</v>
      </c>
      <c r="AC56">
        <v>1396</v>
      </c>
      <c r="AD56">
        <v>77.010000000000005</v>
      </c>
      <c r="AE56">
        <v>22.06</v>
      </c>
      <c r="AF56">
        <v>0.72</v>
      </c>
      <c r="AG56">
        <v>0.21</v>
      </c>
      <c r="AH56">
        <v>57.6</v>
      </c>
      <c r="AI56">
        <v>0</v>
      </c>
      <c r="AJ56">
        <v>80</v>
      </c>
      <c r="AK56">
        <v>49426</v>
      </c>
      <c r="AL56">
        <v>41046</v>
      </c>
    </row>
    <row r="57" spans="1:38" x14ac:dyDescent="0.3">
      <c r="A57" t="s">
        <v>38</v>
      </c>
      <c r="B57" t="s">
        <v>43</v>
      </c>
      <c r="C57">
        <v>7.0000000000000007E-2</v>
      </c>
      <c r="D57">
        <v>2008</v>
      </c>
      <c r="E57" t="s">
        <v>40</v>
      </c>
      <c r="F57">
        <v>340</v>
      </c>
      <c r="G57">
        <v>221</v>
      </c>
      <c r="H57">
        <v>11.12</v>
      </c>
      <c r="I57">
        <v>5.56</v>
      </c>
      <c r="J57">
        <v>554039</v>
      </c>
      <c r="K57">
        <v>629689</v>
      </c>
      <c r="L57">
        <v>75650</v>
      </c>
      <c r="M57">
        <v>7.0000000000000007E-2</v>
      </c>
      <c r="N57">
        <v>0.57999999999999996</v>
      </c>
      <c r="O57">
        <v>1.93</v>
      </c>
      <c r="P57">
        <v>0.6</v>
      </c>
      <c r="Q57">
        <v>1052</v>
      </c>
      <c r="R57">
        <v>22.34</v>
      </c>
      <c r="S57">
        <v>76.430000000000007</v>
      </c>
      <c r="T57">
        <v>0</v>
      </c>
      <c r="U57">
        <v>1.24</v>
      </c>
      <c r="V57">
        <v>52.4</v>
      </c>
      <c r="W57">
        <v>0</v>
      </c>
      <c r="X57">
        <v>0</v>
      </c>
      <c r="Y57">
        <v>5239</v>
      </c>
      <c r="Z57">
        <v>68255</v>
      </c>
      <c r="AA57">
        <v>4.38</v>
      </c>
      <c r="AB57">
        <v>2.27</v>
      </c>
      <c r="AC57">
        <v>1052</v>
      </c>
      <c r="AD57">
        <v>77.28</v>
      </c>
      <c r="AE57">
        <v>21.2</v>
      </c>
      <c r="AF57">
        <v>0</v>
      </c>
      <c r="AG57">
        <v>1.52</v>
      </c>
      <c r="AH57">
        <v>74.900000000000006</v>
      </c>
      <c r="AI57">
        <v>0</v>
      </c>
      <c r="AJ57">
        <v>0</v>
      </c>
      <c r="AK57">
        <v>64862</v>
      </c>
      <c r="AL57">
        <v>8632</v>
      </c>
    </row>
    <row r="58" spans="1:38" x14ac:dyDescent="0.3">
      <c r="A58" t="s">
        <v>38</v>
      </c>
      <c r="B58" t="s">
        <v>71</v>
      </c>
      <c r="C58">
        <v>0.06</v>
      </c>
      <c r="D58">
        <v>2008</v>
      </c>
      <c r="E58" t="s">
        <v>40</v>
      </c>
      <c r="F58">
        <v>230</v>
      </c>
      <c r="G58">
        <v>106</v>
      </c>
      <c r="H58">
        <v>7.52</v>
      </c>
      <c r="I58">
        <v>2.67</v>
      </c>
      <c r="J58">
        <v>-3057</v>
      </c>
      <c r="K58">
        <v>60295</v>
      </c>
      <c r="L58">
        <v>63352</v>
      </c>
      <c r="M58">
        <v>0.06</v>
      </c>
      <c r="N58">
        <v>0.06</v>
      </c>
    </row>
    <row r="59" spans="1:38" x14ac:dyDescent="0.3">
      <c r="A59" t="s">
        <v>38</v>
      </c>
      <c r="B59" t="s">
        <v>218</v>
      </c>
      <c r="C59">
        <v>0.06</v>
      </c>
      <c r="D59">
        <v>2008</v>
      </c>
      <c r="E59" t="s">
        <v>40</v>
      </c>
      <c r="F59">
        <v>579</v>
      </c>
      <c r="G59">
        <v>185</v>
      </c>
      <c r="H59">
        <v>18.940000000000001</v>
      </c>
      <c r="I59">
        <v>4.6500000000000004</v>
      </c>
      <c r="J59">
        <v>227960</v>
      </c>
      <c r="K59">
        <v>289008</v>
      </c>
      <c r="L59">
        <v>61048</v>
      </c>
      <c r="M59">
        <v>0.06</v>
      </c>
      <c r="N59">
        <v>0.27</v>
      </c>
    </row>
    <row r="60" spans="1:38" x14ac:dyDescent="0.3">
      <c r="A60" t="s">
        <v>38</v>
      </c>
      <c r="B60" t="s">
        <v>182</v>
      </c>
      <c r="C60">
        <v>0.05</v>
      </c>
      <c r="D60">
        <v>2008</v>
      </c>
      <c r="E60" t="s">
        <v>40</v>
      </c>
      <c r="F60">
        <v>166</v>
      </c>
      <c r="G60">
        <v>205</v>
      </c>
      <c r="H60">
        <v>5.43</v>
      </c>
      <c r="I60">
        <v>5.15</v>
      </c>
      <c r="J60">
        <v>-9846</v>
      </c>
      <c r="K60">
        <v>40594</v>
      </c>
      <c r="L60">
        <v>50440</v>
      </c>
      <c r="M60">
        <v>0.05</v>
      </c>
      <c r="N60">
        <v>0.04</v>
      </c>
      <c r="O60">
        <v>3.76</v>
      </c>
      <c r="P60">
        <v>1.48</v>
      </c>
      <c r="Q60">
        <v>1213</v>
      </c>
      <c r="R60">
        <v>48.23</v>
      </c>
      <c r="S60">
        <v>42.29</v>
      </c>
      <c r="T60">
        <v>1.65</v>
      </c>
      <c r="U60">
        <v>7.83</v>
      </c>
      <c r="V60">
        <v>45.62</v>
      </c>
      <c r="W60">
        <v>0</v>
      </c>
      <c r="X60">
        <v>25</v>
      </c>
      <c r="Y60">
        <v>9231</v>
      </c>
      <c r="Z60">
        <v>41095</v>
      </c>
      <c r="AA60">
        <v>6.2</v>
      </c>
      <c r="AB60">
        <v>3.2</v>
      </c>
      <c r="AC60">
        <v>1213</v>
      </c>
      <c r="AD60">
        <v>77.16</v>
      </c>
      <c r="AE60">
        <v>13.36</v>
      </c>
      <c r="AF60">
        <v>1.65</v>
      </c>
      <c r="AG60">
        <v>7.83</v>
      </c>
      <c r="AH60">
        <v>49.12</v>
      </c>
      <c r="AI60">
        <v>0</v>
      </c>
      <c r="AJ60">
        <v>25</v>
      </c>
      <c r="AK60">
        <v>46136</v>
      </c>
      <c r="AL60">
        <v>4190</v>
      </c>
    </row>
    <row r="61" spans="1:38" x14ac:dyDescent="0.3">
      <c r="A61" t="s">
        <v>38</v>
      </c>
      <c r="B61" t="s">
        <v>137</v>
      </c>
      <c r="C61">
        <v>0.04</v>
      </c>
      <c r="D61">
        <v>2008</v>
      </c>
      <c r="E61" t="s">
        <v>40</v>
      </c>
      <c r="F61">
        <v>499</v>
      </c>
      <c r="G61">
        <v>278</v>
      </c>
      <c r="H61">
        <v>16.32</v>
      </c>
      <c r="I61">
        <v>6.99</v>
      </c>
      <c r="J61">
        <v>212484</v>
      </c>
      <c r="K61">
        <v>254199</v>
      </c>
      <c r="L61">
        <v>41715</v>
      </c>
      <c r="M61">
        <v>0.04</v>
      </c>
      <c r="N61">
        <v>0.23</v>
      </c>
      <c r="O61">
        <v>0.27</v>
      </c>
      <c r="P61">
        <v>0.04</v>
      </c>
      <c r="Q61">
        <v>1321</v>
      </c>
      <c r="R61">
        <v>2.95</v>
      </c>
      <c r="S61">
        <v>94.32</v>
      </c>
      <c r="T61">
        <v>1.06</v>
      </c>
      <c r="U61">
        <v>1.67</v>
      </c>
      <c r="V61">
        <v>174.79</v>
      </c>
      <c r="W61">
        <v>0</v>
      </c>
      <c r="X61">
        <v>107</v>
      </c>
      <c r="Y61">
        <v>258</v>
      </c>
      <c r="Z61">
        <v>41189</v>
      </c>
      <c r="AA61">
        <v>2.74</v>
      </c>
      <c r="AB61">
        <v>1.86</v>
      </c>
      <c r="AC61">
        <v>1321</v>
      </c>
      <c r="AD61">
        <v>68.430000000000007</v>
      </c>
      <c r="AE61">
        <v>28.84</v>
      </c>
      <c r="AF61">
        <v>1.06</v>
      </c>
      <c r="AG61">
        <v>1.67</v>
      </c>
      <c r="AH61">
        <v>174.79</v>
      </c>
      <c r="AI61">
        <v>0</v>
      </c>
      <c r="AJ61">
        <v>107</v>
      </c>
      <c r="AK61">
        <v>23931</v>
      </c>
      <c r="AL61">
        <v>17516</v>
      </c>
    </row>
    <row r="62" spans="1:38" x14ac:dyDescent="0.3">
      <c r="A62" t="s">
        <v>38</v>
      </c>
      <c r="B62" t="s">
        <v>44</v>
      </c>
      <c r="C62">
        <v>0.03</v>
      </c>
      <c r="D62">
        <v>2008</v>
      </c>
      <c r="E62" t="s">
        <v>40</v>
      </c>
      <c r="F62">
        <v>171</v>
      </c>
      <c r="G62">
        <v>83</v>
      </c>
      <c r="H62">
        <v>5.59</v>
      </c>
      <c r="I62">
        <v>2.09</v>
      </c>
      <c r="J62">
        <v>-8621</v>
      </c>
      <c r="K62">
        <v>21100</v>
      </c>
      <c r="L62">
        <v>29721</v>
      </c>
      <c r="M62">
        <v>0.03</v>
      </c>
      <c r="N62">
        <v>0.02</v>
      </c>
      <c r="O62">
        <v>1.54</v>
      </c>
      <c r="P62">
        <v>2.94</v>
      </c>
      <c r="Q62">
        <v>568</v>
      </c>
      <c r="R62">
        <v>26.76</v>
      </c>
      <c r="S62">
        <v>51.76</v>
      </c>
      <c r="T62">
        <v>0.35</v>
      </c>
      <c r="U62">
        <v>21.13</v>
      </c>
      <c r="V62">
        <v>33.93</v>
      </c>
      <c r="W62">
        <v>0</v>
      </c>
      <c r="X62">
        <v>172</v>
      </c>
      <c r="Y62">
        <v>15430</v>
      </c>
      <c r="Z62">
        <v>14159</v>
      </c>
      <c r="AA62">
        <v>3.65</v>
      </c>
      <c r="AB62">
        <v>4.32</v>
      </c>
      <c r="AC62">
        <v>568</v>
      </c>
      <c r="AD62">
        <v>57.92</v>
      </c>
      <c r="AE62">
        <v>20.6</v>
      </c>
      <c r="AF62">
        <v>0.35</v>
      </c>
      <c r="AG62">
        <v>21.13</v>
      </c>
      <c r="AH62">
        <v>33.93</v>
      </c>
      <c r="AI62">
        <v>0</v>
      </c>
      <c r="AJ62">
        <v>172</v>
      </c>
      <c r="AK62">
        <v>17976</v>
      </c>
      <c r="AL62">
        <v>11613</v>
      </c>
    </row>
    <row r="63" spans="1:38" x14ac:dyDescent="0.3">
      <c r="A63" t="s">
        <v>38</v>
      </c>
      <c r="B63" t="s">
        <v>165</v>
      </c>
      <c r="C63">
        <v>0.03</v>
      </c>
      <c r="D63">
        <v>2008</v>
      </c>
      <c r="E63" t="s">
        <v>40</v>
      </c>
      <c r="F63">
        <v>503</v>
      </c>
      <c r="G63">
        <v>212</v>
      </c>
      <c r="H63">
        <v>16.45</v>
      </c>
      <c r="I63">
        <v>5.33</v>
      </c>
      <c r="J63">
        <v>505292</v>
      </c>
      <c r="K63">
        <v>542174</v>
      </c>
      <c r="L63">
        <v>36882</v>
      </c>
      <c r="M63">
        <v>0.03</v>
      </c>
      <c r="N63">
        <v>0.5</v>
      </c>
      <c r="O63">
        <v>7.0000000000000007E-2</v>
      </c>
      <c r="P63">
        <v>0</v>
      </c>
      <c r="Q63">
        <v>1393</v>
      </c>
      <c r="R63">
        <v>2.44</v>
      </c>
      <c r="S63">
        <v>90.81</v>
      </c>
      <c r="T63">
        <v>1.1499999999999999</v>
      </c>
      <c r="U63">
        <v>5.6</v>
      </c>
      <c r="V63">
        <v>12.68</v>
      </c>
      <c r="W63">
        <v>0</v>
      </c>
      <c r="X63">
        <v>14</v>
      </c>
      <c r="Y63">
        <v>101</v>
      </c>
      <c r="Z63">
        <v>35681</v>
      </c>
      <c r="AA63">
        <v>3.53</v>
      </c>
      <c r="AB63">
        <v>2.66</v>
      </c>
      <c r="AC63">
        <v>1080</v>
      </c>
      <c r="AD63">
        <v>67.59</v>
      </c>
      <c r="AE63">
        <v>21.48</v>
      </c>
      <c r="AF63">
        <v>1.1499999999999999</v>
      </c>
      <c r="AG63">
        <v>7.32</v>
      </c>
      <c r="AH63">
        <v>74.900000000000006</v>
      </c>
      <c r="AI63">
        <v>0</v>
      </c>
      <c r="AJ63">
        <v>14</v>
      </c>
      <c r="AK63">
        <v>19135</v>
      </c>
      <c r="AL63">
        <v>16647</v>
      </c>
    </row>
    <row r="64" spans="1:38" x14ac:dyDescent="0.3">
      <c r="A64" t="s">
        <v>38</v>
      </c>
      <c r="B64" t="s">
        <v>46</v>
      </c>
      <c r="C64">
        <v>0.02</v>
      </c>
      <c r="D64">
        <v>2008</v>
      </c>
      <c r="E64" t="s">
        <v>40</v>
      </c>
      <c r="F64">
        <v>381</v>
      </c>
      <c r="G64">
        <v>230</v>
      </c>
      <c r="H64">
        <v>12.46</v>
      </c>
      <c r="I64">
        <v>5.78</v>
      </c>
      <c r="J64">
        <v>113103</v>
      </c>
      <c r="K64">
        <v>132989</v>
      </c>
      <c r="L64">
        <v>19886</v>
      </c>
      <c r="M64">
        <v>0.02</v>
      </c>
      <c r="N64">
        <v>0.12</v>
      </c>
      <c r="O64">
        <v>2.62</v>
      </c>
      <c r="P64">
        <v>1.28</v>
      </c>
      <c r="Q64">
        <v>1215</v>
      </c>
      <c r="R64">
        <v>51.28</v>
      </c>
      <c r="S64">
        <v>37.86</v>
      </c>
      <c r="T64">
        <v>3.7</v>
      </c>
      <c r="U64">
        <v>7.16</v>
      </c>
      <c r="V64">
        <v>35.24</v>
      </c>
      <c r="W64">
        <v>0</v>
      </c>
      <c r="X64">
        <v>164</v>
      </c>
      <c r="Y64">
        <v>10314</v>
      </c>
      <c r="Z64">
        <v>7968</v>
      </c>
      <c r="AA64">
        <v>2.62</v>
      </c>
      <c r="AB64">
        <v>1.28</v>
      </c>
      <c r="AC64">
        <v>1215</v>
      </c>
      <c r="AD64">
        <v>51.28</v>
      </c>
      <c r="AE64">
        <v>37.86</v>
      </c>
      <c r="AF64">
        <v>3.7</v>
      </c>
      <c r="AG64">
        <v>7.16</v>
      </c>
      <c r="AH64">
        <v>35.24</v>
      </c>
      <c r="AI64">
        <v>0</v>
      </c>
      <c r="AJ64">
        <v>164</v>
      </c>
      <c r="AK64">
        <v>10314</v>
      </c>
      <c r="AL64">
        <v>7968</v>
      </c>
    </row>
    <row r="65" spans="1:38" x14ac:dyDescent="0.3">
      <c r="A65" t="s">
        <v>38</v>
      </c>
      <c r="B65" t="s">
        <v>206</v>
      </c>
      <c r="C65">
        <v>0.02</v>
      </c>
      <c r="D65">
        <v>2008</v>
      </c>
      <c r="E65" t="s">
        <v>40</v>
      </c>
      <c r="F65">
        <v>467</v>
      </c>
      <c r="G65">
        <v>163</v>
      </c>
      <c r="H65">
        <v>15.28</v>
      </c>
      <c r="I65">
        <v>4.0999999999999996</v>
      </c>
      <c r="J65">
        <v>119016</v>
      </c>
      <c r="K65">
        <v>144271</v>
      </c>
      <c r="L65">
        <v>25255</v>
      </c>
      <c r="M65">
        <v>0.02</v>
      </c>
      <c r="N65">
        <v>0.13</v>
      </c>
    </row>
    <row r="66" spans="1:38" x14ac:dyDescent="0.3">
      <c r="A66" t="s">
        <v>38</v>
      </c>
      <c r="B66" t="s">
        <v>220</v>
      </c>
      <c r="C66">
        <v>0.02</v>
      </c>
      <c r="D66">
        <v>2008</v>
      </c>
      <c r="E66" t="s">
        <v>40</v>
      </c>
      <c r="F66">
        <v>457</v>
      </c>
      <c r="G66">
        <v>79</v>
      </c>
      <c r="H66">
        <v>14.95</v>
      </c>
      <c r="I66">
        <v>1.99</v>
      </c>
      <c r="J66">
        <v>154239</v>
      </c>
      <c r="K66">
        <v>181367</v>
      </c>
      <c r="L66">
        <v>27128</v>
      </c>
      <c r="M66">
        <v>0.02</v>
      </c>
      <c r="N66">
        <v>0.17</v>
      </c>
    </row>
    <row r="67" spans="1:38" x14ac:dyDescent="0.3">
      <c r="A67" t="s">
        <v>38</v>
      </c>
      <c r="B67" t="s">
        <v>119</v>
      </c>
      <c r="C67">
        <v>0.02</v>
      </c>
      <c r="D67">
        <v>2008</v>
      </c>
      <c r="E67" t="s">
        <v>40</v>
      </c>
      <c r="F67">
        <v>13</v>
      </c>
      <c r="G67">
        <v>37</v>
      </c>
      <c r="H67">
        <v>0.43</v>
      </c>
      <c r="I67">
        <v>0.93</v>
      </c>
      <c r="J67">
        <v>-17022</v>
      </c>
      <c r="K67">
        <v>3515</v>
      </c>
      <c r="L67">
        <v>20537</v>
      </c>
      <c r="M67">
        <v>0.02</v>
      </c>
      <c r="N67">
        <v>0</v>
      </c>
      <c r="O67">
        <v>0.73</v>
      </c>
      <c r="P67">
        <v>0.28999999999999998</v>
      </c>
      <c r="Q67">
        <v>284</v>
      </c>
      <c r="R67">
        <v>13.73</v>
      </c>
      <c r="S67">
        <v>86.27</v>
      </c>
      <c r="T67">
        <v>0</v>
      </c>
      <c r="U67">
        <v>0</v>
      </c>
      <c r="V67">
        <v>9.6</v>
      </c>
      <c r="W67">
        <v>0</v>
      </c>
      <c r="X67">
        <v>0</v>
      </c>
      <c r="Y67">
        <v>9919</v>
      </c>
      <c r="Z67">
        <v>10581</v>
      </c>
      <c r="AA67">
        <v>2.56</v>
      </c>
      <c r="AB67">
        <v>1.69</v>
      </c>
      <c r="AC67">
        <v>284</v>
      </c>
      <c r="AD67">
        <v>73.94</v>
      </c>
      <c r="AE67">
        <v>26.06</v>
      </c>
      <c r="AF67">
        <v>0</v>
      </c>
      <c r="AG67">
        <v>0</v>
      </c>
      <c r="AH67">
        <v>12</v>
      </c>
      <c r="AI67">
        <v>0</v>
      </c>
      <c r="AJ67">
        <v>0</v>
      </c>
      <c r="AK67">
        <v>10892</v>
      </c>
      <c r="AL67">
        <v>9608</v>
      </c>
    </row>
    <row r="68" spans="1:38" x14ac:dyDescent="0.3">
      <c r="A68" t="s">
        <v>38</v>
      </c>
      <c r="B68" t="s">
        <v>142</v>
      </c>
      <c r="C68">
        <v>0.02</v>
      </c>
      <c r="D68">
        <v>2008</v>
      </c>
      <c r="E68" t="s">
        <v>40</v>
      </c>
      <c r="F68">
        <v>115</v>
      </c>
      <c r="G68">
        <v>180</v>
      </c>
      <c r="H68">
        <v>3.76</v>
      </c>
      <c r="I68">
        <v>4.53</v>
      </c>
      <c r="J68">
        <v>65713</v>
      </c>
      <c r="K68">
        <v>86766</v>
      </c>
      <c r="L68">
        <v>21053</v>
      </c>
      <c r="M68">
        <v>0.02</v>
      </c>
      <c r="N68">
        <v>0.08</v>
      </c>
      <c r="O68">
        <v>5.17</v>
      </c>
      <c r="P68">
        <v>9.9700000000000006</v>
      </c>
      <c r="Q68">
        <v>595</v>
      </c>
      <c r="R68">
        <v>55.63</v>
      </c>
      <c r="S68">
        <v>37.979999999999997</v>
      </c>
      <c r="T68">
        <v>0</v>
      </c>
      <c r="U68">
        <v>6.39</v>
      </c>
      <c r="V68">
        <v>40.85</v>
      </c>
      <c r="W68">
        <v>0</v>
      </c>
      <c r="X68">
        <v>0</v>
      </c>
      <c r="Y68">
        <v>13585</v>
      </c>
      <c r="Z68">
        <v>7309</v>
      </c>
      <c r="AA68">
        <v>7.39</v>
      </c>
      <c r="AB68">
        <v>11.4</v>
      </c>
      <c r="AC68">
        <v>595</v>
      </c>
      <c r="AD68">
        <v>81.010000000000005</v>
      </c>
      <c r="AE68">
        <v>12.61</v>
      </c>
      <c r="AF68">
        <v>0</v>
      </c>
      <c r="AG68">
        <v>6.39</v>
      </c>
      <c r="AH68">
        <v>40.85</v>
      </c>
      <c r="AI68">
        <v>0</v>
      </c>
      <c r="AJ68">
        <v>0</v>
      </c>
      <c r="AK68">
        <v>16910</v>
      </c>
      <c r="AL68">
        <v>3984</v>
      </c>
    </row>
    <row r="69" spans="1:38" x14ac:dyDescent="0.3">
      <c r="A69" t="s">
        <v>38</v>
      </c>
      <c r="B69" t="s">
        <v>186</v>
      </c>
      <c r="C69">
        <v>0.02</v>
      </c>
      <c r="D69">
        <v>2008</v>
      </c>
      <c r="E69" t="s">
        <v>40</v>
      </c>
      <c r="F69">
        <v>329</v>
      </c>
      <c r="G69">
        <v>147</v>
      </c>
      <c r="H69">
        <v>10.76</v>
      </c>
      <c r="I69">
        <v>3.7</v>
      </c>
      <c r="J69">
        <v>267548</v>
      </c>
      <c r="K69">
        <v>285368</v>
      </c>
      <c r="L69">
        <v>17820</v>
      </c>
      <c r="M69">
        <v>0.02</v>
      </c>
      <c r="N69">
        <v>0.26</v>
      </c>
      <c r="O69">
        <v>0.13</v>
      </c>
      <c r="P69">
        <v>0.01</v>
      </c>
      <c r="Q69">
        <v>800</v>
      </c>
      <c r="R69">
        <v>4.25</v>
      </c>
      <c r="S69">
        <v>84</v>
      </c>
      <c r="T69">
        <v>2</v>
      </c>
      <c r="U69">
        <v>9.75</v>
      </c>
      <c r="V69">
        <v>12.68</v>
      </c>
      <c r="W69">
        <v>0</v>
      </c>
      <c r="X69">
        <v>14</v>
      </c>
      <c r="Y69">
        <v>101</v>
      </c>
      <c r="Z69">
        <v>17449</v>
      </c>
      <c r="AA69">
        <v>2.68</v>
      </c>
      <c r="AB69">
        <v>1.76</v>
      </c>
      <c r="AC69">
        <v>800</v>
      </c>
      <c r="AD69">
        <v>64.63</v>
      </c>
      <c r="AE69">
        <v>23.63</v>
      </c>
      <c r="AF69">
        <v>2</v>
      </c>
      <c r="AG69">
        <v>9.75</v>
      </c>
      <c r="AH69">
        <v>29.62</v>
      </c>
      <c r="AI69">
        <v>0</v>
      </c>
      <c r="AJ69">
        <v>14</v>
      </c>
      <c r="AK69">
        <v>12984</v>
      </c>
      <c r="AL69">
        <v>4566</v>
      </c>
    </row>
    <row r="70" spans="1:38" x14ac:dyDescent="0.3">
      <c r="A70" t="s">
        <v>38</v>
      </c>
      <c r="B70" t="s">
        <v>42</v>
      </c>
      <c r="C70">
        <v>0.01</v>
      </c>
      <c r="D70">
        <v>2008</v>
      </c>
      <c r="E70" t="s">
        <v>40</v>
      </c>
      <c r="F70">
        <v>411</v>
      </c>
      <c r="G70">
        <v>15</v>
      </c>
      <c r="H70">
        <v>13.44</v>
      </c>
      <c r="I70">
        <v>0.38</v>
      </c>
      <c r="J70">
        <v>83999</v>
      </c>
      <c r="K70">
        <v>90512</v>
      </c>
      <c r="L70">
        <v>6513</v>
      </c>
      <c r="M70">
        <v>0.01</v>
      </c>
      <c r="N70">
        <v>0.08</v>
      </c>
      <c r="O70">
        <v>0</v>
      </c>
      <c r="P70">
        <v>0</v>
      </c>
      <c r="Q70">
        <v>80</v>
      </c>
      <c r="R70">
        <v>0</v>
      </c>
      <c r="S70">
        <v>100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6422</v>
      </c>
      <c r="AA70">
        <v>2.6</v>
      </c>
      <c r="AB70">
        <v>0.14000000000000001</v>
      </c>
      <c r="AC70">
        <v>80</v>
      </c>
      <c r="AD70">
        <v>72.5</v>
      </c>
      <c r="AE70">
        <v>23.75</v>
      </c>
      <c r="AF70">
        <v>0</v>
      </c>
      <c r="AG70">
        <v>3.75</v>
      </c>
      <c r="AH70">
        <v>16</v>
      </c>
      <c r="AI70">
        <v>0</v>
      </c>
      <c r="AJ70">
        <v>0</v>
      </c>
      <c r="AK70">
        <v>250</v>
      </c>
      <c r="AL70">
        <v>6172</v>
      </c>
    </row>
    <row r="71" spans="1:38" x14ac:dyDescent="0.3">
      <c r="A71" t="s">
        <v>38</v>
      </c>
      <c r="B71" t="s">
        <v>63</v>
      </c>
      <c r="C71">
        <v>0.01</v>
      </c>
      <c r="D71">
        <v>2008</v>
      </c>
      <c r="E71" t="s">
        <v>40</v>
      </c>
      <c r="F71">
        <v>20</v>
      </c>
      <c r="G71">
        <v>3</v>
      </c>
      <c r="H71">
        <v>0.65</v>
      </c>
      <c r="I71">
        <v>0.08</v>
      </c>
      <c r="J71">
        <v>-4023</v>
      </c>
      <c r="K71">
        <v>3461</v>
      </c>
      <c r="L71">
        <v>7484</v>
      </c>
      <c r="M71">
        <v>0.01</v>
      </c>
      <c r="N71">
        <v>0</v>
      </c>
      <c r="O71">
        <v>0</v>
      </c>
      <c r="P71">
        <v>0</v>
      </c>
      <c r="Q71">
        <v>9</v>
      </c>
      <c r="R71">
        <v>0</v>
      </c>
      <c r="S71">
        <v>100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7480</v>
      </c>
      <c r="AA71">
        <v>1.99</v>
      </c>
      <c r="AB71">
        <v>0.04</v>
      </c>
      <c r="AC71">
        <v>9</v>
      </c>
      <c r="AD71">
        <v>77.78</v>
      </c>
      <c r="AE71">
        <v>22.22</v>
      </c>
      <c r="AF71">
        <v>0</v>
      </c>
      <c r="AG71">
        <v>0</v>
      </c>
      <c r="AH71">
        <v>6</v>
      </c>
      <c r="AI71">
        <v>0</v>
      </c>
      <c r="AJ71">
        <v>0</v>
      </c>
      <c r="AK71">
        <v>68</v>
      </c>
      <c r="AL71">
        <v>7412</v>
      </c>
    </row>
    <row r="72" spans="1:38" x14ac:dyDescent="0.3">
      <c r="A72" t="s">
        <v>38</v>
      </c>
      <c r="B72" t="s">
        <v>80</v>
      </c>
      <c r="C72">
        <v>0.01</v>
      </c>
      <c r="D72">
        <v>2008</v>
      </c>
      <c r="E72" t="s">
        <v>40</v>
      </c>
      <c r="F72">
        <v>273</v>
      </c>
      <c r="G72">
        <v>108</v>
      </c>
      <c r="H72">
        <v>8.93</v>
      </c>
      <c r="I72">
        <v>2.72</v>
      </c>
      <c r="J72">
        <v>249714</v>
      </c>
      <c r="K72">
        <v>262180</v>
      </c>
      <c r="L72">
        <v>12466</v>
      </c>
      <c r="M72">
        <v>0.01</v>
      </c>
      <c r="N72">
        <v>0.24</v>
      </c>
      <c r="O72">
        <v>1.45</v>
      </c>
      <c r="P72">
        <v>2.16</v>
      </c>
      <c r="Q72">
        <v>426</v>
      </c>
      <c r="R72">
        <v>8.2200000000000006</v>
      </c>
      <c r="S72">
        <v>67.84</v>
      </c>
      <c r="T72">
        <v>0.23</v>
      </c>
      <c r="U72">
        <v>23.71</v>
      </c>
      <c r="V72">
        <v>36.89</v>
      </c>
      <c r="W72">
        <v>0</v>
      </c>
      <c r="X72">
        <v>225</v>
      </c>
      <c r="Y72">
        <v>3720</v>
      </c>
      <c r="Z72">
        <v>8500</v>
      </c>
      <c r="AA72">
        <v>6.04</v>
      </c>
      <c r="AB72">
        <v>7.76</v>
      </c>
      <c r="AC72">
        <v>426</v>
      </c>
      <c r="AD72">
        <v>53.52</v>
      </c>
      <c r="AE72">
        <v>22.07</v>
      </c>
      <c r="AF72">
        <v>0.23</v>
      </c>
      <c r="AG72">
        <v>24.18</v>
      </c>
      <c r="AH72">
        <v>74.900000000000006</v>
      </c>
      <c r="AI72">
        <v>0</v>
      </c>
      <c r="AJ72">
        <v>225</v>
      </c>
      <c r="AK72">
        <v>10711</v>
      </c>
      <c r="AL72">
        <v>1509</v>
      </c>
    </row>
    <row r="73" spans="1:38" x14ac:dyDescent="0.3">
      <c r="A73" t="s">
        <v>38</v>
      </c>
      <c r="B73" t="s">
        <v>102</v>
      </c>
      <c r="C73">
        <v>0.01</v>
      </c>
      <c r="D73">
        <v>2008</v>
      </c>
      <c r="E73" t="s">
        <v>40</v>
      </c>
      <c r="F73">
        <v>95</v>
      </c>
      <c r="G73">
        <v>20</v>
      </c>
      <c r="H73">
        <v>3.11</v>
      </c>
      <c r="I73">
        <v>0.5</v>
      </c>
      <c r="J73">
        <v>6844</v>
      </c>
      <c r="K73">
        <v>14232</v>
      </c>
      <c r="L73">
        <v>7388</v>
      </c>
      <c r="M73">
        <v>0.01</v>
      </c>
      <c r="N73">
        <v>0.01</v>
      </c>
      <c r="O73">
        <v>0</v>
      </c>
      <c r="P73">
        <v>0</v>
      </c>
      <c r="Q73">
        <v>95</v>
      </c>
      <c r="R73">
        <v>0</v>
      </c>
      <c r="S73">
        <v>100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7379</v>
      </c>
      <c r="AA73">
        <v>1.1599999999999999</v>
      </c>
      <c r="AB73">
        <v>0.01</v>
      </c>
      <c r="AC73">
        <v>95</v>
      </c>
      <c r="AD73">
        <v>40</v>
      </c>
      <c r="AE73">
        <v>60</v>
      </c>
      <c r="AF73">
        <v>0</v>
      </c>
      <c r="AG73">
        <v>0</v>
      </c>
      <c r="AH73">
        <v>12.5</v>
      </c>
      <c r="AI73">
        <v>0</v>
      </c>
      <c r="AJ73">
        <v>0</v>
      </c>
      <c r="AK73">
        <v>22</v>
      </c>
      <c r="AL73">
        <v>7357</v>
      </c>
    </row>
    <row r="74" spans="1:38" x14ac:dyDescent="0.3">
      <c r="A74" t="s">
        <v>38</v>
      </c>
      <c r="B74" t="s">
        <v>106</v>
      </c>
      <c r="C74">
        <v>0.01</v>
      </c>
      <c r="D74">
        <v>2008</v>
      </c>
      <c r="E74" t="s">
        <v>40</v>
      </c>
      <c r="F74">
        <v>145</v>
      </c>
      <c r="G74">
        <v>19</v>
      </c>
      <c r="H74">
        <v>4.74</v>
      </c>
      <c r="I74">
        <v>0.48</v>
      </c>
      <c r="J74">
        <v>185558</v>
      </c>
      <c r="K74">
        <v>192614</v>
      </c>
      <c r="L74">
        <v>7056</v>
      </c>
      <c r="M74">
        <v>0.01</v>
      </c>
      <c r="N74">
        <v>0.18</v>
      </c>
      <c r="O74">
        <v>2.72</v>
      </c>
      <c r="P74">
        <v>0.44</v>
      </c>
      <c r="Q74">
        <v>87</v>
      </c>
      <c r="R74">
        <v>6.9</v>
      </c>
      <c r="S74">
        <v>37.93</v>
      </c>
      <c r="T74">
        <v>0</v>
      </c>
      <c r="U74">
        <v>55.17</v>
      </c>
      <c r="V74">
        <v>59.1</v>
      </c>
      <c r="W74">
        <v>0</v>
      </c>
      <c r="X74">
        <v>0</v>
      </c>
      <c r="Y74">
        <v>220</v>
      </c>
      <c r="Z74">
        <v>6835</v>
      </c>
      <c r="AA74">
        <v>11.43</v>
      </c>
      <c r="AB74">
        <v>5.58</v>
      </c>
      <c r="AC74">
        <v>87</v>
      </c>
      <c r="AD74">
        <v>26.44</v>
      </c>
      <c r="AE74">
        <v>16.09</v>
      </c>
      <c r="AF74">
        <v>0</v>
      </c>
      <c r="AG74">
        <v>57.47</v>
      </c>
      <c r="AH74">
        <v>74.900000000000006</v>
      </c>
      <c r="AI74">
        <v>0</v>
      </c>
      <c r="AJ74">
        <v>0</v>
      </c>
      <c r="AK74">
        <v>6623</v>
      </c>
      <c r="AL74">
        <v>432</v>
      </c>
    </row>
    <row r="75" spans="1:38" x14ac:dyDescent="0.3">
      <c r="A75" t="s">
        <v>38</v>
      </c>
      <c r="B75" t="s">
        <v>120</v>
      </c>
      <c r="C75">
        <v>0.01</v>
      </c>
      <c r="D75">
        <v>2008</v>
      </c>
      <c r="E75" t="s">
        <v>40</v>
      </c>
      <c r="F75">
        <v>161</v>
      </c>
      <c r="G75">
        <v>31</v>
      </c>
      <c r="H75">
        <v>5.27</v>
      </c>
      <c r="I75">
        <v>0.78</v>
      </c>
      <c r="J75">
        <v>61950</v>
      </c>
      <c r="K75">
        <v>67629</v>
      </c>
      <c r="L75">
        <v>5679</v>
      </c>
      <c r="M75">
        <v>0.01</v>
      </c>
      <c r="N75">
        <v>0.06</v>
      </c>
      <c r="O75">
        <v>0.95</v>
      </c>
      <c r="P75">
        <v>1.08</v>
      </c>
      <c r="Q75">
        <v>170</v>
      </c>
      <c r="R75">
        <v>1.76</v>
      </c>
      <c r="S75">
        <v>86.47</v>
      </c>
      <c r="T75">
        <v>0</v>
      </c>
      <c r="U75">
        <v>11.76</v>
      </c>
      <c r="V75">
        <v>31.59</v>
      </c>
      <c r="W75">
        <v>0</v>
      </c>
      <c r="X75">
        <v>0</v>
      </c>
      <c r="Y75">
        <v>342</v>
      </c>
      <c r="Z75">
        <v>5266</v>
      </c>
      <c r="AA75">
        <v>4.1500000000000004</v>
      </c>
      <c r="AB75">
        <v>5.31</v>
      </c>
      <c r="AC75">
        <v>170</v>
      </c>
      <c r="AD75">
        <v>64.709999999999994</v>
      </c>
      <c r="AE75">
        <v>23.53</v>
      </c>
      <c r="AF75">
        <v>0</v>
      </c>
      <c r="AG75">
        <v>11.76</v>
      </c>
      <c r="AH75">
        <v>36.89</v>
      </c>
      <c r="AI75">
        <v>0</v>
      </c>
      <c r="AJ75">
        <v>0</v>
      </c>
      <c r="AK75">
        <v>5493</v>
      </c>
      <c r="AL75">
        <v>115</v>
      </c>
    </row>
    <row r="76" spans="1:38" x14ac:dyDescent="0.3">
      <c r="A76" t="s">
        <v>38</v>
      </c>
      <c r="B76" t="s">
        <v>221</v>
      </c>
      <c r="C76">
        <v>0.01</v>
      </c>
      <c r="D76">
        <v>2008</v>
      </c>
      <c r="E76" t="s">
        <v>40</v>
      </c>
      <c r="F76">
        <v>574</v>
      </c>
      <c r="G76">
        <v>24</v>
      </c>
      <c r="H76">
        <v>18.78</v>
      </c>
      <c r="I76">
        <v>0.6</v>
      </c>
      <c r="J76">
        <v>86477</v>
      </c>
      <c r="K76">
        <v>97501</v>
      </c>
      <c r="L76">
        <v>11024</v>
      </c>
      <c r="M76">
        <v>0.01</v>
      </c>
      <c r="N76">
        <v>0.09</v>
      </c>
      <c r="O76">
        <v>2.19</v>
      </c>
      <c r="P76">
        <v>7.0000000000000007E-2</v>
      </c>
      <c r="Q76">
        <v>96</v>
      </c>
      <c r="R76">
        <v>0</v>
      </c>
      <c r="S76">
        <v>97.92</v>
      </c>
      <c r="T76">
        <v>0</v>
      </c>
      <c r="U76">
        <v>2.08</v>
      </c>
      <c r="V76">
        <v>78.900000000000006</v>
      </c>
      <c r="W76">
        <v>0</v>
      </c>
      <c r="X76">
        <v>0</v>
      </c>
      <c r="Y76">
        <v>14</v>
      </c>
      <c r="Z76">
        <v>10832</v>
      </c>
      <c r="AA76">
        <v>6</v>
      </c>
      <c r="AB76">
        <v>0.96</v>
      </c>
      <c r="AC76">
        <v>96</v>
      </c>
      <c r="AD76">
        <v>59.38</v>
      </c>
      <c r="AE76">
        <v>29.17</v>
      </c>
      <c r="AF76">
        <v>8.33</v>
      </c>
      <c r="AG76">
        <v>3.13</v>
      </c>
      <c r="AH76">
        <v>78.900000000000006</v>
      </c>
      <c r="AI76">
        <v>0</v>
      </c>
      <c r="AJ76">
        <v>58</v>
      </c>
      <c r="AK76">
        <v>1904</v>
      </c>
      <c r="AL76">
        <v>8942</v>
      </c>
    </row>
    <row r="77" spans="1:38" x14ac:dyDescent="0.3">
      <c r="A77" t="s">
        <v>38</v>
      </c>
      <c r="B77" t="s">
        <v>223</v>
      </c>
      <c r="C77">
        <v>0.01</v>
      </c>
      <c r="D77">
        <v>2008</v>
      </c>
      <c r="E77" t="s">
        <v>40</v>
      </c>
      <c r="F77">
        <v>761</v>
      </c>
      <c r="G77">
        <v>79</v>
      </c>
      <c r="H77">
        <v>24.89</v>
      </c>
      <c r="I77">
        <v>1.99</v>
      </c>
      <c r="J77">
        <v>187263</v>
      </c>
      <c r="K77">
        <v>194452</v>
      </c>
      <c r="L77">
        <v>7189</v>
      </c>
      <c r="M77">
        <v>0.01</v>
      </c>
      <c r="N77">
        <v>0.18</v>
      </c>
      <c r="O77">
        <v>0.01</v>
      </c>
      <c r="P77">
        <v>0</v>
      </c>
      <c r="Q77">
        <v>489</v>
      </c>
      <c r="R77">
        <v>1.23</v>
      </c>
      <c r="S77">
        <v>98.57</v>
      </c>
      <c r="T77">
        <v>0.2</v>
      </c>
      <c r="U77">
        <v>0</v>
      </c>
      <c r="V77">
        <v>2.2000000000000002</v>
      </c>
      <c r="W77">
        <v>0</v>
      </c>
      <c r="X77">
        <v>85</v>
      </c>
      <c r="Y77">
        <v>97</v>
      </c>
      <c r="Z77">
        <v>6986</v>
      </c>
      <c r="AA77">
        <v>6.2</v>
      </c>
      <c r="AB77">
        <v>5.04</v>
      </c>
      <c r="AC77">
        <v>489</v>
      </c>
      <c r="AD77">
        <v>61.35</v>
      </c>
      <c r="AE77">
        <v>18.2</v>
      </c>
      <c r="AF77">
        <v>6.34</v>
      </c>
      <c r="AG77">
        <v>14.11</v>
      </c>
      <c r="AH77">
        <v>59.1</v>
      </c>
      <c r="AI77">
        <v>0</v>
      </c>
      <c r="AJ77">
        <v>94</v>
      </c>
      <c r="AK77">
        <v>3546</v>
      </c>
      <c r="AL77">
        <v>3537</v>
      </c>
    </row>
    <row r="78" spans="1:38" x14ac:dyDescent="0.3">
      <c r="A78" t="s">
        <v>38</v>
      </c>
      <c r="B78" t="s">
        <v>125</v>
      </c>
      <c r="C78">
        <v>0.01</v>
      </c>
      <c r="D78">
        <v>2008</v>
      </c>
      <c r="E78" t="s">
        <v>40</v>
      </c>
      <c r="F78">
        <v>125</v>
      </c>
      <c r="G78">
        <v>29</v>
      </c>
      <c r="H78">
        <v>4.09</v>
      </c>
      <c r="I78">
        <v>0.73</v>
      </c>
      <c r="J78">
        <v>-1875</v>
      </c>
      <c r="K78">
        <v>8629</v>
      </c>
      <c r="L78">
        <v>10504</v>
      </c>
      <c r="M78">
        <v>0.01</v>
      </c>
      <c r="N78">
        <v>0.01</v>
      </c>
    </row>
    <row r="79" spans="1:38" x14ac:dyDescent="0.3">
      <c r="A79" t="s">
        <v>38</v>
      </c>
      <c r="B79" t="s">
        <v>246</v>
      </c>
      <c r="C79">
        <v>0.01</v>
      </c>
      <c r="D79">
        <v>2008</v>
      </c>
      <c r="E79" t="s">
        <v>40</v>
      </c>
      <c r="F79">
        <v>557</v>
      </c>
      <c r="G79">
        <v>11</v>
      </c>
      <c r="H79">
        <v>18.22</v>
      </c>
      <c r="I79">
        <v>0.28000000000000003</v>
      </c>
      <c r="J79">
        <v>61345</v>
      </c>
      <c r="K79">
        <v>69950</v>
      </c>
      <c r="L79">
        <v>8605</v>
      </c>
      <c r="M79">
        <v>0.01</v>
      </c>
      <c r="N79">
        <v>0.06</v>
      </c>
      <c r="O79">
        <v>0</v>
      </c>
      <c r="P79">
        <v>0</v>
      </c>
      <c r="Q79">
        <v>80</v>
      </c>
      <c r="R79">
        <v>0</v>
      </c>
      <c r="S79">
        <v>100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8459</v>
      </c>
      <c r="AA79">
        <v>4.13</v>
      </c>
      <c r="AB79">
        <v>0.31</v>
      </c>
      <c r="AC79">
        <v>80</v>
      </c>
      <c r="AD79">
        <v>23.75</v>
      </c>
      <c r="AE79">
        <v>66.25</v>
      </c>
      <c r="AF79">
        <v>0</v>
      </c>
      <c r="AG79">
        <v>10</v>
      </c>
      <c r="AH79">
        <v>39.69</v>
      </c>
      <c r="AI79">
        <v>0</v>
      </c>
      <c r="AJ79">
        <v>0</v>
      </c>
      <c r="AK79">
        <v>132</v>
      </c>
      <c r="AL79">
        <v>8327</v>
      </c>
    </row>
    <row r="80" spans="1:38" x14ac:dyDescent="0.3">
      <c r="A80" t="s">
        <v>38</v>
      </c>
      <c r="B80" t="s">
        <v>234</v>
      </c>
      <c r="C80">
        <v>0.01</v>
      </c>
      <c r="D80">
        <v>2008</v>
      </c>
      <c r="E80" t="s">
        <v>40</v>
      </c>
      <c r="F80">
        <v>40</v>
      </c>
      <c r="G80">
        <v>3</v>
      </c>
      <c r="H80">
        <v>1.31</v>
      </c>
      <c r="I80">
        <v>0.08</v>
      </c>
      <c r="J80">
        <v>-4003</v>
      </c>
      <c r="K80">
        <v>8871</v>
      </c>
      <c r="L80">
        <v>12874</v>
      </c>
      <c r="M80">
        <v>0.01</v>
      </c>
      <c r="N80">
        <v>0.01</v>
      </c>
      <c r="O80">
        <v>3.17</v>
      </c>
      <c r="P80">
        <v>3.39</v>
      </c>
      <c r="Q80">
        <v>5</v>
      </c>
      <c r="R80">
        <v>60</v>
      </c>
      <c r="S80">
        <v>40</v>
      </c>
      <c r="T80">
        <v>0</v>
      </c>
      <c r="U80">
        <v>0</v>
      </c>
      <c r="V80">
        <v>6.5</v>
      </c>
      <c r="W80">
        <v>0</v>
      </c>
      <c r="X80">
        <v>0</v>
      </c>
      <c r="Y80">
        <v>12753</v>
      </c>
      <c r="Z80">
        <v>121</v>
      </c>
      <c r="AA80">
        <v>3.17</v>
      </c>
      <c r="AB80">
        <v>3.39</v>
      </c>
      <c r="AC80">
        <v>5</v>
      </c>
      <c r="AD80">
        <v>60</v>
      </c>
      <c r="AE80">
        <v>40</v>
      </c>
      <c r="AF80">
        <v>0</v>
      </c>
      <c r="AG80">
        <v>0</v>
      </c>
      <c r="AH80">
        <v>6.5</v>
      </c>
      <c r="AI80">
        <v>0</v>
      </c>
      <c r="AJ80">
        <v>0</v>
      </c>
      <c r="AK80">
        <v>12753</v>
      </c>
      <c r="AL80">
        <v>121</v>
      </c>
    </row>
    <row r="81" spans="1:38" x14ac:dyDescent="0.3">
      <c r="A81" t="s">
        <v>38</v>
      </c>
      <c r="B81" t="s">
        <v>173</v>
      </c>
      <c r="C81">
        <v>0.01</v>
      </c>
      <c r="D81">
        <v>2008</v>
      </c>
      <c r="E81" t="s">
        <v>40</v>
      </c>
      <c r="F81">
        <v>271</v>
      </c>
      <c r="G81">
        <v>52</v>
      </c>
      <c r="H81">
        <v>8.86</v>
      </c>
      <c r="I81">
        <v>1.31</v>
      </c>
      <c r="J81">
        <v>54803</v>
      </c>
      <c r="K81">
        <v>62589</v>
      </c>
      <c r="L81">
        <v>7786</v>
      </c>
      <c r="M81">
        <v>0.01</v>
      </c>
      <c r="N81">
        <v>0.06</v>
      </c>
      <c r="O81">
        <v>0.05</v>
      </c>
      <c r="P81">
        <v>0.16</v>
      </c>
      <c r="Q81">
        <v>339</v>
      </c>
      <c r="R81">
        <v>0.59</v>
      </c>
      <c r="S81">
        <v>99.41</v>
      </c>
      <c r="T81">
        <v>0</v>
      </c>
      <c r="U81">
        <v>0</v>
      </c>
      <c r="V81">
        <v>4.2</v>
      </c>
      <c r="W81">
        <v>0</v>
      </c>
      <c r="X81">
        <v>0</v>
      </c>
      <c r="Y81">
        <v>426</v>
      </c>
      <c r="Z81">
        <v>7078</v>
      </c>
      <c r="AA81">
        <v>3.86</v>
      </c>
      <c r="AB81">
        <v>4.17</v>
      </c>
      <c r="AC81">
        <v>339</v>
      </c>
      <c r="AD81">
        <v>80.53</v>
      </c>
      <c r="AE81">
        <v>19.47</v>
      </c>
      <c r="AF81">
        <v>0</v>
      </c>
      <c r="AG81">
        <v>0</v>
      </c>
      <c r="AH81">
        <v>12</v>
      </c>
      <c r="AI81">
        <v>0</v>
      </c>
      <c r="AJ81">
        <v>0</v>
      </c>
      <c r="AK81">
        <v>5817</v>
      </c>
      <c r="AL81">
        <v>1687</v>
      </c>
    </row>
    <row r="82" spans="1:38" x14ac:dyDescent="0.3">
      <c r="A82" t="s">
        <v>38</v>
      </c>
      <c r="B82" t="s">
        <v>249</v>
      </c>
      <c r="C82">
        <v>0.01</v>
      </c>
      <c r="D82">
        <v>2008</v>
      </c>
      <c r="E82" t="s">
        <v>40</v>
      </c>
      <c r="F82">
        <v>27</v>
      </c>
      <c r="G82">
        <v>32</v>
      </c>
      <c r="H82">
        <v>0.88</v>
      </c>
      <c r="I82">
        <v>0.8</v>
      </c>
      <c r="J82">
        <v>-3765</v>
      </c>
      <c r="K82">
        <v>1696</v>
      </c>
      <c r="L82">
        <v>5461</v>
      </c>
      <c r="M82">
        <v>0.01</v>
      </c>
      <c r="N82">
        <v>0</v>
      </c>
      <c r="O82">
        <v>0</v>
      </c>
      <c r="P82">
        <v>0</v>
      </c>
      <c r="Q82">
        <v>258</v>
      </c>
      <c r="R82">
        <v>0</v>
      </c>
      <c r="S82">
        <v>100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4589</v>
      </c>
      <c r="AA82">
        <v>4.4000000000000004</v>
      </c>
      <c r="AB82">
        <v>1.72</v>
      </c>
      <c r="AC82">
        <v>258</v>
      </c>
      <c r="AD82">
        <v>82.17</v>
      </c>
      <c r="AE82">
        <v>17.829999999999998</v>
      </c>
      <c r="AF82">
        <v>0</v>
      </c>
      <c r="AG82">
        <v>0</v>
      </c>
      <c r="AH82">
        <v>17</v>
      </c>
      <c r="AI82">
        <v>0</v>
      </c>
      <c r="AJ82">
        <v>0</v>
      </c>
      <c r="AK82">
        <v>4363</v>
      </c>
      <c r="AL82">
        <v>226</v>
      </c>
    </row>
    <row r="83" spans="1:38" x14ac:dyDescent="0.3">
      <c r="A83" t="s">
        <v>38</v>
      </c>
      <c r="B83" t="s">
        <v>241</v>
      </c>
      <c r="C83">
        <v>0</v>
      </c>
      <c r="D83">
        <v>2008</v>
      </c>
      <c r="E83" t="s">
        <v>40</v>
      </c>
      <c r="F83">
        <v>12</v>
      </c>
      <c r="G83">
        <v>1</v>
      </c>
      <c r="H83">
        <v>0.39</v>
      </c>
      <c r="I83">
        <v>0.03</v>
      </c>
      <c r="J83">
        <v>151</v>
      </c>
      <c r="K83">
        <v>152</v>
      </c>
      <c r="L83">
        <v>1</v>
      </c>
      <c r="M83">
        <v>0</v>
      </c>
      <c r="N83">
        <v>0</v>
      </c>
    </row>
    <row r="84" spans="1:38" x14ac:dyDescent="0.3">
      <c r="A84" t="s">
        <v>38</v>
      </c>
      <c r="B84" t="s">
        <v>39</v>
      </c>
      <c r="C84">
        <v>0</v>
      </c>
      <c r="D84">
        <v>2008</v>
      </c>
      <c r="E84" t="s">
        <v>40</v>
      </c>
      <c r="F84">
        <v>25</v>
      </c>
      <c r="G84">
        <v>3</v>
      </c>
      <c r="H84">
        <v>0.82</v>
      </c>
      <c r="I84">
        <v>0.08</v>
      </c>
      <c r="J84">
        <v>2332</v>
      </c>
      <c r="K84">
        <v>2349</v>
      </c>
      <c r="L84">
        <v>17</v>
      </c>
      <c r="M84">
        <v>0</v>
      </c>
      <c r="N84">
        <v>0</v>
      </c>
      <c r="O84">
        <v>0</v>
      </c>
      <c r="P84">
        <v>0</v>
      </c>
      <c r="Q84">
        <v>4</v>
      </c>
      <c r="R84">
        <v>0</v>
      </c>
      <c r="S84">
        <v>100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16</v>
      </c>
      <c r="AA84">
        <v>5.19</v>
      </c>
      <c r="AB84">
        <v>5.46</v>
      </c>
      <c r="AC84">
        <v>4</v>
      </c>
      <c r="AD84">
        <v>75</v>
      </c>
      <c r="AE84">
        <v>0</v>
      </c>
      <c r="AF84">
        <v>0</v>
      </c>
      <c r="AG84">
        <v>25</v>
      </c>
      <c r="AH84">
        <v>8</v>
      </c>
      <c r="AI84">
        <v>3</v>
      </c>
      <c r="AJ84">
        <v>0</v>
      </c>
      <c r="AK84">
        <v>16</v>
      </c>
      <c r="AL84">
        <v>0</v>
      </c>
    </row>
    <row r="85" spans="1:38" x14ac:dyDescent="0.3">
      <c r="A85" t="s">
        <v>38</v>
      </c>
      <c r="B85" t="s">
        <v>192</v>
      </c>
      <c r="C85">
        <v>0</v>
      </c>
      <c r="D85">
        <v>2008</v>
      </c>
      <c r="E85" t="s">
        <v>40</v>
      </c>
      <c r="F85">
        <v>25</v>
      </c>
      <c r="G85">
        <v>4</v>
      </c>
      <c r="H85">
        <v>0.82</v>
      </c>
      <c r="I85">
        <v>0.1</v>
      </c>
      <c r="J85">
        <v>398</v>
      </c>
      <c r="K85">
        <v>1001</v>
      </c>
      <c r="L85">
        <v>603</v>
      </c>
      <c r="M85">
        <v>0</v>
      </c>
      <c r="N85">
        <v>0</v>
      </c>
      <c r="O85">
        <v>0</v>
      </c>
      <c r="P85">
        <v>0</v>
      </c>
      <c r="Q85">
        <v>23</v>
      </c>
      <c r="R85">
        <v>0</v>
      </c>
      <c r="S85">
        <v>100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602</v>
      </c>
      <c r="AA85">
        <v>4.63</v>
      </c>
      <c r="AB85">
        <v>5.95</v>
      </c>
      <c r="AC85">
        <v>23</v>
      </c>
      <c r="AD85">
        <v>100</v>
      </c>
      <c r="AE85">
        <v>0</v>
      </c>
      <c r="AF85">
        <v>0</v>
      </c>
      <c r="AG85">
        <v>0</v>
      </c>
      <c r="AH85">
        <v>6.5</v>
      </c>
      <c r="AI85">
        <v>2</v>
      </c>
      <c r="AJ85">
        <v>0</v>
      </c>
      <c r="AK85">
        <v>602</v>
      </c>
      <c r="AL85">
        <v>0</v>
      </c>
    </row>
    <row r="86" spans="1:38" x14ac:dyDescent="0.3">
      <c r="A86" t="s">
        <v>38</v>
      </c>
      <c r="B86" t="s">
        <v>193</v>
      </c>
      <c r="C86">
        <v>0</v>
      </c>
      <c r="D86">
        <v>2008</v>
      </c>
      <c r="E86" t="s">
        <v>40</v>
      </c>
      <c r="F86">
        <v>148</v>
      </c>
      <c r="G86">
        <v>5</v>
      </c>
      <c r="H86">
        <v>4.84</v>
      </c>
      <c r="I86">
        <v>0.13</v>
      </c>
      <c r="J86">
        <v>19720</v>
      </c>
      <c r="K86">
        <v>19778</v>
      </c>
      <c r="L86">
        <v>58</v>
      </c>
      <c r="M86">
        <v>0</v>
      </c>
      <c r="N86">
        <v>0.02</v>
      </c>
      <c r="O86">
        <v>0</v>
      </c>
      <c r="P86">
        <v>0</v>
      </c>
      <c r="Q86">
        <v>25</v>
      </c>
      <c r="R86">
        <v>0</v>
      </c>
      <c r="S86">
        <v>100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56</v>
      </c>
      <c r="AA86">
        <v>1.18</v>
      </c>
      <c r="AB86">
        <v>0.17</v>
      </c>
      <c r="AC86">
        <v>25</v>
      </c>
      <c r="AD86">
        <v>32</v>
      </c>
      <c r="AE86">
        <v>68</v>
      </c>
      <c r="AF86">
        <v>0</v>
      </c>
      <c r="AG86">
        <v>0</v>
      </c>
      <c r="AH86">
        <v>6.5</v>
      </c>
      <c r="AI86">
        <v>0</v>
      </c>
      <c r="AJ86">
        <v>0</v>
      </c>
      <c r="AK86">
        <v>2</v>
      </c>
      <c r="AL86">
        <v>54</v>
      </c>
    </row>
    <row r="87" spans="1:38" x14ac:dyDescent="0.3">
      <c r="A87" t="s">
        <v>38</v>
      </c>
      <c r="B87" t="s">
        <v>194</v>
      </c>
      <c r="C87">
        <v>0</v>
      </c>
      <c r="D87">
        <v>2008</v>
      </c>
      <c r="E87" t="s">
        <v>40</v>
      </c>
      <c r="F87">
        <v>167</v>
      </c>
      <c r="G87">
        <v>6</v>
      </c>
      <c r="H87">
        <v>5.46</v>
      </c>
      <c r="I87">
        <v>0.15</v>
      </c>
      <c r="J87">
        <v>85698</v>
      </c>
      <c r="K87">
        <v>85733</v>
      </c>
      <c r="L87">
        <v>35</v>
      </c>
      <c r="M87">
        <v>0</v>
      </c>
      <c r="N87">
        <v>0.08</v>
      </c>
      <c r="O87">
        <v>0.53</v>
      </c>
      <c r="P87">
        <v>0.37</v>
      </c>
      <c r="Q87">
        <v>20</v>
      </c>
      <c r="R87">
        <v>5</v>
      </c>
      <c r="S87">
        <v>95</v>
      </c>
      <c r="T87">
        <v>0</v>
      </c>
      <c r="U87">
        <v>0</v>
      </c>
      <c r="V87">
        <v>3.2</v>
      </c>
      <c r="W87">
        <v>0</v>
      </c>
      <c r="X87">
        <v>0</v>
      </c>
      <c r="Y87">
        <v>4</v>
      </c>
      <c r="Z87">
        <v>31</v>
      </c>
      <c r="AA87">
        <v>1.62</v>
      </c>
      <c r="AB87">
        <v>2.38</v>
      </c>
      <c r="AC87">
        <v>20</v>
      </c>
      <c r="AD87">
        <v>40</v>
      </c>
      <c r="AE87">
        <v>60</v>
      </c>
      <c r="AF87">
        <v>0</v>
      </c>
      <c r="AG87">
        <v>0</v>
      </c>
      <c r="AH87">
        <v>6</v>
      </c>
      <c r="AI87">
        <v>0</v>
      </c>
      <c r="AJ87">
        <v>0</v>
      </c>
      <c r="AK87">
        <v>28</v>
      </c>
      <c r="AL87">
        <v>7</v>
      </c>
    </row>
    <row r="88" spans="1:38" x14ac:dyDescent="0.3">
      <c r="A88" t="s">
        <v>38</v>
      </c>
      <c r="B88" t="s">
        <v>48</v>
      </c>
      <c r="C88">
        <v>0</v>
      </c>
      <c r="D88">
        <v>2008</v>
      </c>
      <c r="E88" t="s">
        <v>40</v>
      </c>
      <c r="F88">
        <v>36</v>
      </c>
      <c r="G88">
        <v>43</v>
      </c>
      <c r="H88">
        <v>1.18</v>
      </c>
      <c r="I88">
        <v>1.08</v>
      </c>
      <c r="J88">
        <v>2079</v>
      </c>
      <c r="K88">
        <v>4730</v>
      </c>
      <c r="L88">
        <v>2651</v>
      </c>
      <c r="M88">
        <v>0</v>
      </c>
      <c r="N88">
        <v>0</v>
      </c>
      <c r="O88">
        <v>0</v>
      </c>
      <c r="P88">
        <v>0</v>
      </c>
      <c r="Q88">
        <v>111</v>
      </c>
      <c r="R88">
        <v>0</v>
      </c>
      <c r="S88">
        <v>100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2579</v>
      </c>
      <c r="AA88">
        <v>10.7</v>
      </c>
      <c r="AB88">
        <v>10.71</v>
      </c>
      <c r="AC88">
        <v>111</v>
      </c>
      <c r="AD88">
        <v>97.3</v>
      </c>
      <c r="AE88">
        <v>2.7</v>
      </c>
      <c r="AF88">
        <v>0</v>
      </c>
      <c r="AG88">
        <v>0</v>
      </c>
      <c r="AH88">
        <v>15</v>
      </c>
      <c r="AI88">
        <v>0</v>
      </c>
      <c r="AJ88">
        <v>0</v>
      </c>
      <c r="AK88">
        <v>2569</v>
      </c>
      <c r="AL88">
        <v>10</v>
      </c>
    </row>
    <row r="89" spans="1:38" x14ac:dyDescent="0.3">
      <c r="A89" t="s">
        <v>38</v>
      </c>
      <c r="B89" t="s">
        <v>50</v>
      </c>
      <c r="C89">
        <v>0</v>
      </c>
      <c r="D89">
        <v>2008</v>
      </c>
      <c r="E89" t="s">
        <v>40</v>
      </c>
      <c r="F89">
        <v>93</v>
      </c>
      <c r="G89">
        <v>8</v>
      </c>
      <c r="H89">
        <v>3.04</v>
      </c>
      <c r="I89">
        <v>0.2</v>
      </c>
      <c r="J89">
        <v>22747</v>
      </c>
      <c r="K89">
        <v>25181</v>
      </c>
      <c r="L89">
        <v>2434</v>
      </c>
      <c r="M89">
        <v>0</v>
      </c>
      <c r="N89">
        <v>0.02</v>
      </c>
      <c r="O89">
        <v>2.2000000000000002</v>
      </c>
      <c r="P89">
        <v>3.04</v>
      </c>
      <c r="Q89">
        <v>20</v>
      </c>
      <c r="R89">
        <v>35</v>
      </c>
      <c r="S89">
        <v>65</v>
      </c>
      <c r="T89">
        <v>0</v>
      </c>
      <c r="U89">
        <v>0</v>
      </c>
      <c r="V89">
        <v>8.4</v>
      </c>
      <c r="W89">
        <v>0</v>
      </c>
      <c r="X89">
        <v>0</v>
      </c>
      <c r="Y89">
        <v>2051</v>
      </c>
      <c r="Z89">
        <v>365</v>
      </c>
      <c r="AA89">
        <v>2.78</v>
      </c>
      <c r="AB89">
        <v>3.05</v>
      </c>
      <c r="AC89">
        <v>20</v>
      </c>
      <c r="AD89">
        <v>40</v>
      </c>
      <c r="AE89">
        <v>60</v>
      </c>
      <c r="AF89">
        <v>0</v>
      </c>
      <c r="AG89">
        <v>0</v>
      </c>
      <c r="AH89">
        <v>12</v>
      </c>
      <c r="AI89">
        <v>0</v>
      </c>
      <c r="AJ89">
        <v>0</v>
      </c>
      <c r="AK89">
        <v>2051</v>
      </c>
      <c r="AL89">
        <v>365</v>
      </c>
    </row>
    <row r="90" spans="1:38" x14ac:dyDescent="0.3">
      <c r="A90" t="s">
        <v>38</v>
      </c>
      <c r="B90" t="s">
        <v>51</v>
      </c>
      <c r="C90">
        <v>0</v>
      </c>
      <c r="D90">
        <v>2008</v>
      </c>
      <c r="E90" t="s">
        <v>40</v>
      </c>
      <c r="F90">
        <v>11</v>
      </c>
      <c r="G90">
        <v>24</v>
      </c>
      <c r="H90">
        <v>0.36</v>
      </c>
      <c r="I90">
        <v>0.6</v>
      </c>
      <c r="J90">
        <v>-2830</v>
      </c>
      <c r="K90">
        <v>197</v>
      </c>
      <c r="L90">
        <v>3027</v>
      </c>
      <c r="M90">
        <v>0</v>
      </c>
      <c r="N90">
        <v>0</v>
      </c>
      <c r="O90">
        <v>0</v>
      </c>
      <c r="P90">
        <v>0</v>
      </c>
      <c r="Q90">
        <v>214</v>
      </c>
      <c r="R90">
        <v>0</v>
      </c>
      <c r="S90">
        <v>100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3024</v>
      </c>
      <c r="AA90">
        <v>3.99</v>
      </c>
      <c r="AB90">
        <v>1.01</v>
      </c>
      <c r="AC90">
        <v>214</v>
      </c>
      <c r="AD90">
        <v>84.58</v>
      </c>
      <c r="AE90">
        <v>15.42</v>
      </c>
      <c r="AF90">
        <v>0</v>
      </c>
      <c r="AG90">
        <v>0</v>
      </c>
      <c r="AH90">
        <v>14</v>
      </c>
      <c r="AI90">
        <v>0</v>
      </c>
      <c r="AJ90">
        <v>0</v>
      </c>
      <c r="AK90">
        <v>1418</v>
      </c>
      <c r="AL90">
        <v>1606</v>
      </c>
    </row>
    <row r="91" spans="1:38" x14ac:dyDescent="0.3">
      <c r="A91" t="s">
        <v>38</v>
      </c>
      <c r="B91" t="s">
        <v>53</v>
      </c>
      <c r="C91">
        <v>0</v>
      </c>
      <c r="D91">
        <v>2008</v>
      </c>
      <c r="E91" t="s">
        <v>40</v>
      </c>
      <c r="F91">
        <v>3</v>
      </c>
      <c r="G91">
        <v>9</v>
      </c>
      <c r="H91">
        <v>0.1</v>
      </c>
      <c r="I91">
        <v>0.23</v>
      </c>
      <c r="J91">
        <v>186</v>
      </c>
      <c r="K91">
        <v>220</v>
      </c>
      <c r="L91">
        <v>34</v>
      </c>
      <c r="M91">
        <v>0</v>
      </c>
      <c r="N91">
        <v>0</v>
      </c>
      <c r="O91">
        <v>0</v>
      </c>
      <c r="P91">
        <v>0</v>
      </c>
      <c r="Q91">
        <v>98</v>
      </c>
      <c r="R91">
        <v>0</v>
      </c>
      <c r="S91">
        <v>100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34</v>
      </c>
      <c r="AA91">
        <v>1.63</v>
      </c>
      <c r="AB91">
        <v>1.94</v>
      </c>
      <c r="AC91">
        <v>98</v>
      </c>
      <c r="AD91">
        <v>69.39</v>
      </c>
      <c r="AE91">
        <v>30.61</v>
      </c>
      <c r="AF91">
        <v>0</v>
      </c>
      <c r="AG91">
        <v>0</v>
      </c>
      <c r="AH91">
        <v>5</v>
      </c>
      <c r="AI91">
        <v>0</v>
      </c>
      <c r="AJ91">
        <v>0</v>
      </c>
      <c r="AK91">
        <v>27</v>
      </c>
      <c r="AL91">
        <v>7</v>
      </c>
    </row>
    <row r="92" spans="1:38" x14ac:dyDescent="0.3">
      <c r="A92" t="s">
        <v>38</v>
      </c>
      <c r="B92" t="s">
        <v>54</v>
      </c>
      <c r="C92">
        <v>0</v>
      </c>
      <c r="D92">
        <v>2008</v>
      </c>
      <c r="E92" t="s">
        <v>40</v>
      </c>
      <c r="F92">
        <v>4</v>
      </c>
      <c r="G92">
        <v>2</v>
      </c>
      <c r="H92">
        <v>0.13</v>
      </c>
      <c r="I92">
        <v>0.05</v>
      </c>
      <c r="J92">
        <v>227</v>
      </c>
      <c r="K92">
        <v>248</v>
      </c>
      <c r="L92">
        <v>21</v>
      </c>
      <c r="M92">
        <v>0</v>
      </c>
      <c r="N92">
        <v>0</v>
      </c>
      <c r="O92">
        <v>0</v>
      </c>
      <c r="P92">
        <v>0</v>
      </c>
      <c r="Q92">
        <v>4</v>
      </c>
      <c r="R92">
        <v>0</v>
      </c>
      <c r="S92">
        <v>100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21</v>
      </c>
      <c r="AA92">
        <v>0</v>
      </c>
      <c r="AB92">
        <v>0</v>
      </c>
      <c r="AC92">
        <v>4</v>
      </c>
      <c r="AD92">
        <v>0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21</v>
      </c>
    </row>
    <row r="93" spans="1:38" x14ac:dyDescent="0.3">
      <c r="A93" t="s">
        <v>38</v>
      </c>
      <c r="B93" t="s">
        <v>55</v>
      </c>
      <c r="C93">
        <v>0</v>
      </c>
      <c r="D93">
        <v>2008</v>
      </c>
      <c r="E93" t="s">
        <v>40</v>
      </c>
      <c r="F93">
        <v>54</v>
      </c>
      <c r="G93">
        <v>7</v>
      </c>
      <c r="H93">
        <v>1.77</v>
      </c>
      <c r="I93">
        <v>0.18</v>
      </c>
      <c r="J93">
        <v>2434</v>
      </c>
      <c r="K93">
        <v>2453</v>
      </c>
      <c r="L93">
        <v>19</v>
      </c>
      <c r="M93">
        <v>0</v>
      </c>
      <c r="N93">
        <v>0</v>
      </c>
      <c r="O93">
        <v>0</v>
      </c>
      <c r="P93">
        <v>0</v>
      </c>
      <c r="Q93">
        <v>31</v>
      </c>
      <c r="R93">
        <v>0</v>
      </c>
      <c r="S93">
        <v>100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14</v>
      </c>
      <c r="AA93">
        <v>9.2799999999999994</v>
      </c>
      <c r="AB93">
        <v>10.53</v>
      </c>
      <c r="AC93">
        <v>31</v>
      </c>
      <c r="AD93">
        <v>83.87</v>
      </c>
      <c r="AE93">
        <v>16.13</v>
      </c>
      <c r="AF93">
        <v>0</v>
      </c>
      <c r="AG93">
        <v>0</v>
      </c>
      <c r="AH93">
        <v>12</v>
      </c>
      <c r="AI93">
        <v>0</v>
      </c>
      <c r="AJ93">
        <v>0</v>
      </c>
      <c r="AK93">
        <v>14</v>
      </c>
      <c r="AL93">
        <v>0</v>
      </c>
    </row>
    <row r="94" spans="1:38" x14ac:dyDescent="0.3">
      <c r="A94" t="s">
        <v>38</v>
      </c>
      <c r="B94" t="s">
        <v>57</v>
      </c>
      <c r="C94">
        <v>0</v>
      </c>
      <c r="D94">
        <v>2008</v>
      </c>
      <c r="E94" t="s">
        <v>40</v>
      </c>
      <c r="F94">
        <v>15</v>
      </c>
      <c r="G94">
        <v>2</v>
      </c>
      <c r="H94">
        <v>0.49</v>
      </c>
      <c r="I94">
        <v>0.05</v>
      </c>
      <c r="J94">
        <v>459</v>
      </c>
      <c r="K94">
        <v>591</v>
      </c>
      <c r="L94">
        <v>132</v>
      </c>
      <c r="M94">
        <v>0</v>
      </c>
      <c r="N94">
        <v>0</v>
      </c>
      <c r="O94">
        <v>0</v>
      </c>
      <c r="P94">
        <v>0</v>
      </c>
      <c r="Q94">
        <v>103</v>
      </c>
      <c r="R94">
        <v>0</v>
      </c>
      <c r="S94">
        <v>100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32</v>
      </c>
      <c r="AA94">
        <v>0.76</v>
      </c>
      <c r="AB94">
        <v>0.76</v>
      </c>
      <c r="AC94">
        <v>103</v>
      </c>
      <c r="AD94">
        <v>11.65</v>
      </c>
      <c r="AE94">
        <v>88.35</v>
      </c>
      <c r="AF94">
        <v>0</v>
      </c>
      <c r="AG94">
        <v>0</v>
      </c>
      <c r="AH94">
        <v>6.5</v>
      </c>
      <c r="AI94">
        <v>0</v>
      </c>
      <c r="AJ94">
        <v>0</v>
      </c>
      <c r="AK94">
        <v>32</v>
      </c>
      <c r="AL94">
        <v>0</v>
      </c>
    </row>
    <row r="95" spans="1:38" x14ac:dyDescent="0.3">
      <c r="A95" t="s">
        <v>38</v>
      </c>
      <c r="B95" t="s">
        <v>201</v>
      </c>
      <c r="C95">
        <v>0</v>
      </c>
      <c r="D95">
        <v>2008</v>
      </c>
      <c r="E95" t="s">
        <v>40</v>
      </c>
      <c r="F95">
        <v>8</v>
      </c>
      <c r="G95">
        <v>2</v>
      </c>
      <c r="H95">
        <v>0.26</v>
      </c>
      <c r="I95">
        <v>0.05</v>
      </c>
      <c r="J95">
        <v>-80</v>
      </c>
      <c r="K95">
        <v>32</v>
      </c>
      <c r="L95">
        <v>112</v>
      </c>
      <c r="M95">
        <v>0</v>
      </c>
      <c r="N95">
        <v>0</v>
      </c>
      <c r="O95">
        <v>2.96</v>
      </c>
      <c r="P95">
        <v>0.05</v>
      </c>
      <c r="Q95">
        <v>7</v>
      </c>
      <c r="R95">
        <v>71.430000000000007</v>
      </c>
      <c r="S95">
        <v>28.57</v>
      </c>
      <c r="T95">
        <v>0</v>
      </c>
      <c r="U95">
        <v>0</v>
      </c>
      <c r="V95">
        <v>9.6</v>
      </c>
      <c r="W95">
        <v>0</v>
      </c>
      <c r="X95">
        <v>0</v>
      </c>
      <c r="Y95">
        <v>1</v>
      </c>
      <c r="Z95">
        <v>111</v>
      </c>
      <c r="AA95">
        <v>5.07</v>
      </c>
      <c r="AB95">
        <v>2.74</v>
      </c>
      <c r="AC95">
        <v>7</v>
      </c>
      <c r="AD95">
        <v>100</v>
      </c>
      <c r="AE95">
        <v>0</v>
      </c>
      <c r="AF95">
        <v>0</v>
      </c>
      <c r="AG95">
        <v>0</v>
      </c>
      <c r="AH95">
        <v>12</v>
      </c>
      <c r="AI95">
        <v>2.7</v>
      </c>
      <c r="AJ95">
        <v>0</v>
      </c>
      <c r="AK95">
        <v>112</v>
      </c>
      <c r="AL95">
        <v>0</v>
      </c>
    </row>
    <row r="96" spans="1:38" x14ac:dyDescent="0.3">
      <c r="A96" t="s">
        <v>38</v>
      </c>
      <c r="B96" t="s">
        <v>202</v>
      </c>
      <c r="C96">
        <v>0</v>
      </c>
      <c r="D96">
        <v>2008</v>
      </c>
      <c r="E96" t="s">
        <v>40</v>
      </c>
      <c r="F96">
        <v>30</v>
      </c>
      <c r="G96">
        <v>2</v>
      </c>
      <c r="H96">
        <v>0.98</v>
      </c>
      <c r="I96">
        <v>0.05</v>
      </c>
      <c r="J96">
        <v>1086</v>
      </c>
      <c r="K96">
        <v>1156</v>
      </c>
      <c r="L96">
        <v>70</v>
      </c>
      <c r="M96">
        <v>0</v>
      </c>
      <c r="N96">
        <v>0</v>
      </c>
      <c r="O96">
        <v>0</v>
      </c>
      <c r="P96">
        <v>0</v>
      </c>
      <c r="Q96">
        <v>2</v>
      </c>
      <c r="R96">
        <v>0</v>
      </c>
      <c r="S96">
        <v>100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29</v>
      </c>
      <c r="AA96">
        <v>0</v>
      </c>
      <c r="AB96">
        <v>0</v>
      </c>
      <c r="AC96">
        <v>2</v>
      </c>
      <c r="AD96">
        <v>0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29</v>
      </c>
    </row>
    <row r="97" spans="1:38" x14ac:dyDescent="0.3">
      <c r="A97" t="s">
        <v>38</v>
      </c>
      <c r="B97" t="s">
        <v>61</v>
      </c>
      <c r="C97">
        <v>0</v>
      </c>
      <c r="D97">
        <v>2008</v>
      </c>
      <c r="E97" t="s">
        <v>40</v>
      </c>
      <c r="F97">
        <v>156</v>
      </c>
      <c r="G97">
        <v>31</v>
      </c>
      <c r="H97">
        <v>5.0999999999999996</v>
      </c>
      <c r="I97">
        <v>0.78</v>
      </c>
      <c r="J97">
        <v>12522</v>
      </c>
      <c r="K97">
        <v>14795</v>
      </c>
      <c r="L97">
        <v>2273</v>
      </c>
      <c r="M97">
        <v>0</v>
      </c>
      <c r="N97">
        <v>0.01</v>
      </c>
      <c r="O97">
        <v>0.81</v>
      </c>
      <c r="P97">
        <v>1.1499999999999999</v>
      </c>
      <c r="Q97">
        <v>214</v>
      </c>
      <c r="R97">
        <v>5.61</v>
      </c>
      <c r="S97">
        <v>67.760000000000005</v>
      </c>
      <c r="T97">
        <v>0</v>
      </c>
      <c r="U97">
        <v>26.64</v>
      </c>
      <c r="V97">
        <v>24.88</v>
      </c>
      <c r="W97">
        <v>0</v>
      </c>
      <c r="X97">
        <v>0</v>
      </c>
      <c r="Y97">
        <v>663</v>
      </c>
      <c r="Z97">
        <v>1608</v>
      </c>
      <c r="AA97">
        <v>3.81</v>
      </c>
      <c r="AB97">
        <v>7.31</v>
      </c>
      <c r="AC97">
        <v>214</v>
      </c>
      <c r="AD97">
        <v>28.04</v>
      </c>
      <c r="AE97">
        <v>18.690000000000001</v>
      </c>
      <c r="AF97">
        <v>1.87</v>
      </c>
      <c r="AG97">
        <v>51.4</v>
      </c>
      <c r="AH97">
        <v>31.25</v>
      </c>
      <c r="AI97">
        <v>0</v>
      </c>
      <c r="AJ97">
        <v>306</v>
      </c>
      <c r="AK97">
        <v>2077</v>
      </c>
      <c r="AL97">
        <v>194</v>
      </c>
    </row>
    <row r="98" spans="1:38" x14ac:dyDescent="0.3">
      <c r="A98" t="s">
        <v>38</v>
      </c>
      <c r="B98" t="s">
        <v>64</v>
      </c>
      <c r="C98">
        <v>0</v>
      </c>
      <c r="D98">
        <v>2008</v>
      </c>
      <c r="E98" t="s">
        <v>40</v>
      </c>
      <c r="F98">
        <v>20</v>
      </c>
      <c r="G98">
        <v>2</v>
      </c>
      <c r="H98">
        <v>0.65</v>
      </c>
      <c r="I98">
        <v>0.05</v>
      </c>
      <c r="J98">
        <v>3197</v>
      </c>
      <c r="K98">
        <v>3202</v>
      </c>
      <c r="L98">
        <v>5</v>
      </c>
      <c r="M98">
        <v>0</v>
      </c>
      <c r="N98">
        <v>0</v>
      </c>
      <c r="O98">
        <v>0</v>
      </c>
      <c r="P98">
        <v>0</v>
      </c>
      <c r="Q98">
        <v>7</v>
      </c>
      <c r="R98">
        <v>0</v>
      </c>
      <c r="S98">
        <v>100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4</v>
      </c>
      <c r="AA98">
        <v>1.23</v>
      </c>
      <c r="AB98">
        <v>1.23</v>
      </c>
      <c r="AC98">
        <v>7</v>
      </c>
      <c r="AD98">
        <v>28.57</v>
      </c>
      <c r="AE98">
        <v>71.430000000000007</v>
      </c>
      <c r="AF98">
        <v>0</v>
      </c>
      <c r="AG98">
        <v>0</v>
      </c>
      <c r="AH98">
        <v>5</v>
      </c>
      <c r="AI98">
        <v>0</v>
      </c>
      <c r="AJ98">
        <v>0</v>
      </c>
      <c r="AK98">
        <v>4</v>
      </c>
      <c r="AL98">
        <v>0</v>
      </c>
    </row>
    <row r="99" spans="1:38" x14ac:dyDescent="0.3">
      <c r="A99" t="s">
        <v>38</v>
      </c>
      <c r="B99" t="s">
        <v>242</v>
      </c>
      <c r="C99">
        <v>0</v>
      </c>
      <c r="D99">
        <v>2008</v>
      </c>
      <c r="E99" t="s">
        <v>40</v>
      </c>
      <c r="F99">
        <v>2</v>
      </c>
      <c r="G99">
        <v>2</v>
      </c>
      <c r="H99">
        <v>7.0000000000000007E-2</v>
      </c>
      <c r="I99">
        <v>0.05</v>
      </c>
      <c r="J99">
        <v>-5</v>
      </c>
      <c r="K99">
        <v>7</v>
      </c>
      <c r="L99">
        <v>12</v>
      </c>
      <c r="M99">
        <v>0</v>
      </c>
      <c r="N99">
        <v>0</v>
      </c>
      <c r="O99">
        <v>25.16</v>
      </c>
      <c r="P99">
        <v>25.16</v>
      </c>
      <c r="Q99">
        <v>77</v>
      </c>
      <c r="R99">
        <v>64.94</v>
      </c>
      <c r="S99">
        <v>0</v>
      </c>
      <c r="T99">
        <v>0</v>
      </c>
      <c r="U99">
        <v>35.06</v>
      </c>
      <c r="V99">
        <v>56.05</v>
      </c>
      <c r="W99">
        <v>3.6</v>
      </c>
      <c r="X99">
        <v>0</v>
      </c>
      <c r="Y99">
        <v>12</v>
      </c>
      <c r="Z99">
        <v>0</v>
      </c>
      <c r="AA99">
        <v>30.19</v>
      </c>
      <c r="AB99">
        <v>30.19</v>
      </c>
      <c r="AC99">
        <v>77</v>
      </c>
      <c r="AD99">
        <v>64.94</v>
      </c>
      <c r="AE99">
        <v>0</v>
      </c>
      <c r="AF99">
        <v>0</v>
      </c>
      <c r="AG99">
        <v>35.06</v>
      </c>
      <c r="AH99">
        <v>59.55</v>
      </c>
      <c r="AI99">
        <v>10.5</v>
      </c>
      <c r="AJ99">
        <v>0</v>
      </c>
      <c r="AK99">
        <v>12</v>
      </c>
      <c r="AL99">
        <v>0</v>
      </c>
    </row>
    <row r="100" spans="1:38" x14ac:dyDescent="0.3">
      <c r="A100" t="s">
        <v>38</v>
      </c>
      <c r="B100" t="s">
        <v>66</v>
      </c>
      <c r="C100">
        <v>0</v>
      </c>
      <c r="D100">
        <v>2008</v>
      </c>
      <c r="E100" t="s">
        <v>40</v>
      </c>
      <c r="F100">
        <v>110</v>
      </c>
      <c r="G100">
        <v>21</v>
      </c>
      <c r="H100">
        <v>3.6</v>
      </c>
      <c r="I100">
        <v>0.53</v>
      </c>
      <c r="J100">
        <v>10605</v>
      </c>
      <c r="K100">
        <v>12708</v>
      </c>
      <c r="L100">
        <v>2103</v>
      </c>
      <c r="M100">
        <v>0</v>
      </c>
      <c r="N100">
        <v>0.01</v>
      </c>
      <c r="O100">
        <v>0.43</v>
      </c>
      <c r="P100">
        <v>4.29</v>
      </c>
      <c r="Q100">
        <v>80</v>
      </c>
      <c r="R100">
        <v>0</v>
      </c>
      <c r="S100">
        <v>86.25</v>
      </c>
      <c r="T100">
        <v>12.5</v>
      </c>
      <c r="U100">
        <v>1.25</v>
      </c>
      <c r="V100">
        <v>19.04</v>
      </c>
      <c r="W100">
        <v>0</v>
      </c>
      <c r="X100">
        <v>931</v>
      </c>
      <c r="Y100">
        <v>931</v>
      </c>
      <c r="Z100">
        <v>1134</v>
      </c>
      <c r="AA100">
        <v>3.87</v>
      </c>
      <c r="AB100">
        <v>12.19</v>
      </c>
      <c r="AC100">
        <v>80</v>
      </c>
      <c r="AD100">
        <v>36.25</v>
      </c>
      <c r="AE100">
        <v>30</v>
      </c>
      <c r="AF100">
        <v>12.5</v>
      </c>
      <c r="AG100">
        <v>21.25</v>
      </c>
      <c r="AH100">
        <v>25.87</v>
      </c>
      <c r="AI100">
        <v>0</v>
      </c>
      <c r="AJ100">
        <v>931</v>
      </c>
      <c r="AK100">
        <v>2028</v>
      </c>
      <c r="AL100">
        <v>37</v>
      </c>
    </row>
    <row r="101" spans="1:38" x14ac:dyDescent="0.3">
      <c r="A101" t="s">
        <v>38</v>
      </c>
      <c r="B101" t="s">
        <v>68</v>
      </c>
      <c r="C101">
        <v>0</v>
      </c>
      <c r="D101">
        <v>2008</v>
      </c>
      <c r="E101" t="s">
        <v>40</v>
      </c>
      <c r="F101">
        <v>57</v>
      </c>
      <c r="G101">
        <v>18</v>
      </c>
      <c r="H101">
        <v>1.86</v>
      </c>
      <c r="I101">
        <v>0.45</v>
      </c>
      <c r="J101">
        <v>1601</v>
      </c>
      <c r="K101">
        <v>2880</v>
      </c>
      <c r="L101">
        <v>1279</v>
      </c>
      <c r="M101">
        <v>0</v>
      </c>
      <c r="N101">
        <v>0</v>
      </c>
      <c r="O101">
        <v>0.69</v>
      </c>
      <c r="P101">
        <v>0.82</v>
      </c>
      <c r="Q101">
        <v>124</v>
      </c>
      <c r="R101">
        <v>0</v>
      </c>
      <c r="S101">
        <v>94.35</v>
      </c>
      <c r="T101">
        <v>0</v>
      </c>
      <c r="U101">
        <v>5.65</v>
      </c>
      <c r="V101">
        <v>35.65</v>
      </c>
      <c r="W101">
        <v>0</v>
      </c>
      <c r="X101">
        <v>0</v>
      </c>
      <c r="Y101">
        <v>544</v>
      </c>
      <c r="Z101">
        <v>735</v>
      </c>
      <c r="AA101">
        <v>3.53</v>
      </c>
      <c r="AB101">
        <v>7.8</v>
      </c>
      <c r="AC101">
        <v>124</v>
      </c>
      <c r="AD101">
        <v>65.319999999999993</v>
      </c>
      <c r="AE101">
        <v>29.03</v>
      </c>
      <c r="AF101">
        <v>0</v>
      </c>
      <c r="AG101">
        <v>5.65</v>
      </c>
      <c r="AH101">
        <v>35.65</v>
      </c>
      <c r="AI101">
        <v>0</v>
      </c>
      <c r="AJ101">
        <v>0</v>
      </c>
      <c r="AK101">
        <v>802</v>
      </c>
      <c r="AL101">
        <v>477</v>
      </c>
    </row>
    <row r="102" spans="1:38" x14ac:dyDescent="0.3">
      <c r="A102" t="s">
        <v>38</v>
      </c>
      <c r="B102" t="s">
        <v>70</v>
      </c>
      <c r="C102">
        <v>0</v>
      </c>
      <c r="D102">
        <v>2008</v>
      </c>
      <c r="E102" t="s">
        <v>40</v>
      </c>
      <c r="F102">
        <v>27</v>
      </c>
      <c r="G102">
        <v>3</v>
      </c>
      <c r="H102">
        <v>0.88</v>
      </c>
      <c r="I102">
        <v>0.08</v>
      </c>
      <c r="J102">
        <v>2963</v>
      </c>
      <c r="K102">
        <v>3266</v>
      </c>
      <c r="L102">
        <v>303</v>
      </c>
      <c r="M102">
        <v>0</v>
      </c>
      <c r="N102">
        <v>0</v>
      </c>
      <c r="O102">
        <v>13.73</v>
      </c>
      <c r="P102">
        <v>5.32</v>
      </c>
      <c r="Q102">
        <v>11</v>
      </c>
      <c r="R102">
        <v>36.36</v>
      </c>
      <c r="S102">
        <v>27.27</v>
      </c>
      <c r="T102">
        <v>0</v>
      </c>
      <c r="U102">
        <v>36.36</v>
      </c>
      <c r="V102">
        <v>47.22</v>
      </c>
      <c r="W102">
        <v>0</v>
      </c>
      <c r="X102">
        <v>0</v>
      </c>
      <c r="Y102">
        <v>18</v>
      </c>
      <c r="Z102">
        <v>75</v>
      </c>
      <c r="AA102">
        <v>15.68</v>
      </c>
      <c r="AB102">
        <v>6.07</v>
      </c>
      <c r="AC102">
        <v>11</v>
      </c>
      <c r="AD102">
        <v>36.36</v>
      </c>
      <c r="AE102">
        <v>27.27</v>
      </c>
      <c r="AF102">
        <v>0</v>
      </c>
      <c r="AG102">
        <v>36.36</v>
      </c>
      <c r="AH102">
        <v>50.72</v>
      </c>
      <c r="AI102">
        <v>0</v>
      </c>
      <c r="AJ102">
        <v>0</v>
      </c>
      <c r="AK102">
        <v>18</v>
      </c>
      <c r="AL102">
        <v>75</v>
      </c>
    </row>
    <row r="103" spans="1:38" x14ac:dyDescent="0.3">
      <c r="A103" t="s">
        <v>38</v>
      </c>
      <c r="B103" t="s">
        <v>203</v>
      </c>
      <c r="C103">
        <v>0</v>
      </c>
      <c r="D103">
        <v>2008</v>
      </c>
      <c r="E103" t="s">
        <v>40</v>
      </c>
      <c r="F103">
        <v>7</v>
      </c>
      <c r="G103">
        <v>7</v>
      </c>
      <c r="H103">
        <v>0.23</v>
      </c>
      <c r="I103">
        <v>0.18</v>
      </c>
      <c r="J103">
        <v>25</v>
      </c>
      <c r="K103">
        <v>106</v>
      </c>
      <c r="L103">
        <v>81</v>
      </c>
      <c r="M103">
        <v>0</v>
      </c>
      <c r="N103">
        <v>0</v>
      </c>
      <c r="O103">
        <v>0</v>
      </c>
      <c r="P103">
        <v>0</v>
      </c>
      <c r="Q103">
        <v>24</v>
      </c>
      <c r="R103">
        <v>0</v>
      </c>
      <c r="S103">
        <v>100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79</v>
      </c>
      <c r="AA103">
        <v>1.7</v>
      </c>
      <c r="AB103">
        <v>0.26</v>
      </c>
      <c r="AC103">
        <v>24</v>
      </c>
      <c r="AD103">
        <v>62.5</v>
      </c>
      <c r="AE103">
        <v>37.5</v>
      </c>
      <c r="AF103">
        <v>0</v>
      </c>
      <c r="AG103">
        <v>0</v>
      </c>
      <c r="AH103">
        <v>12.5</v>
      </c>
      <c r="AI103">
        <v>0</v>
      </c>
      <c r="AJ103">
        <v>0</v>
      </c>
      <c r="AK103">
        <v>5</v>
      </c>
      <c r="AL103">
        <v>74</v>
      </c>
    </row>
    <row r="104" spans="1:38" x14ac:dyDescent="0.3">
      <c r="A104" t="s">
        <v>38</v>
      </c>
      <c r="B104" t="s">
        <v>205</v>
      </c>
      <c r="C104">
        <v>0</v>
      </c>
      <c r="D104">
        <v>2008</v>
      </c>
      <c r="E104" t="s">
        <v>40</v>
      </c>
      <c r="F104">
        <v>6</v>
      </c>
      <c r="G104">
        <v>1</v>
      </c>
      <c r="H104">
        <v>0.2</v>
      </c>
      <c r="I104">
        <v>0.03</v>
      </c>
      <c r="J104">
        <v>1874</v>
      </c>
      <c r="K104">
        <v>1883</v>
      </c>
      <c r="L104">
        <v>9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100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9</v>
      </c>
      <c r="AA104">
        <v>0</v>
      </c>
      <c r="AB104">
        <v>0</v>
      </c>
      <c r="AC104">
        <v>1</v>
      </c>
      <c r="AD104">
        <v>0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9</v>
      </c>
    </row>
    <row r="105" spans="1:38" x14ac:dyDescent="0.3">
      <c r="A105" t="s">
        <v>38</v>
      </c>
      <c r="B105" t="s">
        <v>75</v>
      </c>
      <c r="C105">
        <v>0</v>
      </c>
      <c r="D105">
        <v>2008</v>
      </c>
      <c r="E105" t="s">
        <v>40</v>
      </c>
      <c r="F105">
        <v>29</v>
      </c>
      <c r="G105">
        <v>9</v>
      </c>
      <c r="H105">
        <v>0.95</v>
      </c>
      <c r="I105">
        <v>0.23</v>
      </c>
      <c r="J105">
        <v>1756</v>
      </c>
      <c r="K105">
        <v>1961</v>
      </c>
      <c r="L105">
        <v>205</v>
      </c>
      <c r="M105">
        <v>0</v>
      </c>
      <c r="N105">
        <v>0</v>
      </c>
      <c r="O105">
        <v>0</v>
      </c>
      <c r="P105">
        <v>0</v>
      </c>
      <c r="Q105">
        <v>19</v>
      </c>
      <c r="R105">
        <v>0</v>
      </c>
      <c r="S105">
        <v>100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98</v>
      </c>
      <c r="AA105">
        <v>1.1599999999999999</v>
      </c>
      <c r="AB105">
        <v>1.58</v>
      </c>
      <c r="AC105">
        <v>19</v>
      </c>
      <c r="AD105">
        <v>47.37</v>
      </c>
      <c r="AE105">
        <v>52.63</v>
      </c>
      <c r="AF105">
        <v>0</v>
      </c>
      <c r="AG105">
        <v>0</v>
      </c>
      <c r="AH105">
        <v>4</v>
      </c>
      <c r="AI105">
        <v>0</v>
      </c>
      <c r="AJ105">
        <v>0</v>
      </c>
      <c r="AK105">
        <v>54</v>
      </c>
      <c r="AL105">
        <v>44</v>
      </c>
    </row>
    <row r="106" spans="1:38" x14ac:dyDescent="0.3">
      <c r="A106" t="s">
        <v>38</v>
      </c>
      <c r="B106" t="s">
        <v>76</v>
      </c>
      <c r="C106">
        <v>0</v>
      </c>
      <c r="D106">
        <v>2008</v>
      </c>
      <c r="E106" t="s">
        <v>40</v>
      </c>
      <c r="F106">
        <v>104</v>
      </c>
      <c r="G106">
        <v>4</v>
      </c>
      <c r="H106">
        <v>3.4</v>
      </c>
      <c r="I106">
        <v>0.1</v>
      </c>
      <c r="J106">
        <v>44561</v>
      </c>
      <c r="K106">
        <v>44665</v>
      </c>
      <c r="L106">
        <v>104</v>
      </c>
      <c r="M106">
        <v>0</v>
      </c>
      <c r="N106">
        <v>0.04</v>
      </c>
      <c r="O106">
        <v>0</v>
      </c>
      <c r="P106">
        <v>0</v>
      </c>
      <c r="Q106">
        <v>6</v>
      </c>
      <c r="R106">
        <v>0</v>
      </c>
      <c r="S106">
        <v>100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104</v>
      </c>
      <c r="AA106">
        <v>2</v>
      </c>
      <c r="AB106">
        <v>0.08</v>
      </c>
      <c r="AC106">
        <v>6</v>
      </c>
      <c r="AD106">
        <v>33.33</v>
      </c>
      <c r="AE106">
        <v>66.67</v>
      </c>
      <c r="AF106">
        <v>0</v>
      </c>
      <c r="AG106">
        <v>0</v>
      </c>
      <c r="AH106">
        <v>8</v>
      </c>
      <c r="AI106">
        <v>0</v>
      </c>
      <c r="AJ106">
        <v>0</v>
      </c>
      <c r="AK106">
        <v>1</v>
      </c>
      <c r="AL106">
        <v>103</v>
      </c>
    </row>
    <row r="107" spans="1:38" x14ac:dyDescent="0.3">
      <c r="A107" t="s">
        <v>38</v>
      </c>
      <c r="B107" t="s">
        <v>79</v>
      </c>
      <c r="C107">
        <v>0</v>
      </c>
      <c r="D107">
        <v>2008</v>
      </c>
      <c r="E107" t="s">
        <v>40</v>
      </c>
      <c r="F107">
        <v>51</v>
      </c>
      <c r="G107">
        <v>19</v>
      </c>
      <c r="H107">
        <v>1.67</v>
      </c>
      <c r="I107">
        <v>0.48</v>
      </c>
      <c r="J107">
        <v>34</v>
      </c>
      <c r="K107">
        <v>963</v>
      </c>
      <c r="L107">
        <v>929</v>
      </c>
      <c r="M107">
        <v>0</v>
      </c>
      <c r="N107">
        <v>0</v>
      </c>
      <c r="O107">
        <v>1.34</v>
      </c>
      <c r="P107">
        <v>7.74</v>
      </c>
      <c r="Q107">
        <v>111</v>
      </c>
      <c r="R107">
        <v>0</v>
      </c>
      <c r="S107">
        <v>79.28</v>
      </c>
      <c r="T107">
        <v>0</v>
      </c>
      <c r="U107">
        <v>20.72</v>
      </c>
      <c r="V107">
        <v>35.65</v>
      </c>
      <c r="W107">
        <v>0</v>
      </c>
      <c r="X107">
        <v>0</v>
      </c>
      <c r="Y107">
        <v>618</v>
      </c>
      <c r="Z107">
        <v>309</v>
      </c>
      <c r="AA107">
        <v>6.23</v>
      </c>
      <c r="AB107">
        <v>16.32</v>
      </c>
      <c r="AC107">
        <v>111</v>
      </c>
      <c r="AD107">
        <v>63.96</v>
      </c>
      <c r="AE107">
        <v>13.51</v>
      </c>
      <c r="AF107">
        <v>0.9</v>
      </c>
      <c r="AG107">
        <v>21.62</v>
      </c>
      <c r="AH107">
        <v>49.12</v>
      </c>
      <c r="AI107">
        <v>0</v>
      </c>
      <c r="AJ107">
        <v>1</v>
      </c>
      <c r="AK107">
        <v>840</v>
      </c>
      <c r="AL107">
        <v>87</v>
      </c>
    </row>
    <row r="108" spans="1:38" x14ac:dyDescent="0.3">
      <c r="A108" t="s">
        <v>38</v>
      </c>
      <c r="B108" t="s">
        <v>207</v>
      </c>
      <c r="C108">
        <v>0</v>
      </c>
      <c r="D108">
        <v>2008</v>
      </c>
      <c r="E108" t="s">
        <v>40</v>
      </c>
      <c r="F108">
        <v>37</v>
      </c>
      <c r="G108">
        <v>4</v>
      </c>
      <c r="H108">
        <v>1.21</v>
      </c>
      <c r="I108">
        <v>0.1</v>
      </c>
      <c r="J108">
        <v>365</v>
      </c>
      <c r="K108">
        <v>1005</v>
      </c>
      <c r="L108">
        <v>640</v>
      </c>
      <c r="M108">
        <v>0</v>
      </c>
      <c r="N108">
        <v>0</v>
      </c>
      <c r="O108">
        <v>0</v>
      </c>
      <c r="P108">
        <v>0</v>
      </c>
      <c r="Q108">
        <v>6</v>
      </c>
      <c r="R108">
        <v>0</v>
      </c>
      <c r="S108">
        <v>100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640</v>
      </c>
      <c r="AA108">
        <v>1.38</v>
      </c>
      <c r="AB108">
        <v>2.5099999999999998</v>
      </c>
      <c r="AC108">
        <v>6</v>
      </c>
      <c r="AD108">
        <v>33.33</v>
      </c>
      <c r="AE108">
        <v>66.67</v>
      </c>
      <c r="AF108">
        <v>0</v>
      </c>
      <c r="AG108">
        <v>0</v>
      </c>
      <c r="AH108">
        <v>4</v>
      </c>
      <c r="AI108">
        <v>0</v>
      </c>
      <c r="AJ108">
        <v>0</v>
      </c>
      <c r="AK108">
        <v>489</v>
      </c>
      <c r="AL108">
        <v>151</v>
      </c>
    </row>
    <row r="109" spans="1:38" x14ac:dyDescent="0.3">
      <c r="A109" t="s">
        <v>38</v>
      </c>
      <c r="B109" t="s">
        <v>83</v>
      </c>
      <c r="C109">
        <v>0</v>
      </c>
      <c r="D109">
        <v>2008</v>
      </c>
      <c r="E109" t="s">
        <v>40</v>
      </c>
      <c r="G109">
        <v>1</v>
      </c>
      <c r="I109">
        <v>0.03</v>
      </c>
      <c r="L109">
        <v>70</v>
      </c>
      <c r="M109">
        <v>0</v>
      </c>
      <c r="O109">
        <v>0</v>
      </c>
      <c r="P109">
        <v>0</v>
      </c>
      <c r="Q109">
        <v>13</v>
      </c>
      <c r="R109">
        <v>0</v>
      </c>
      <c r="S109">
        <v>100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70</v>
      </c>
      <c r="AA109">
        <v>15</v>
      </c>
      <c r="AB109">
        <v>15</v>
      </c>
      <c r="AC109">
        <v>13</v>
      </c>
      <c r="AD109">
        <v>100</v>
      </c>
      <c r="AE109">
        <v>0</v>
      </c>
      <c r="AF109">
        <v>0</v>
      </c>
      <c r="AG109">
        <v>0</v>
      </c>
      <c r="AH109">
        <v>15</v>
      </c>
      <c r="AI109">
        <v>15</v>
      </c>
      <c r="AJ109">
        <v>0</v>
      </c>
      <c r="AK109">
        <v>70</v>
      </c>
      <c r="AL109">
        <v>0</v>
      </c>
    </row>
    <row r="110" spans="1:38" x14ac:dyDescent="0.3">
      <c r="A110" t="s">
        <v>38</v>
      </c>
      <c r="B110" t="s">
        <v>85</v>
      </c>
      <c r="C110">
        <v>0</v>
      </c>
      <c r="D110">
        <v>2008</v>
      </c>
      <c r="E110" t="s">
        <v>40</v>
      </c>
      <c r="F110">
        <v>7</v>
      </c>
      <c r="G110">
        <v>3</v>
      </c>
      <c r="H110">
        <v>0.23</v>
      </c>
      <c r="I110">
        <v>0.08</v>
      </c>
      <c r="J110">
        <v>326</v>
      </c>
      <c r="K110">
        <v>337</v>
      </c>
      <c r="L110">
        <v>11</v>
      </c>
      <c r="M110">
        <v>0</v>
      </c>
      <c r="N110">
        <v>0</v>
      </c>
      <c r="O110">
        <v>0</v>
      </c>
      <c r="P110">
        <v>0</v>
      </c>
      <c r="Q110">
        <v>9</v>
      </c>
      <c r="R110">
        <v>0</v>
      </c>
      <c r="S110">
        <v>100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11</v>
      </c>
      <c r="AA110">
        <v>0.41</v>
      </c>
      <c r="AB110">
        <v>0.22</v>
      </c>
      <c r="AC110">
        <v>9</v>
      </c>
      <c r="AD110">
        <v>22.22</v>
      </c>
      <c r="AE110">
        <v>77.78</v>
      </c>
      <c r="AF110">
        <v>0</v>
      </c>
      <c r="AG110">
        <v>0</v>
      </c>
      <c r="AH110">
        <v>5</v>
      </c>
      <c r="AI110">
        <v>0</v>
      </c>
      <c r="AJ110">
        <v>0</v>
      </c>
      <c r="AK110">
        <v>2</v>
      </c>
      <c r="AL110">
        <v>9</v>
      </c>
    </row>
    <row r="111" spans="1:38" x14ac:dyDescent="0.3">
      <c r="A111" t="s">
        <v>38</v>
      </c>
      <c r="B111" t="s">
        <v>210</v>
      </c>
      <c r="C111">
        <v>0</v>
      </c>
      <c r="D111">
        <v>2008</v>
      </c>
      <c r="E111" t="s">
        <v>40</v>
      </c>
      <c r="F111">
        <v>223</v>
      </c>
      <c r="G111">
        <v>5</v>
      </c>
      <c r="H111">
        <v>7.29</v>
      </c>
      <c r="I111">
        <v>0.13</v>
      </c>
      <c r="J111">
        <v>34938</v>
      </c>
      <c r="K111">
        <v>35042</v>
      </c>
      <c r="L111">
        <v>104</v>
      </c>
      <c r="M111">
        <v>0</v>
      </c>
      <c r="N111">
        <v>0.03</v>
      </c>
      <c r="O111">
        <v>0</v>
      </c>
      <c r="P111">
        <v>0</v>
      </c>
      <c r="Q111">
        <v>12</v>
      </c>
      <c r="R111">
        <v>0</v>
      </c>
      <c r="S111">
        <v>100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102</v>
      </c>
      <c r="AA111">
        <v>1.18</v>
      </c>
      <c r="AB111">
        <v>1.84</v>
      </c>
      <c r="AC111">
        <v>12</v>
      </c>
      <c r="AD111">
        <v>50</v>
      </c>
      <c r="AE111">
        <v>50</v>
      </c>
      <c r="AF111">
        <v>0</v>
      </c>
      <c r="AG111">
        <v>0</v>
      </c>
      <c r="AH111">
        <v>4.7</v>
      </c>
      <c r="AI111">
        <v>0</v>
      </c>
      <c r="AJ111">
        <v>0</v>
      </c>
      <c r="AK111">
        <v>40</v>
      </c>
      <c r="AL111">
        <v>62</v>
      </c>
    </row>
    <row r="112" spans="1:38" x14ac:dyDescent="0.3">
      <c r="A112" t="s">
        <v>38</v>
      </c>
      <c r="B112" t="s">
        <v>87</v>
      </c>
      <c r="C112">
        <v>0</v>
      </c>
      <c r="D112">
        <v>2008</v>
      </c>
      <c r="E112" t="s">
        <v>40</v>
      </c>
      <c r="F112">
        <v>51</v>
      </c>
      <c r="G112">
        <v>6</v>
      </c>
      <c r="H112">
        <v>1.67</v>
      </c>
      <c r="I112">
        <v>0.15</v>
      </c>
      <c r="J112">
        <v>21638</v>
      </c>
      <c r="K112">
        <v>22216</v>
      </c>
      <c r="L112">
        <v>578</v>
      </c>
      <c r="M112">
        <v>0</v>
      </c>
      <c r="N112">
        <v>0.02</v>
      </c>
      <c r="O112">
        <v>0</v>
      </c>
      <c r="P112">
        <v>0</v>
      </c>
      <c r="Q112">
        <v>7</v>
      </c>
      <c r="R112">
        <v>0</v>
      </c>
      <c r="S112">
        <v>100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577</v>
      </c>
      <c r="AA112">
        <v>1.08</v>
      </c>
      <c r="AB112">
        <v>0.02</v>
      </c>
      <c r="AC112">
        <v>7</v>
      </c>
      <c r="AD112">
        <v>42.86</v>
      </c>
      <c r="AE112">
        <v>57.14</v>
      </c>
      <c r="AF112">
        <v>0</v>
      </c>
      <c r="AG112">
        <v>0</v>
      </c>
      <c r="AH112">
        <v>3.2</v>
      </c>
      <c r="AI112">
        <v>0</v>
      </c>
      <c r="AJ112">
        <v>0</v>
      </c>
      <c r="AK112">
        <v>5</v>
      </c>
      <c r="AL112">
        <v>572</v>
      </c>
    </row>
    <row r="113" spans="1:38" x14ac:dyDescent="0.3">
      <c r="A113" t="s">
        <v>38</v>
      </c>
      <c r="B113" t="s">
        <v>88</v>
      </c>
      <c r="C113">
        <v>0</v>
      </c>
      <c r="D113">
        <v>2008</v>
      </c>
      <c r="E113" t="s">
        <v>40</v>
      </c>
      <c r="F113">
        <v>8</v>
      </c>
      <c r="G113">
        <v>5</v>
      </c>
      <c r="H113">
        <v>0.26</v>
      </c>
      <c r="I113">
        <v>0.13</v>
      </c>
      <c r="J113">
        <v>879</v>
      </c>
      <c r="K113">
        <v>1071</v>
      </c>
      <c r="L113">
        <v>192</v>
      </c>
      <c r="M113">
        <v>0</v>
      </c>
      <c r="N113">
        <v>0</v>
      </c>
      <c r="O113">
        <v>1.1599999999999999</v>
      </c>
      <c r="P113">
        <v>4.54</v>
      </c>
      <c r="Q113">
        <v>77</v>
      </c>
      <c r="R113">
        <v>74.03</v>
      </c>
      <c r="S113">
        <v>25.97</v>
      </c>
      <c r="T113">
        <v>0</v>
      </c>
      <c r="U113">
        <v>0</v>
      </c>
      <c r="V113">
        <v>14.5</v>
      </c>
      <c r="W113">
        <v>0</v>
      </c>
      <c r="X113">
        <v>0</v>
      </c>
      <c r="Y113">
        <v>150</v>
      </c>
      <c r="Z113">
        <v>42</v>
      </c>
      <c r="AA113">
        <v>2.74</v>
      </c>
      <c r="AB113">
        <v>7.53</v>
      </c>
      <c r="AC113">
        <v>77</v>
      </c>
      <c r="AD113">
        <v>87.01</v>
      </c>
      <c r="AE113">
        <v>12.99</v>
      </c>
      <c r="AF113">
        <v>0</v>
      </c>
      <c r="AG113">
        <v>0</v>
      </c>
      <c r="AH113">
        <v>18</v>
      </c>
      <c r="AI113">
        <v>0</v>
      </c>
      <c r="AJ113">
        <v>0</v>
      </c>
      <c r="AK113">
        <v>169</v>
      </c>
      <c r="AL113">
        <v>23</v>
      </c>
    </row>
    <row r="114" spans="1:38" x14ac:dyDescent="0.3">
      <c r="A114" t="s">
        <v>38</v>
      </c>
      <c r="B114" t="s">
        <v>89</v>
      </c>
      <c r="C114">
        <v>0</v>
      </c>
      <c r="D114">
        <v>2008</v>
      </c>
      <c r="E114" t="s">
        <v>40</v>
      </c>
      <c r="F114">
        <v>10</v>
      </c>
      <c r="G114">
        <v>4</v>
      </c>
      <c r="H114">
        <v>0.33</v>
      </c>
      <c r="I114">
        <v>0.1</v>
      </c>
      <c r="J114">
        <v>-14</v>
      </c>
      <c r="K114">
        <v>299</v>
      </c>
      <c r="L114">
        <v>313</v>
      </c>
      <c r="M114">
        <v>0</v>
      </c>
      <c r="N114">
        <v>0</v>
      </c>
      <c r="O114">
        <v>0</v>
      </c>
      <c r="P114">
        <v>0</v>
      </c>
      <c r="Q114">
        <v>18</v>
      </c>
      <c r="R114">
        <v>0</v>
      </c>
      <c r="S114">
        <v>100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313</v>
      </c>
      <c r="AA114">
        <v>3.16</v>
      </c>
      <c r="AB114">
        <v>0.94</v>
      </c>
      <c r="AC114">
        <v>18</v>
      </c>
      <c r="AD114">
        <v>77.78</v>
      </c>
      <c r="AE114">
        <v>22.22</v>
      </c>
      <c r="AF114">
        <v>0</v>
      </c>
      <c r="AG114">
        <v>0</v>
      </c>
      <c r="AH114">
        <v>8.3000000000000007</v>
      </c>
      <c r="AI114">
        <v>0</v>
      </c>
      <c r="AJ114">
        <v>0</v>
      </c>
      <c r="AK114">
        <v>50</v>
      </c>
      <c r="AL114">
        <v>263</v>
      </c>
    </row>
    <row r="115" spans="1:38" x14ac:dyDescent="0.3">
      <c r="A115" t="s">
        <v>38</v>
      </c>
      <c r="B115" t="s">
        <v>243</v>
      </c>
      <c r="C115">
        <v>0</v>
      </c>
      <c r="D115">
        <v>2008</v>
      </c>
      <c r="E115" t="s">
        <v>40</v>
      </c>
      <c r="F115">
        <v>1</v>
      </c>
      <c r="G115">
        <v>1</v>
      </c>
      <c r="H115">
        <v>0.03</v>
      </c>
      <c r="I115">
        <v>0.03</v>
      </c>
      <c r="J115">
        <v>-6</v>
      </c>
      <c r="K115">
        <v>2</v>
      </c>
      <c r="L115">
        <v>8</v>
      </c>
      <c r="M115">
        <v>0</v>
      </c>
      <c r="N115">
        <v>0</v>
      </c>
      <c r="O115">
        <v>0</v>
      </c>
      <c r="P115">
        <v>0</v>
      </c>
      <c r="Q115">
        <v>3</v>
      </c>
      <c r="R115">
        <v>0</v>
      </c>
      <c r="S115">
        <v>100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8</v>
      </c>
      <c r="AA115">
        <v>0</v>
      </c>
      <c r="AB115">
        <v>0</v>
      </c>
      <c r="AC115">
        <v>3</v>
      </c>
      <c r="AD115">
        <v>0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8</v>
      </c>
    </row>
    <row r="116" spans="1:38" x14ac:dyDescent="0.3">
      <c r="A116" t="s">
        <v>38</v>
      </c>
      <c r="B116" t="s">
        <v>93</v>
      </c>
      <c r="C116">
        <v>0</v>
      </c>
      <c r="D116">
        <v>2008</v>
      </c>
      <c r="E116" t="s">
        <v>40</v>
      </c>
      <c r="F116">
        <v>33</v>
      </c>
      <c r="G116">
        <v>5</v>
      </c>
      <c r="H116">
        <v>1.08</v>
      </c>
      <c r="I116">
        <v>0.13</v>
      </c>
      <c r="J116">
        <v>1269</v>
      </c>
      <c r="K116">
        <v>1289</v>
      </c>
      <c r="L116">
        <v>20</v>
      </c>
      <c r="M116">
        <v>0</v>
      </c>
      <c r="N116">
        <v>0</v>
      </c>
      <c r="O116">
        <v>0</v>
      </c>
      <c r="P116">
        <v>0</v>
      </c>
      <c r="Q116">
        <v>24</v>
      </c>
      <c r="R116">
        <v>0</v>
      </c>
      <c r="S116">
        <v>100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18</v>
      </c>
      <c r="AA116">
        <v>2.76</v>
      </c>
      <c r="AB116">
        <v>1.3</v>
      </c>
      <c r="AC116">
        <v>24</v>
      </c>
      <c r="AD116">
        <v>66.67</v>
      </c>
      <c r="AE116">
        <v>33.33</v>
      </c>
      <c r="AF116">
        <v>0</v>
      </c>
      <c r="AG116">
        <v>0</v>
      </c>
      <c r="AH116">
        <v>8.3000000000000007</v>
      </c>
      <c r="AI116">
        <v>0</v>
      </c>
      <c r="AJ116">
        <v>0</v>
      </c>
      <c r="AK116">
        <v>13</v>
      </c>
      <c r="AL116">
        <v>5</v>
      </c>
    </row>
    <row r="117" spans="1:38" x14ac:dyDescent="0.3">
      <c r="A117" t="s">
        <v>38</v>
      </c>
      <c r="B117" t="s">
        <v>94</v>
      </c>
      <c r="C117">
        <v>0</v>
      </c>
      <c r="D117">
        <v>2008</v>
      </c>
      <c r="E117" t="s">
        <v>40</v>
      </c>
      <c r="F117">
        <v>3</v>
      </c>
      <c r="G117">
        <v>2</v>
      </c>
      <c r="H117">
        <v>0.1</v>
      </c>
      <c r="I117">
        <v>0.05</v>
      </c>
      <c r="J117">
        <v>-357</v>
      </c>
      <c r="K117">
        <v>168</v>
      </c>
      <c r="L117">
        <v>525</v>
      </c>
      <c r="M117">
        <v>0</v>
      </c>
      <c r="N117">
        <v>0</v>
      </c>
      <c r="O117">
        <v>0</v>
      </c>
      <c r="P117">
        <v>0</v>
      </c>
      <c r="Q117">
        <v>36</v>
      </c>
      <c r="R117">
        <v>0</v>
      </c>
      <c r="S117">
        <v>100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525</v>
      </c>
      <c r="AA117">
        <v>0.41</v>
      </c>
      <c r="AB117">
        <v>0.06</v>
      </c>
      <c r="AC117">
        <v>36</v>
      </c>
      <c r="AD117">
        <v>8.33</v>
      </c>
      <c r="AE117">
        <v>91.67</v>
      </c>
      <c r="AF117">
        <v>0</v>
      </c>
      <c r="AG117">
        <v>0</v>
      </c>
      <c r="AH117">
        <v>6.5</v>
      </c>
      <c r="AI117">
        <v>0</v>
      </c>
      <c r="AJ117">
        <v>0</v>
      </c>
      <c r="AK117">
        <v>40</v>
      </c>
      <c r="AL117">
        <v>485</v>
      </c>
    </row>
    <row r="118" spans="1:38" x14ac:dyDescent="0.3">
      <c r="A118" t="s">
        <v>38</v>
      </c>
      <c r="B118" t="s">
        <v>96</v>
      </c>
      <c r="C118">
        <v>0</v>
      </c>
      <c r="D118">
        <v>2008</v>
      </c>
      <c r="E118" t="s">
        <v>40</v>
      </c>
      <c r="F118">
        <v>15</v>
      </c>
      <c r="G118">
        <v>5</v>
      </c>
      <c r="H118">
        <v>0.49</v>
      </c>
      <c r="I118">
        <v>0.13</v>
      </c>
      <c r="J118">
        <v>456</v>
      </c>
      <c r="K118">
        <v>482</v>
      </c>
      <c r="L118">
        <v>26</v>
      </c>
      <c r="M118">
        <v>0</v>
      </c>
      <c r="N118">
        <v>0</v>
      </c>
      <c r="O118">
        <v>0</v>
      </c>
      <c r="P118">
        <v>0</v>
      </c>
      <c r="Q118">
        <v>28</v>
      </c>
      <c r="R118">
        <v>0</v>
      </c>
      <c r="S118">
        <v>100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12</v>
      </c>
      <c r="AA118">
        <v>2.2000000000000002</v>
      </c>
      <c r="AB118">
        <v>1.55</v>
      </c>
      <c r="AC118">
        <v>28</v>
      </c>
      <c r="AD118">
        <v>75</v>
      </c>
      <c r="AE118">
        <v>25</v>
      </c>
      <c r="AF118">
        <v>0</v>
      </c>
      <c r="AG118">
        <v>0</v>
      </c>
      <c r="AH118">
        <v>5</v>
      </c>
      <c r="AI118">
        <v>0</v>
      </c>
      <c r="AJ118">
        <v>0</v>
      </c>
      <c r="AK118">
        <v>12</v>
      </c>
      <c r="AL118">
        <v>0</v>
      </c>
    </row>
    <row r="119" spans="1:38" x14ac:dyDescent="0.3">
      <c r="A119" t="s">
        <v>38</v>
      </c>
      <c r="B119" t="s">
        <v>97</v>
      </c>
      <c r="C119">
        <v>0</v>
      </c>
      <c r="D119">
        <v>2008</v>
      </c>
      <c r="E119" t="s">
        <v>40</v>
      </c>
      <c r="F119">
        <v>7</v>
      </c>
      <c r="G119">
        <v>1</v>
      </c>
      <c r="H119">
        <v>0.23</v>
      </c>
      <c r="I119">
        <v>0.03</v>
      </c>
      <c r="J119">
        <v>418</v>
      </c>
      <c r="K119">
        <v>419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7</v>
      </c>
      <c r="R119">
        <v>0</v>
      </c>
      <c r="S119">
        <v>100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1.23</v>
      </c>
      <c r="AB119">
        <v>1.23</v>
      </c>
      <c r="AC119">
        <v>7</v>
      </c>
      <c r="AD119">
        <v>28.57</v>
      </c>
      <c r="AE119">
        <v>71.430000000000007</v>
      </c>
      <c r="AF119">
        <v>0</v>
      </c>
      <c r="AG119">
        <v>0</v>
      </c>
      <c r="AH119">
        <v>5</v>
      </c>
      <c r="AI119">
        <v>0</v>
      </c>
      <c r="AJ119">
        <v>0</v>
      </c>
      <c r="AK119">
        <v>1</v>
      </c>
      <c r="AL119">
        <v>0</v>
      </c>
    </row>
    <row r="120" spans="1:38" x14ac:dyDescent="0.3">
      <c r="A120" t="s">
        <v>38</v>
      </c>
      <c r="B120" t="s">
        <v>101</v>
      </c>
      <c r="C120">
        <v>0</v>
      </c>
      <c r="D120">
        <v>2008</v>
      </c>
      <c r="E120" t="s">
        <v>40</v>
      </c>
      <c r="F120">
        <v>107</v>
      </c>
      <c r="G120">
        <v>29</v>
      </c>
      <c r="H120">
        <v>3.5</v>
      </c>
      <c r="I120">
        <v>0.73</v>
      </c>
      <c r="J120">
        <v>21045</v>
      </c>
      <c r="K120">
        <v>24880</v>
      </c>
      <c r="L120">
        <v>3835</v>
      </c>
      <c r="M120">
        <v>0</v>
      </c>
      <c r="N120">
        <v>0.02</v>
      </c>
      <c r="O120">
        <v>1.96</v>
      </c>
      <c r="P120">
        <v>1.45</v>
      </c>
      <c r="Q120">
        <v>92</v>
      </c>
      <c r="R120">
        <v>33.700000000000003</v>
      </c>
      <c r="S120">
        <v>58.7</v>
      </c>
      <c r="T120">
        <v>0</v>
      </c>
      <c r="U120">
        <v>7.61</v>
      </c>
      <c r="V120">
        <v>25.66</v>
      </c>
      <c r="W120">
        <v>0</v>
      </c>
      <c r="X120">
        <v>0</v>
      </c>
      <c r="Y120">
        <v>3257</v>
      </c>
      <c r="Z120">
        <v>558</v>
      </c>
      <c r="AA120">
        <v>4.08</v>
      </c>
      <c r="AB120">
        <v>3.44</v>
      </c>
      <c r="AC120">
        <v>92</v>
      </c>
      <c r="AD120">
        <v>69.569999999999993</v>
      </c>
      <c r="AE120">
        <v>20.65</v>
      </c>
      <c r="AF120">
        <v>0</v>
      </c>
      <c r="AG120">
        <v>9.7799999999999994</v>
      </c>
      <c r="AH120">
        <v>29.16</v>
      </c>
      <c r="AI120">
        <v>0</v>
      </c>
      <c r="AJ120">
        <v>0</v>
      </c>
      <c r="AK120">
        <v>3742</v>
      </c>
      <c r="AL120">
        <v>73</v>
      </c>
    </row>
    <row r="121" spans="1:38" x14ac:dyDescent="0.3">
      <c r="A121" t="s">
        <v>38</v>
      </c>
      <c r="B121" t="s">
        <v>244</v>
      </c>
      <c r="C121">
        <v>0</v>
      </c>
      <c r="D121">
        <v>2008</v>
      </c>
      <c r="E121" t="s">
        <v>40</v>
      </c>
      <c r="F121">
        <v>73</v>
      </c>
      <c r="G121">
        <v>3</v>
      </c>
      <c r="H121">
        <v>2.39</v>
      </c>
      <c r="I121">
        <v>0.08</v>
      </c>
      <c r="J121">
        <v>208236</v>
      </c>
      <c r="K121">
        <v>209023</v>
      </c>
      <c r="L121">
        <v>787</v>
      </c>
      <c r="M121">
        <v>0</v>
      </c>
      <c r="N121">
        <v>0.19</v>
      </c>
      <c r="O121">
        <v>0</v>
      </c>
      <c r="P121">
        <v>0</v>
      </c>
      <c r="Q121">
        <v>3</v>
      </c>
      <c r="R121">
        <v>0</v>
      </c>
      <c r="S121">
        <v>100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4</v>
      </c>
      <c r="AA121">
        <v>0</v>
      </c>
      <c r="AB121">
        <v>0</v>
      </c>
      <c r="AC121">
        <v>3</v>
      </c>
      <c r="AD121">
        <v>0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4</v>
      </c>
    </row>
    <row r="122" spans="1:38" x14ac:dyDescent="0.3">
      <c r="A122" t="s">
        <v>38</v>
      </c>
      <c r="B122" t="s">
        <v>105</v>
      </c>
      <c r="C122">
        <v>0</v>
      </c>
      <c r="D122">
        <v>2008</v>
      </c>
      <c r="E122" t="s">
        <v>40</v>
      </c>
      <c r="F122">
        <v>18</v>
      </c>
      <c r="G122">
        <v>3</v>
      </c>
      <c r="H122">
        <v>0.59</v>
      </c>
      <c r="I122">
        <v>0.08</v>
      </c>
      <c r="J122">
        <v>4361</v>
      </c>
      <c r="K122">
        <v>4381</v>
      </c>
      <c r="L122">
        <v>20</v>
      </c>
      <c r="M122">
        <v>0</v>
      </c>
      <c r="N122">
        <v>0</v>
      </c>
      <c r="O122">
        <v>0</v>
      </c>
      <c r="P122">
        <v>0</v>
      </c>
      <c r="Q122">
        <v>15</v>
      </c>
      <c r="R122">
        <v>0</v>
      </c>
      <c r="S122">
        <v>100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2.5499999999999998</v>
      </c>
      <c r="AB122">
        <v>2.5499999999999998</v>
      </c>
      <c r="AC122">
        <v>15</v>
      </c>
      <c r="AD122">
        <v>73.33</v>
      </c>
      <c r="AE122">
        <v>26.67</v>
      </c>
      <c r="AF122">
        <v>0</v>
      </c>
      <c r="AG122">
        <v>0</v>
      </c>
      <c r="AH122">
        <v>6.5</v>
      </c>
      <c r="AI122">
        <v>0</v>
      </c>
      <c r="AJ122">
        <v>0</v>
      </c>
      <c r="AK122">
        <v>1</v>
      </c>
      <c r="AL122">
        <v>1</v>
      </c>
    </row>
    <row r="123" spans="1:38" x14ac:dyDescent="0.3">
      <c r="A123" t="s">
        <v>38</v>
      </c>
      <c r="B123" t="s">
        <v>108</v>
      </c>
      <c r="C123">
        <v>0</v>
      </c>
      <c r="D123">
        <v>2008</v>
      </c>
      <c r="E123" t="s">
        <v>40</v>
      </c>
      <c r="F123">
        <v>69</v>
      </c>
      <c r="G123">
        <v>14</v>
      </c>
      <c r="H123">
        <v>2.2599999999999998</v>
      </c>
      <c r="I123">
        <v>0.35</v>
      </c>
      <c r="J123">
        <v>17424</v>
      </c>
      <c r="K123">
        <v>17625</v>
      </c>
      <c r="L123">
        <v>201</v>
      </c>
      <c r="M123">
        <v>0</v>
      </c>
      <c r="N123">
        <v>0.02</v>
      </c>
      <c r="O123">
        <v>0</v>
      </c>
      <c r="P123">
        <v>0</v>
      </c>
      <c r="Q123">
        <v>32</v>
      </c>
      <c r="R123">
        <v>0</v>
      </c>
      <c r="S123">
        <v>100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199</v>
      </c>
      <c r="AA123">
        <v>3.14</v>
      </c>
      <c r="AB123">
        <v>2.4900000000000002</v>
      </c>
      <c r="AC123">
        <v>32</v>
      </c>
      <c r="AD123">
        <v>65.63</v>
      </c>
      <c r="AE123">
        <v>34.380000000000003</v>
      </c>
      <c r="AF123">
        <v>0</v>
      </c>
      <c r="AG123">
        <v>0</v>
      </c>
      <c r="AH123">
        <v>12.5</v>
      </c>
      <c r="AI123">
        <v>0</v>
      </c>
      <c r="AJ123">
        <v>0</v>
      </c>
      <c r="AK123">
        <v>192</v>
      </c>
      <c r="AL123">
        <v>7</v>
      </c>
    </row>
    <row r="124" spans="1:38" x14ac:dyDescent="0.3">
      <c r="A124" t="s">
        <v>38</v>
      </c>
      <c r="B124" t="s">
        <v>109</v>
      </c>
      <c r="C124">
        <v>0</v>
      </c>
      <c r="D124">
        <v>2008</v>
      </c>
      <c r="E124" t="s">
        <v>40</v>
      </c>
      <c r="F124">
        <v>4</v>
      </c>
      <c r="G124">
        <v>14</v>
      </c>
      <c r="H124">
        <v>0.13</v>
      </c>
      <c r="I124">
        <v>0.35</v>
      </c>
      <c r="J124">
        <v>-222</v>
      </c>
      <c r="K124">
        <v>31</v>
      </c>
      <c r="L124">
        <v>253</v>
      </c>
      <c r="M124">
        <v>0</v>
      </c>
      <c r="N124">
        <v>0</v>
      </c>
      <c r="O124">
        <v>0</v>
      </c>
      <c r="P124">
        <v>0</v>
      </c>
      <c r="Q124">
        <v>95</v>
      </c>
      <c r="R124">
        <v>0</v>
      </c>
      <c r="S124">
        <v>100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186</v>
      </c>
      <c r="AA124">
        <v>11.78</v>
      </c>
      <c r="AB124">
        <v>11.52</v>
      </c>
      <c r="AC124">
        <v>95</v>
      </c>
      <c r="AD124">
        <v>100</v>
      </c>
      <c r="AE124">
        <v>0</v>
      </c>
      <c r="AF124">
        <v>0</v>
      </c>
      <c r="AG124">
        <v>0</v>
      </c>
      <c r="AH124">
        <v>17</v>
      </c>
      <c r="AI124">
        <v>3.5</v>
      </c>
      <c r="AJ124">
        <v>0</v>
      </c>
      <c r="AK124">
        <v>186</v>
      </c>
      <c r="AL124">
        <v>0</v>
      </c>
    </row>
    <row r="125" spans="1:38" x14ac:dyDescent="0.3">
      <c r="A125" t="s">
        <v>38</v>
      </c>
      <c r="B125" t="s">
        <v>111</v>
      </c>
      <c r="C125">
        <v>0</v>
      </c>
      <c r="D125">
        <v>2008</v>
      </c>
      <c r="E125" t="s">
        <v>40</v>
      </c>
      <c r="F125">
        <v>144</v>
      </c>
      <c r="G125">
        <v>9</v>
      </c>
      <c r="H125">
        <v>4.71</v>
      </c>
      <c r="I125">
        <v>0.23</v>
      </c>
      <c r="J125">
        <v>113447</v>
      </c>
      <c r="K125">
        <v>113575</v>
      </c>
      <c r="L125">
        <v>128</v>
      </c>
      <c r="M125">
        <v>0</v>
      </c>
      <c r="N125">
        <v>0.11</v>
      </c>
      <c r="O125">
        <v>2.76</v>
      </c>
      <c r="P125">
        <v>0.23</v>
      </c>
      <c r="Q125">
        <v>54</v>
      </c>
      <c r="R125">
        <v>29.63</v>
      </c>
      <c r="S125">
        <v>70.37</v>
      </c>
      <c r="T125">
        <v>0</v>
      </c>
      <c r="U125">
        <v>0</v>
      </c>
      <c r="V125">
        <v>9.8000000000000007</v>
      </c>
      <c r="W125">
        <v>0</v>
      </c>
      <c r="X125">
        <v>0</v>
      </c>
      <c r="Y125">
        <v>26</v>
      </c>
      <c r="Z125">
        <v>101</v>
      </c>
      <c r="AA125">
        <v>4.34</v>
      </c>
      <c r="AB125">
        <v>0.59</v>
      </c>
      <c r="AC125">
        <v>54</v>
      </c>
      <c r="AD125">
        <v>59.26</v>
      </c>
      <c r="AE125">
        <v>40.74</v>
      </c>
      <c r="AF125">
        <v>0</v>
      </c>
      <c r="AG125">
        <v>0</v>
      </c>
      <c r="AH125">
        <v>14</v>
      </c>
      <c r="AI125">
        <v>0</v>
      </c>
      <c r="AJ125">
        <v>0</v>
      </c>
      <c r="AK125">
        <v>31</v>
      </c>
      <c r="AL125">
        <v>96</v>
      </c>
    </row>
    <row r="126" spans="1:38" x14ac:dyDescent="0.3">
      <c r="A126" t="s">
        <v>38</v>
      </c>
      <c r="B126" t="s">
        <v>113</v>
      </c>
      <c r="C126">
        <v>0</v>
      </c>
      <c r="D126">
        <v>2008</v>
      </c>
      <c r="E126" t="s">
        <v>40</v>
      </c>
      <c r="F126">
        <v>146</v>
      </c>
      <c r="G126">
        <v>35</v>
      </c>
      <c r="H126">
        <v>4.78</v>
      </c>
      <c r="I126">
        <v>0.88</v>
      </c>
      <c r="J126">
        <v>34285</v>
      </c>
      <c r="K126">
        <v>34686</v>
      </c>
      <c r="L126">
        <v>401</v>
      </c>
      <c r="M126">
        <v>0</v>
      </c>
      <c r="N126">
        <v>0.03</v>
      </c>
      <c r="O126">
        <v>1.35</v>
      </c>
      <c r="P126">
        <v>0.16</v>
      </c>
      <c r="Q126">
        <v>346</v>
      </c>
      <c r="R126">
        <v>0</v>
      </c>
      <c r="S126">
        <v>77.75</v>
      </c>
      <c r="T126">
        <v>0.57999999999999996</v>
      </c>
      <c r="U126">
        <v>21.68</v>
      </c>
      <c r="V126">
        <v>40.6</v>
      </c>
      <c r="W126">
        <v>0</v>
      </c>
      <c r="X126">
        <v>1</v>
      </c>
      <c r="Y126">
        <v>5</v>
      </c>
      <c r="Z126">
        <v>294</v>
      </c>
      <c r="AA126">
        <v>9.91</v>
      </c>
      <c r="AB126">
        <v>7.09</v>
      </c>
      <c r="AC126">
        <v>346</v>
      </c>
      <c r="AD126">
        <v>48.27</v>
      </c>
      <c r="AE126">
        <v>8.9600000000000009</v>
      </c>
      <c r="AF126">
        <v>3.47</v>
      </c>
      <c r="AG126">
        <v>39.31</v>
      </c>
      <c r="AH126">
        <v>49.12</v>
      </c>
      <c r="AI126">
        <v>0</v>
      </c>
      <c r="AJ126">
        <v>2</v>
      </c>
      <c r="AK126">
        <v>294</v>
      </c>
      <c r="AL126">
        <v>5</v>
      </c>
    </row>
    <row r="127" spans="1:38" x14ac:dyDescent="0.3">
      <c r="A127" t="s">
        <v>38</v>
      </c>
      <c r="B127" t="s">
        <v>116</v>
      </c>
      <c r="C127">
        <v>0</v>
      </c>
      <c r="D127">
        <v>2008</v>
      </c>
      <c r="E127" t="s">
        <v>40</v>
      </c>
      <c r="F127">
        <v>5</v>
      </c>
      <c r="G127">
        <v>1</v>
      </c>
      <c r="H127">
        <v>0.16</v>
      </c>
      <c r="I127">
        <v>0.03</v>
      </c>
      <c r="J127">
        <v>68</v>
      </c>
      <c r="K127">
        <v>70</v>
      </c>
      <c r="L127">
        <v>2</v>
      </c>
      <c r="M127">
        <v>0</v>
      </c>
      <c r="N127">
        <v>0</v>
      </c>
      <c r="O127">
        <v>0</v>
      </c>
      <c r="P127">
        <v>0</v>
      </c>
      <c r="Q127">
        <v>2</v>
      </c>
      <c r="R127">
        <v>0</v>
      </c>
      <c r="S127">
        <v>100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</v>
      </c>
      <c r="AA127">
        <v>0</v>
      </c>
      <c r="AB127">
        <v>0</v>
      </c>
      <c r="AC127">
        <v>2</v>
      </c>
      <c r="AD127">
        <v>0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</v>
      </c>
    </row>
    <row r="128" spans="1:38" x14ac:dyDescent="0.3">
      <c r="A128" t="s">
        <v>38</v>
      </c>
      <c r="B128" t="s">
        <v>118</v>
      </c>
      <c r="C128">
        <v>0</v>
      </c>
      <c r="D128">
        <v>2008</v>
      </c>
      <c r="E128" t="s">
        <v>40</v>
      </c>
      <c r="F128">
        <v>27</v>
      </c>
      <c r="G128">
        <v>60</v>
      </c>
      <c r="H128">
        <v>0.88</v>
      </c>
      <c r="I128">
        <v>1.51</v>
      </c>
      <c r="J128">
        <v>-1136</v>
      </c>
      <c r="K128">
        <v>1889</v>
      </c>
      <c r="L128">
        <v>3025</v>
      </c>
      <c r="M128">
        <v>0</v>
      </c>
      <c r="N128">
        <v>0</v>
      </c>
      <c r="O128">
        <v>0.05</v>
      </c>
      <c r="P128">
        <v>0.01</v>
      </c>
      <c r="Q128">
        <v>218</v>
      </c>
      <c r="R128">
        <v>0</v>
      </c>
      <c r="S128">
        <v>91.28</v>
      </c>
      <c r="T128">
        <v>7.34</v>
      </c>
      <c r="U128">
        <v>1.38</v>
      </c>
      <c r="V128">
        <v>12.68</v>
      </c>
      <c r="W128">
        <v>0</v>
      </c>
      <c r="X128">
        <v>18</v>
      </c>
      <c r="Y128">
        <v>18</v>
      </c>
      <c r="Z128">
        <v>2986</v>
      </c>
      <c r="AA128">
        <v>5.0199999999999996</v>
      </c>
      <c r="AB128">
        <v>2.9</v>
      </c>
      <c r="AC128">
        <v>218</v>
      </c>
      <c r="AD128">
        <v>68.81</v>
      </c>
      <c r="AE128">
        <v>22.48</v>
      </c>
      <c r="AF128">
        <v>7.34</v>
      </c>
      <c r="AG128">
        <v>1.38</v>
      </c>
      <c r="AH128">
        <v>18</v>
      </c>
      <c r="AI128">
        <v>0</v>
      </c>
      <c r="AJ128">
        <v>18</v>
      </c>
      <c r="AK128">
        <v>2440</v>
      </c>
      <c r="AL128">
        <v>564</v>
      </c>
    </row>
    <row r="129" spans="1:38" x14ac:dyDescent="0.3">
      <c r="A129" t="s">
        <v>38</v>
      </c>
      <c r="B129" t="s">
        <v>121</v>
      </c>
      <c r="C129">
        <v>0</v>
      </c>
      <c r="D129">
        <v>2008</v>
      </c>
      <c r="E129" t="s">
        <v>40</v>
      </c>
      <c r="F129">
        <v>19</v>
      </c>
      <c r="G129">
        <v>1</v>
      </c>
      <c r="H129">
        <v>0.62</v>
      </c>
      <c r="I129">
        <v>0.03</v>
      </c>
      <c r="J129">
        <v>800</v>
      </c>
      <c r="K129">
        <v>801</v>
      </c>
      <c r="L129">
        <v>1</v>
      </c>
      <c r="M129">
        <v>0</v>
      </c>
      <c r="N129">
        <v>0</v>
      </c>
    </row>
    <row r="130" spans="1:38" x14ac:dyDescent="0.3">
      <c r="A130" t="s">
        <v>38</v>
      </c>
      <c r="B130" t="s">
        <v>245</v>
      </c>
      <c r="C130">
        <v>0</v>
      </c>
      <c r="D130">
        <v>2008</v>
      </c>
      <c r="E130" t="s">
        <v>40</v>
      </c>
      <c r="G130">
        <v>2</v>
      </c>
      <c r="I130">
        <v>0.05</v>
      </c>
      <c r="L130">
        <v>25</v>
      </c>
      <c r="M130">
        <v>0</v>
      </c>
      <c r="O130">
        <v>0</v>
      </c>
      <c r="P130">
        <v>0</v>
      </c>
      <c r="Q130">
        <v>4</v>
      </c>
      <c r="R130">
        <v>0</v>
      </c>
      <c r="S130">
        <v>100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25</v>
      </c>
      <c r="AA130">
        <v>2.0499999999999998</v>
      </c>
      <c r="AB130">
        <v>1.45</v>
      </c>
      <c r="AC130">
        <v>4</v>
      </c>
      <c r="AD130">
        <v>75</v>
      </c>
      <c r="AE130">
        <v>25</v>
      </c>
      <c r="AF130">
        <v>0</v>
      </c>
      <c r="AG130">
        <v>0</v>
      </c>
      <c r="AH130">
        <v>2.8</v>
      </c>
      <c r="AI130">
        <v>0</v>
      </c>
      <c r="AJ130">
        <v>0</v>
      </c>
      <c r="AK130">
        <v>25</v>
      </c>
      <c r="AL130">
        <v>0</v>
      </c>
    </row>
    <row r="131" spans="1:38" x14ac:dyDescent="0.3">
      <c r="A131" t="s">
        <v>38</v>
      </c>
      <c r="B131" t="s">
        <v>126</v>
      </c>
      <c r="C131">
        <v>0</v>
      </c>
      <c r="D131">
        <v>2008</v>
      </c>
      <c r="E131" t="s">
        <v>40</v>
      </c>
      <c r="F131">
        <v>1</v>
      </c>
      <c r="G131">
        <v>18</v>
      </c>
      <c r="H131">
        <v>0.03</v>
      </c>
      <c r="I131">
        <v>0.45</v>
      </c>
      <c r="J131">
        <v>-333</v>
      </c>
      <c r="K131">
        <v>7</v>
      </c>
      <c r="L131">
        <v>340</v>
      </c>
      <c r="M131">
        <v>0</v>
      </c>
      <c r="N131">
        <v>0</v>
      </c>
      <c r="O131">
        <v>10.1</v>
      </c>
      <c r="P131">
        <v>11.87</v>
      </c>
      <c r="Q131">
        <v>84</v>
      </c>
      <c r="R131">
        <v>79.760000000000005</v>
      </c>
      <c r="S131">
        <v>20.239999999999998</v>
      </c>
      <c r="T131">
        <v>0</v>
      </c>
      <c r="U131">
        <v>0</v>
      </c>
      <c r="V131">
        <v>12</v>
      </c>
      <c r="W131">
        <v>0</v>
      </c>
      <c r="X131">
        <v>0</v>
      </c>
      <c r="Y131">
        <v>337</v>
      </c>
      <c r="Z131">
        <v>2</v>
      </c>
      <c r="AA131">
        <v>10.1</v>
      </c>
      <c r="AB131">
        <v>11.87</v>
      </c>
      <c r="AC131">
        <v>84</v>
      </c>
      <c r="AD131">
        <v>79.760000000000005</v>
      </c>
      <c r="AE131">
        <v>20.239999999999998</v>
      </c>
      <c r="AF131">
        <v>0</v>
      </c>
      <c r="AG131">
        <v>0</v>
      </c>
      <c r="AH131">
        <v>12</v>
      </c>
      <c r="AI131">
        <v>0</v>
      </c>
      <c r="AJ131">
        <v>0</v>
      </c>
      <c r="AK131">
        <v>337</v>
      </c>
      <c r="AL131">
        <v>2</v>
      </c>
    </row>
    <row r="132" spans="1:38" x14ac:dyDescent="0.3">
      <c r="A132" t="s">
        <v>38</v>
      </c>
      <c r="B132" t="s">
        <v>127</v>
      </c>
      <c r="C132">
        <v>0</v>
      </c>
      <c r="D132">
        <v>2008</v>
      </c>
      <c r="E132" t="s">
        <v>40</v>
      </c>
      <c r="F132">
        <v>67</v>
      </c>
      <c r="G132">
        <v>5</v>
      </c>
      <c r="H132">
        <v>2.19</v>
      </c>
      <c r="I132">
        <v>0.13</v>
      </c>
      <c r="J132">
        <v>4015</v>
      </c>
      <c r="K132">
        <v>4046</v>
      </c>
      <c r="L132">
        <v>31</v>
      </c>
      <c r="M132">
        <v>0</v>
      </c>
      <c r="N132">
        <v>0</v>
      </c>
      <c r="O132">
        <v>0</v>
      </c>
      <c r="P132">
        <v>0</v>
      </c>
      <c r="Q132">
        <v>17</v>
      </c>
      <c r="R132">
        <v>0</v>
      </c>
      <c r="S132">
        <v>100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26</v>
      </c>
      <c r="AA132">
        <v>3.68</v>
      </c>
      <c r="AB132">
        <v>3.57</v>
      </c>
      <c r="AC132">
        <v>17</v>
      </c>
      <c r="AD132">
        <v>35.29</v>
      </c>
      <c r="AE132">
        <v>64.709999999999994</v>
      </c>
      <c r="AF132">
        <v>0</v>
      </c>
      <c r="AG132">
        <v>0</v>
      </c>
      <c r="AH132">
        <v>12</v>
      </c>
      <c r="AI132">
        <v>0</v>
      </c>
      <c r="AJ132">
        <v>0</v>
      </c>
      <c r="AK132">
        <v>24</v>
      </c>
      <c r="AL132">
        <v>2</v>
      </c>
    </row>
    <row r="133" spans="1:38" x14ac:dyDescent="0.3">
      <c r="A133" t="s">
        <v>38</v>
      </c>
      <c r="B133" t="s">
        <v>224</v>
      </c>
      <c r="C133">
        <v>0</v>
      </c>
      <c r="D133">
        <v>2008</v>
      </c>
      <c r="E133" t="s">
        <v>40</v>
      </c>
      <c r="F133">
        <v>20</v>
      </c>
      <c r="G133">
        <v>1</v>
      </c>
      <c r="H133">
        <v>0.65</v>
      </c>
      <c r="I133">
        <v>0.03</v>
      </c>
      <c r="J133">
        <v>880</v>
      </c>
      <c r="K133">
        <v>1089</v>
      </c>
      <c r="L133">
        <v>209</v>
      </c>
      <c r="M133">
        <v>0</v>
      </c>
      <c r="N133">
        <v>0</v>
      </c>
      <c r="O133">
        <v>0</v>
      </c>
      <c r="P133">
        <v>0</v>
      </c>
      <c r="Q133">
        <v>15</v>
      </c>
      <c r="R133">
        <v>0</v>
      </c>
      <c r="S133">
        <v>100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209</v>
      </c>
      <c r="AA133">
        <v>9.24</v>
      </c>
      <c r="AB133">
        <v>9.24</v>
      </c>
      <c r="AC133">
        <v>15</v>
      </c>
      <c r="AD133">
        <v>0</v>
      </c>
      <c r="AE133">
        <v>0</v>
      </c>
      <c r="AF133">
        <v>0</v>
      </c>
      <c r="AG133">
        <v>100</v>
      </c>
      <c r="AH133">
        <v>11.2</v>
      </c>
      <c r="AI133">
        <v>6.99</v>
      </c>
      <c r="AJ133">
        <v>0</v>
      </c>
      <c r="AK133">
        <v>209</v>
      </c>
      <c r="AL133">
        <v>0</v>
      </c>
    </row>
    <row r="134" spans="1:38" x14ac:dyDescent="0.3">
      <c r="A134" t="s">
        <v>38</v>
      </c>
      <c r="B134" t="s">
        <v>129</v>
      </c>
      <c r="C134">
        <v>0</v>
      </c>
      <c r="D134">
        <v>2008</v>
      </c>
      <c r="E134" t="s">
        <v>40</v>
      </c>
      <c r="F134">
        <v>54</v>
      </c>
      <c r="G134">
        <v>14</v>
      </c>
      <c r="H134">
        <v>1.77</v>
      </c>
      <c r="I134">
        <v>0.35</v>
      </c>
      <c r="J134">
        <v>10847</v>
      </c>
      <c r="K134">
        <v>13396</v>
      </c>
      <c r="L134">
        <v>2549</v>
      </c>
      <c r="M134">
        <v>0</v>
      </c>
      <c r="N134">
        <v>0.01</v>
      </c>
      <c r="O134">
        <v>0</v>
      </c>
      <c r="P134">
        <v>0</v>
      </c>
      <c r="Q134">
        <v>102</v>
      </c>
      <c r="R134">
        <v>0</v>
      </c>
      <c r="S134">
        <v>100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2547</v>
      </c>
      <c r="AA134">
        <v>1.6</v>
      </c>
      <c r="AB134">
        <v>0.51</v>
      </c>
      <c r="AC134">
        <v>102</v>
      </c>
      <c r="AD134">
        <v>69.61</v>
      </c>
      <c r="AE134">
        <v>30.39</v>
      </c>
      <c r="AF134">
        <v>0</v>
      </c>
      <c r="AG134">
        <v>0</v>
      </c>
      <c r="AH134">
        <v>8</v>
      </c>
      <c r="AI134">
        <v>0</v>
      </c>
      <c r="AJ134">
        <v>0</v>
      </c>
      <c r="AK134">
        <v>699</v>
      </c>
      <c r="AL134">
        <v>1848</v>
      </c>
    </row>
    <row r="135" spans="1:38" x14ac:dyDescent="0.3">
      <c r="A135" t="s">
        <v>38</v>
      </c>
      <c r="B135" t="s">
        <v>130</v>
      </c>
      <c r="C135">
        <v>0</v>
      </c>
      <c r="D135">
        <v>2008</v>
      </c>
      <c r="E135" t="s">
        <v>40</v>
      </c>
      <c r="F135">
        <v>7</v>
      </c>
      <c r="G135">
        <v>4</v>
      </c>
      <c r="H135">
        <v>0.23</v>
      </c>
      <c r="I135">
        <v>0.1</v>
      </c>
      <c r="J135">
        <v>-1830</v>
      </c>
      <c r="K135">
        <v>267</v>
      </c>
      <c r="L135">
        <v>2097</v>
      </c>
      <c r="M135">
        <v>0</v>
      </c>
      <c r="N135">
        <v>0</v>
      </c>
      <c r="O135">
        <v>0</v>
      </c>
      <c r="P135">
        <v>0</v>
      </c>
      <c r="Q135">
        <v>18</v>
      </c>
      <c r="R135">
        <v>0</v>
      </c>
      <c r="S135">
        <v>100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1902</v>
      </c>
      <c r="AA135">
        <v>33.58</v>
      </c>
      <c r="AB135">
        <v>13.74</v>
      </c>
      <c r="AC135">
        <v>18</v>
      </c>
      <c r="AD135">
        <v>16.670000000000002</v>
      </c>
      <c r="AE135">
        <v>0</v>
      </c>
      <c r="AF135">
        <v>0</v>
      </c>
      <c r="AG135">
        <v>83.33</v>
      </c>
      <c r="AH135">
        <v>74.900000000000006</v>
      </c>
      <c r="AI135">
        <v>6.99</v>
      </c>
      <c r="AJ135">
        <v>0</v>
      </c>
      <c r="AK135">
        <v>1902</v>
      </c>
      <c r="AL135">
        <v>0</v>
      </c>
    </row>
    <row r="136" spans="1:38" x14ac:dyDescent="0.3">
      <c r="A136" t="s">
        <v>38</v>
      </c>
      <c r="B136" t="s">
        <v>226</v>
      </c>
      <c r="C136">
        <v>0</v>
      </c>
      <c r="D136">
        <v>2008</v>
      </c>
      <c r="E136" t="s">
        <v>40</v>
      </c>
      <c r="F136">
        <v>13</v>
      </c>
      <c r="G136">
        <v>10</v>
      </c>
      <c r="H136">
        <v>0.43</v>
      </c>
      <c r="I136">
        <v>0.25</v>
      </c>
      <c r="J136">
        <v>1553</v>
      </c>
      <c r="K136">
        <v>1819</v>
      </c>
      <c r="L136">
        <v>266</v>
      </c>
      <c r="M136">
        <v>0</v>
      </c>
      <c r="N136">
        <v>0</v>
      </c>
      <c r="O136">
        <v>0</v>
      </c>
      <c r="P136">
        <v>0</v>
      </c>
      <c r="Q136">
        <v>28</v>
      </c>
      <c r="R136">
        <v>0</v>
      </c>
      <c r="S136">
        <v>100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175</v>
      </c>
      <c r="AA136">
        <v>0.82</v>
      </c>
      <c r="AB136">
        <v>0.69</v>
      </c>
      <c r="AC136">
        <v>28</v>
      </c>
      <c r="AD136">
        <v>28.57</v>
      </c>
      <c r="AE136">
        <v>71.430000000000007</v>
      </c>
      <c r="AF136">
        <v>0</v>
      </c>
      <c r="AG136">
        <v>0</v>
      </c>
      <c r="AH136">
        <v>6.5</v>
      </c>
      <c r="AI136">
        <v>0</v>
      </c>
      <c r="AJ136">
        <v>0</v>
      </c>
      <c r="AK136">
        <v>95</v>
      </c>
      <c r="AL136">
        <v>80</v>
      </c>
    </row>
    <row r="137" spans="1:38" x14ac:dyDescent="0.3">
      <c r="A137" t="s">
        <v>38</v>
      </c>
      <c r="B137" t="s">
        <v>227</v>
      </c>
      <c r="C137">
        <v>0</v>
      </c>
      <c r="D137">
        <v>2008</v>
      </c>
      <c r="E137" t="s">
        <v>40</v>
      </c>
      <c r="F137">
        <v>14</v>
      </c>
      <c r="G137">
        <v>1</v>
      </c>
      <c r="H137">
        <v>0.46</v>
      </c>
      <c r="I137">
        <v>0.03</v>
      </c>
      <c r="J137">
        <v>260</v>
      </c>
      <c r="K137">
        <v>261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7</v>
      </c>
      <c r="R137">
        <v>0</v>
      </c>
      <c r="S137">
        <v>100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1.23</v>
      </c>
      <c r="AB137">
        <v>1.23</v>
      </c>
      <c r="AC137">
        <v>7</v>
      </c>
      <c r="AD137">
        <v>28.57</v>
      </c>
      <c r="AE137">
        <v>71.430000000000007</v>
      </c>
      <c r="AF137">
        <v>0</v>
      </c>
      <c r="AG137">
        <v>0</v>
      </c>
      <c r="AH137">
        <v>5</v>
      </c>
      <c r="AI137">
        <v>0</v>
      </c>
      <c r="AJ137">
        <v>0</v>
      </c>
      <c r="AK137">
        <v>1</v>
      </c>
      <c r="AL137">
        <v>0</v>
      </c>
    </row>
    <row r="138" spans="1:38" x14ac:dyDescent="0.3">
      <c r="A138" t="s">
        <v>38</v>
      </c>
      <c r="B138" t="s">
        <v>133</v>
      </c>
      <c r="C138">
        <v>0</v>
      </c>
      <c r="D138">
        <v>2008</v>
      </c>
      <c r="E138" t="s">
        <v>40</v>
      </c>
      <c r="F138">
        <v>3</v>
      </c>
      <c r="G138">
        <v>6</v>
      </c>
      <c r="H138">
        <v>0.1</v>
      </c>
      <c r="I138">
        <v>0.15</v>
      </c>
      <c r="J138">
        <v>-936</v>
      </c>
      <c r="K138">
        <v>353</v>
      </c>
      <c r="L138">
        <v>1289</v>
      </c>
      <c r="M138">
        <v>0</v>
      </c>
      <c r="N138">
        <v>0</v>
      </c>
      <c r="O138">
        <v>0</v>
      </c>
      <c r="P138">
        <v>0</v>
      </c>
      <c r="Q138">
        <v>8</v>
      </c>
      <c r="R138">
        <v>0</v>
      </c>
      <c r="S138">
        <v>100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1288</v>
      </c>
      <c r="AA138">
        <v>0</v>
      </c>
      <c r="AB138">
        <v>0</v>
      </c>
      <c r="AC138">
        <v>8</v>
      </c>
      <c r="AD138">
        <v>0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1288</v>
      </c>
    </row>
    <row r="139" spans="1:38" x14ac:dyDescent="0.3">
      <c r="A139" t="s">
        <v>38</v>
      </c>
      <c r="B139" t="s">
        <v>134</v>
      </c>
      <c r="C139">
        <v>0</v>
      </c>
      <c r="D139">
        <v>2008</v>
      </c>
      <c r="E139" t="s">
        <v>40</v>
      </c>
      <c r="F139">
        <v>86</v>
      </c>
      <c r="G139">
        <v>14</v>
      </c>
      <c r="H139">
        <v>2.81</v>
      </c>
      <c r="I139">
        <v>0.35</v>
      </c>
      <c r="J139">
        <v>115407</v>
      </c>
      <c r="K139">
        <v>115670</v>
      </c>
      <c r="L139">
        <v>263</v>
      </c>
      <c r="M139">
        <v>0</v>
      </c>
      <c r="N139">
        <v>0.11</v>
      </c>
      <c r="O139">
        <v>0</v>
      </c>
      <c r="P139">
        <v>0</v>
      </c>
      <c r="Q139">
        <v>69</v>
      </c>
      <c r="R139">
        <v>0</v>
      </c>
      <c r="S139">
        <v>100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242</v>
      </c>
      <c r="AA139">
        <v>3.48</v>
      </c>
      <c r="AB139">
        <v>0.46</v>
      </c>
      <c r="AC139">
        <v>69</v>
      </c>
      <c r="AD139">
        <v>46.38</v>
      </c>
      <c r="AE139">
        <v>40.58</v>
      </c>
      <c r="AF139">
        <v>0</v>
      </c>
      <c r="AG139">
        <v>13.04</v>
      </c>
      <c r="AH139">
        <v>58.2</v>
      </c>
      <c r="AI139">
        <v>0</v>
      </c>
      <c r="AJ139">
        <v>0</v>
      </c>
      <c r="AK139">
        <v>60</v>
      </c>
      <c r="AL139">
        <v>182</v>
      </c>
    </row>
    <row r="140" spans="1:38" x14ac:dyDescent="0.3">
      <c r="A140" t="s">
        <v>38</v>
      </c>
      <c r="B140" t="s">
        <v>138</v>
      </c>
      <c r="C140">
        <v>0</v>
      </c>
      <c r="D140">
        <v>2008</v>
      </c>
      <c r="E140" t="s">
        <v>40</v>
      </c>
      <c r="F140">
        <v>17</v>
      </c>
      <c r="G140">
        <v>29</v>
      </c>
      <c r="H140">
        <v>0.56000000000000005</v>
      </c>
      <c r="I140">
        <v>0.73</v>
      </c>
      <c r="J140">
        <v>-12</v>
      </c>
      <c r="K140">
        <v>220</v>
      </c>
      <c r="L140">
        <v>232</v>
      </c>
      <c r="M140">
        <v>0</v>
      </c>
      <c r="N140">
        <v>0</v>
      </c>
      <c r="O140">
        <v>0</v>
      </c>
      <c r="P140">
        <v>0</v>
      </c>
      <c r="Q140">
        <v>105</v>
      </c>
      <c r="R140">
        <v>0</v>
      </c>
      <c r="S140">
        <v>100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224</v>
      </c>
      <c r="AA140">
        <v>5.98</v>
      </c>
      <c r="AB140">
        <v>3.02</v>
      </c>
      <c r="AC140">
        <v>105</v>
      </c>
      <c r="AD140">
        <v>85.71</v>
      </c>
      <c r="AE140">
        <v>13.33</v>
      </c>
      <c r="AF140">
        <v>0</v>
      </c>
      <c r="AG140">
        <v>0.95</v>
      </c>
      <c r="AH140">
        <v>12</v>
      </c>
      <c r="AI140">
        <v>0</v>
      </c>
      <c r="AJ140">
        <v>0</v>
      </c>
      <c r="AK140">
        <v>189</v>
      </c>
      <c r="AL140">
        <v>35</v>
      </c>
    </row>
    <row r="141" spans="1:38" x14ac:dyDescent="0.3">
      <c r="A141" t="s">
        <v>38</v>
      </c>
      <c r="B141" t="s">
        <v>140</v>
      </c>
      <c r="C141">
        <v>0</v>
      </c>
      <c r="D141">
        <v>2008</v>
      </c>
      <c r="E141" t="s">
        <v>40</v>
      </c>
      <c r="F141">
        <v>172</v>
      </c>
      <c r="G141">
        <v>122</v>
      </c>
      <c r="H141">
        <v>5.63</v>
      </c>
      <c r="I141">
        <v>3.07</v>
      </c>
      <c r="J141">
        <v>13489</v>
      </c>
      <c r="K141">
        <v>15863</v>
      </c>
      <c r="L141">
        <v>2374</v>
      </c>
      <c r="M141">
        <v>0</v>
      </c>
      <c r="N141">
        <v>0.01</v>
      </c>
      <c r="O141">
        <v>3.34</v>
      </c>
      <c r="P141">
        <v>1.96</v>
      </c>
      <c r="Q141">
        <v>598</v>
      </c>
      <c r="R141">
        <v>64.72</v>
      </c>
      <c r="S141">
        <v>29.43</v>
      </c>
      <c r="T141">
        <v>2.34</v>
      </c>
      <c r="U141">
        <v>3.51</v>
      </c>
      <c r="V141">
        <v>174.79</v>
      </c>
      <c r="W141">
        <v>0</v>
      </c>
      <c r="X141">
        <v>9</v>
      </c>
      <c r="Y141">
        <v>1206</v>
      </c>
      <c r="Z141">
        <v>1114</v>
      </c>
      <c r="AA141">
        <v>3.34</v>
      </c>
      <c r="AB141">
        <v>1.96</v>
      </c>
      <c r="AC141">
        <v>598</v>
      </c>
      <c r="AD141">
        <v>64.72</v>
      </c>
      <c r="AE141">
        <v>29.43</v>
      </c>
      <c r="AF141">
        <v>2.34</v>
      </c>
      <c r="AG141">
        <v>3.51</v>
      </c>
      <c r="AH141">
        <v>174.79</v>
      </c>
      <c r="AI141">
        <v>0</v>
      </c>
      <c r="AJ141">
        <v>9</v>
      </c>
      <c r="AK141">
        <v>1206</v>
      </c>
      <c r="AL141">
        <v>1114</v>
      </c>
    </row>
    <row r="142" spans="1:38" x14ac:dyDescent="0.3">
      <c r="A142" t="s">
        <v>38</v>
      </c>
      <c r="B142" t="s">
        <v>228</v>
      </c>
      <c r="C142">
        <v>0</v>
      </c>
      <c r="D142">
        <v>2008</v>
      </c>
      <c r="E142" t="s">
        <v>40</v>
      </c>
      <c r="F142">
        <v>145</v>
      </c>
      <c r="G142">
        <v>18</v>
      </c>
      <c r="H142">
        <v>4.74</v>
      </c>
      <c r="I142">
        <v>0.45</v>
      </c>
      <c r="J142">
        <v>43130</v>
      </c>
      <c r="K142">
        <v>43369</v>
      </c>
      <c r="L142">
        <v>239</v>
      </c>
      <c r="M142">
        <v>0</v>
      </c>
      <c r="N142">
        <v>0.04</v>
      </c>
      <c r="O142">
        <v>0.01</v>
      </c>
      <c r="P142">
        <v>0.01</v>
      </c>
      <c r="Q142">
        <v>91</v>
      </c>
      <c r="R142">
        <v>1.1000000000000001</v>
      </c>
      <c r="S142">
        <v>98.9</v>
      </c>
      <c r="T142">
        <v>0</v>
      </c>
      <c r="U142">
        <v>0</v>
      </c>
      <c r="V142">
        <v>1.5</v>
      </c>
      <c r="W142">
        <v>0</v>
      </c>
      <c r="X142">
        <v>0</v>
      </c>
      <c r="Y142">
        <v>8</v>
      </c>
      <c r="Z142">
        <v>228</v>
      </c>
      <c r="AA142">
        <v>1.18</v>
      </c>
      <c r="AB142">
        <v>0.22</v>
      </c>
      <c r="AC142">
        <v>91</v>
      </c>
      <c r="AD142">
        <v>70.33</v>
      </c>
      <c r="AE142">
        <v>29.67</v>
      </c>
      <c r="AF142">
        <v>0</v>
      </c>
      <c r="AG142">
        <v>0</v>
      </c>
      <c r="AH142">
        <v>5</v>
      </c>
      <c r="AI142">
        <v>0</v>
      </c>
      <c r="AJ142">
        <v>0</v>
      </c>
      <c r="AK142">
        <v>42</v>
      </c>
      <c r="AL142">
        <v>194</v>
      </c>
    </row>
    <row r="143" spans="1:38" x14ac:dyDescent="0.3">
      <c r="A143" t="s">
        <v>38</v>
      </c>
      <c r="B143" t="s">
        <v>143</v>
      </c>
      <c r="C143">
        <v>0</v>
      </c>
      <c r="D143">
        <v>2008</v>
      </c>
      <c r="E143" t="s">
        <v>40</v>
      </c>
      <c r="F143">
        <v>46</v>
      </c>
      <c r="G143">
        <v>17</v>
      </c>
      <c r="H143">
        <v>1.5</v>
      </c>
      <c r="I143">
        <v>0.43</v>
      </c>
      <c r="J143">
        <v>3291</v>
      </c>
      <c r="K143">
        <v>3394</v>
      </c>
      <c r="L143">
        <v>103</v>
      </c>
      <c r="M143">
        <v>0</v>
      </c>
      <c r="N143">
        <v>0</v>
      </c>
      <c r="O143">
        <v>0</v>
      </c>
      <c r="P143">
        <v>0</v>
      </c>
      <c r="Q143">
        <v>52</v>
      </c>
      <c r="R143">
        <v>0</v>
      </c>
      <c r="S143">
        <v>100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101</v>
      </c>
      <c r="AA143">
        <v>3.12</v>
      </c>
      <c r="AB143">
        <v>2.2200000000000002</v>
      </c>
      <c r="AC143">
        <v>52</v>
      </c>
      <c r="AD143">
        <v>53.85</v>
      </c>
      <c r="AE143">
        <v>46.15</v>
      </c>
      <c r="AF143">
        <v>0</v>
      </c>
      <c r="AG143">
        <v>0</v>
      </c>
      <c r="AH143">
        <v>12</v>
      </c>
      <c r="AI143">
        <v>0</v>
      </c>
      <c r="AJ143">
        <v>0</v>
      </c>
      <c r="AK143">
        <v>61</v>
      </c>
      <c r="AL143">
        <v>40</v>
      </c>
    </row>
    <row r="144" spans="1:38" x14ac:dyDescent="0.3">
      <c r="A144" t="s">
        <v>38</v>
      </c>
      <c r="B144" t="s">
        <v>144</v>
      </c>
      <c r="C144">
        <v>0</v>
      </c>
      <c r="D144">
        <v>2008</v>
      </c>
      <c r="E144" t="s">
        <v>40</v>
      </c>
      <c r="F144">
        <v>99</v>
      </c>
      <c r="G144">
        <v>46</v>
      </c>
      <c r="H144">
        <v>3.24</v>
      </c>
      <c r="I144">
        <v>1.1599999999999999</v>
      </c>
      <c r="J144">
        <v>7696</v>
      </c>
      <c r="K144">
        <v>8768</v>
      </c>
      <c r="L144">
        <v>1072</v>
      </c>
      <c r="M144">
        <v>0</v>
      </c>
      <c r="N144">
        <v>0.01</v>
      </c>
      <c r="O144">
        <v>0.06</v>
      </c>
      <c r="P144">
        <v>0.01</v>
      </c>
      <c r="Q144">
        <v>171</v>
      </c>
      <c r="R144">
        <v>0</v>
      </c>
      <c r="S144">
        <v>90.06</v>
      </c>
      <c r="T144">
        <v>8.19</v>
      </c>
      <c r="U144">
        <v>1.75</v>
      </c>
      <c r="V144">
        <v>12.68</v>
      </c>
      <c r="W144">
        <v>0</v>
      </c>
      <c r="X144">
        <v>2</v>
      </c>
      <c r="Y144">
        <v>2</v>
      </c>
      <c r="Z144">
        <v>555</v>
      </c>
      <c r="AA144">
        <v>5.75</v>
      </c>
      <c r="AB144">
        <v>5.38</v>
      </c>
      <c r="AC144">
        <v>171</v>
      </c>
      <c r="AD144">
        <v>68.42</v>
      </c>
      <c r="AE144">
        <v>21.64</v>
      </c>
      <c r="AF144">
        <v>8.19</v>
      </c>
      <c r="AG144">
        <v>1.75</v>
      </c>
      <c r="AH144">
        <v>17.3</v>
      </c>
      <c r="AI144">
        <v>0</v>
      </c>
      <c r="AJ144">
        <v>2</v>
      </c>
      <c r="AK144">
        <v>537</v>
      </c>
      <c r="AL144">
        <v>20</v>
      </c>
    </row>
    <row r="145" spans="1:38" x14ac:dyDescent="0.3">
      <c r="A145" t="s">
        <v>38</v>
      </c>
      <c r="B145" t="s">
        <v>148</v>
      </c>
      <c r="C145">
        <v>0</v>
      </c>
      <c r="D145">
        <v>2008</v>
      </c>
      <c r="E145" t="s">
        <v>40</v>
      </c>
      <c r="F145">
        <v>10</v>
      </c>
      <c r="G145">
        <v>2</v>
      </c>
      <c r="H145">
        <v>0.33</v>
      </c>
      <c r="I145">
        <v>0.05</v>
      </c>
      <c r="J145">
        <v>277</v>
      </c>
      <c r="K145">
        <v>310</v>
      </c>
      <c r="L145">
        <v>33</v>
      </c>
      <c r="M145">
        <v>0</v>
      </c>
      <c r="N145">
        <v>0</v>
      </c>
      <c r="O145">
        <v>0</v>
      </c>
      <c r="P145">
        <v>0</v>
      </c>
      <c r="Q145">
        <v>2</v>
      </c>
      <c r="R145">
        <v>0</v>
      </c>
      <c r="S145">
        <v>100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33</v>
      </c>
      <c r="AA145">
        <v>0</v>
      </c>
      <c r="AB145">
        <v>0</v>
      </c>
      <c r="AC145">
        <v>2</v>
      </c>
      <c r="AD145">
        <v>0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33</v>
      </c>
    </row>
    <row r="146" spans="1:38" x14ac:dyDescent="0.3">
      <c r="A146" t="s">
        <v>38</v>
      </c>
      <c r="B146" t="s">
        <v>150</v>
      </c>
      <c r="C146">
        <v>0</v>
      </c>
      <c r="D146">
        <v>2008</v>
      </c>
      <c r="E146" t="s">
        <v>40</v>
      </c>
      <c r="F146">
        <v>11</v>
      </c>
      <c r="G146">
        <v>2</v>
      </c>
      <c r="H146">
        <v>0.36</v>
      </c>
      <c r="I146">
        <v>0.05</v>
      </c>
      <c r="J146">
        <v>505</v>
      </c>
      <c r="K146">
        <v>521</v>
      </c>
      <c r="L146">
        <v>16</v>
      </c>
      <c r="M146">
        <v>0</v>
      </c>
      <c r="N146">
        <v>0</v>
      </c>
      <c r="O146">
        <v>0</v>
      </c>
      <c r="P146">
        <v>0</v>
      </c>
      <c r="Q146">
        <v>4</v>
      </c>
      <c r="R146">
        <v>0</v>
      </c>
      <c r="S146">
        <v>100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16</v>
      </c>
      <c r="AA146">
        <v>1.6</v>
      </c>
      <c r="AB146">
        <v>0.2</v>
      </c>
      <c r="AC146">
        <v>4</v>
      </c>
      <c r="AD146">
        <v>50</v>
      </c>
      <c r="AE146">
        <v>50</v>
      </c>
      <c r="AF146">
        <v>0</v>
      </c>
      <c r="AG146">
        <v>0</v>
      </c>
      <c r="AH146">
        <v>3.2</v>
      </c>
      <c r="AI146">
        <v>0</v>
      </c>
      <c r="AJ146">
        <v>0</v>
      </c>
      <c r="AK146">
        <v>1</v>
      </c>
      <c r="AL146">
        <v>15</v>
      </c>
    </row>
    <row r="147" spans="1:38" x14ac:dyDescent="0.3">
      <c r="A147" t="s">
        <v>38</v>
      </c>
      <c r="B147" t="s">
        <v>151</v>
      </c>
      <c r="C147">
        <v>0</v>
      </c>
      <c r="D147">
        <v>2008</v>
      </c>
      <c r="E147" t="s">
        <v>40</v>
      </c>
      <c r="F147">
        <v>120</v>
      </c>
      <c r="G147">
        <v>6</v>
      </c>
      <c r="H147">
        <v>3.93</v>
      </c>
      <c r="I147">
        <v>0.15</v>
      </c>
      <c r="J147">
        <v>39908</v>
      </c>
      <c r="K147">
        <v>41062</v>
      </c>
      <c r="L147">
        <v>1154</v>
      </c>
      <c r="M147">
        <v>0</v>
      </c>
      <c r="N147">
        <v>0.04</v>
      </c>
      <c r="O147">
        <v>1.47</v>
      </c>
      <c r="P147">
        <v>0.81</v>
      </c>
      <c r="Q147">
        <v>63</v>
      </c>
      <c r="R147">
        <v>85.71</v>
      </c>
      <c r="S147">
        <v>14.29</v>
      </c>
      <c r="T147">
        <v>0</v>
      </c>
      <c r="U147">
        <v>0</v>
      </c>
      <c r="V147">
        <v>4.5</v>
      </c>
      <c r="W147">
        <v>0</v>
      </c>
      <c r="X147">
        <v>0</v>
      </c>
      <c r="Y147">
        <v>307</v>
      </c>
      <c r="Z147">
        <v>835</v>
      </c>
      <c r="AA147">
        <v>3.08</v>
      </c>
      <c r="AB147">
        <v>1.74</v>
      </c>
      <c r="AC147">
        <v>63</v>
      </c>
      <c r="AD147">
        <v>87.3</v>
      </c>
      <c r="AE147">
        <v>12.7</v>
      </c>
      <c r="AF147">
        <v>0</v>
      </c>
      <c r="AG147">
        <v>0</v>
      </c>
      <c r="AH147">
        <v>8</v>
      </c>
      <c r="AI147">
        <v>0</v>
      </c>
      <c r="AJ147">
        <v>0</v>
      </c>
      <c r="AK147">
        <v>307</v>
      </c>
      <c r="AL147">
        <v>835</v>
      </c>
    </row>
    <row r="148" spans="1:38" x14ac:dyDescent="0.3">
      <c r="A148" t="s">
        <v>38</v>
      </c>
      <c r="B148" t="s">
        <v>156</v>
      </c>
      <c r="C148">
        <v>0</v>
      </c>
      <c r="D148">
        <v>2008</v>
      </c>
      <c r="E148" t="s">
        <v>40</v>
      </c>
      <c r="F148">
        <v>195</v>
      </c>
      <c r="G148">
        <v>17</v>
      </c>
      <c r="H148">
        <v>6.38</v>
      </c>
      <c r="I148">
        <v>0.43</v>
      </c>
      <c r="J148">
        <v>349494</v>
      </c>
      <c r="K148">
        <v>351317</v>
      </c>
      <c r="L148">
        <v>1823</v>
      </c>
      <c r="M148">
        <v>0</v>
      </c>
      <c r="N148">
        <v>0.32</v>
      </c>
      <c r="O148">
        <v>0.51</v>
      </c>
      <c r="P148">
        <v>0.3</v>
      </c>
      <c r="Q148">
        <v>54</v>
      </c>
      <c r="R148">
        <v>20.37</v>
      </c>
      <c r="S148">
        <v>79.63</v>
      </c>
      <c r="T148">
        <v>0</v>
      </c>
      <c r="U148">
        <v>0</v>
      </c>
      <c r="V148">
        <v>6.4</v>
      </c>
      <c r="W148">
        <v>0</v>
      </c>
      <c r="X148">
        <v>0</v>
      </c>
      <c r="Y148">
        <v>246</v>
      </c>
      <c r="Z148">
        <v>1564</v>
      </c>
      <c r="AA148">
        <v>1.28</v>
      </c>
      <c r="AB148">
        <v>1.49</v>
      </c>
      <c r="AC148">
        <v>54</v>
      </c>
      <c r="AD148">
        <v>44.44</v>
      </c>
      <c r="AE148">
        <v>55.56</v>
      </c>
      <c r="AF148">
        <v>0</v>
      </c>
      <c r="AG148">
        <v>0</v>
      </c>
      <c r="AH148">
        <v>12.5</v>
      </c>
      <c r="AI148">
        <v>0</v>
      </c>
      <c r="AJ148">
        <v>0</v>
      </c>
      <c r="AK148">
        <v>1138</v>
      </c>
      <c r="AL148">
        <v>672</v>
      </c>
    </row>
    <row r="149" spans="1:38" x14ac:dyDescent="0.3">
      <c r="A149" t="s">
        <v>38</v>
      </c>
      <c r="B149" t="s">
        <v>158</v>
      </c>
      <c r="C149">
        <v>0</v>
      </c>
      <c r="D149">
        <v>2008</v>
      </c>
      <c r="E149" t="s">
        <v>40</v>
      </c>
      <c r="F149">
        <v>41</v>
      </c>
      <c r="G149">
        <v>8</v>
      </c>
      <c r="H149">
        <v>1.34</v>
      </c>
      <c r="I149">
        <v>0.2</v>
      </c>
      <c r="J149">
        <v>2312</v>
      </c>
      <c r="K149">
        <v>2341</v>
      </c>
      <c r="L149">
        <v>29</v>
      </c>
      <c r="M149">
        <v>0</v>
      </c>
      <c r="N149">
        <v>0</v>
      </c>
      <c r="O149">
        <v>0</v>
      </c>
      <c r="P149">
        <v>0</v>
      </c>
      <c r="Q149">
        <v>44</v>
      </c>
      <c r="R149">
        <v>0</v>
      </c>
      <c r="S149">
        <v>100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18</v>
      </c>
      <c r="AA149">
        <v>2.14</v>
      </c>
      <c r="AB149">
        <v>1.52</v>
      </c>
      <c r="AC149">
        <v>44</v>
      </c>
      <c r="AD149">
        <v>59.09</v>
      </c>
      <c r="AE149">
        <v>40.909999999999997</v>
      </c>
      <c r="AF149">
        <v>0</v>
      </c>
      <c r="AG149">
        <v>0</v>
      </c>
      <c r="AH149">
        <v>8.3000000000000007</v>
      </c>
      <c r="AI149">
        <v>0</v>
      </c>
      <c r="AJ149">
        <v>0</v>
      </c>
      <c r="AK149">
        <v>14</v>
      </c>
      <c r="AL149">
        <v>4</v>
      </c>
    </row>
    <row r="150" spans="1:38" x14ac:dyDescent="0.3">
      <c r="A150" t="s">
        <v>38</v>
      </c>
      <c r="B150" t="s">
        <v>163</v>
      </c>
      <c r="C150">
        <v>0</v>
      </c>
      <c r="D150">
        <v>2008</v>
      </c>
      <c r="E150" t="s">
        <v>40</v>
      </c>
      <c r="F150">
        <v>21</v>
      </c>
      <c r="G150">
        <v>3</v>
      </c>
      <c r="H150">
        <v>0.69</v>
      </c>
      <c r="I150">
        <v>0.08</v>
      </c>
      <c r="J150">
        <v>338</v>
      </c>
      <c r="K150">
        <v>415</v>
      </c>
      <c r="L150">
        <v>77</v>
      </c>
      <c r="M150">
        <v>0</v>
      </c>
      <c r="N150">
        <v>0</v>
      </c>
      <c r="O150">
        <v>0</v>
      </c>
      <c r="P150">
        <v>0</v>
      </c>
      <c r="Q150">
        <v>13</v>
      </c>
      <c r="R150">
        <v>0</v>
      </c>
      <c r="S150">
        <v>100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77</v>
      </c>
      <c r="AA150">
        <v>3.41</v>
      </c>
      <c r="AB150">
        <v>1.82</v>
      </c>
      <c r="AC150">
        <v>13</v>
      </c>
      <c r="AD150">
        <v>46.15</v>
      </c>
      <c r="AE150">
        <v>53.85</v>
      </c>
      <c r="AF150">
        <v>0</v>
      </c>
      <c r="AG150">
        <v>0</v>
      </c>
      <c r="AH150">
        <v>8</v>
      </c>
      <c r="AI150">
        <v>0</v>
      </c>
      <c r="AJ150">
        <v>0</v>
      </c>
      <c r="AK150">
        <v>77</v>
      </c>
      <c r="AL150">
        <v>0</v>
      </c>
    </row>
    <row r="151" spans="1:38" x14ac:dyDescent="0.3">
      <c r="A151" t="s">
        <v>38</v>
      </c>
      <c r="B151" t="s">
        <v>229</v>
      </c>
      <c r="C151">
        <v>0</v>
      </c>
      <c r="D151">
        <v>2008</v>
      </c>
      <c r="E151" t="s">
        <v>40</v>
      </c>
      <c r="F151">
        <v>5</v>
      </c>
      <c r="G151">
        <v>25</v>
      </c>
      <c r="H151">
        <v>0.16</v>
      </c>
      <c r="I151">
        <v>0.63</v>
      </c>
      <c r="J151">
        <v>3567</v>
      </c>
      <c r="K151">
        <v>4955</v>
      </c>
      <c r="L151">
        <v>1388</v>
      </c>
      <c r="M151">
        <v>0</v>
      </c>
      <c r="N151">
        <v>0</v>
      </c>
      <c r="O151">
        <v>0</v>
      </c>
      <c r="P151">
        <v>0</v>
      </c>
      <c r="Q151">
        <v>140</v>
      </c>
      <c r="R151">
        <v>0</v>
      </c>
      <c r="S151">
        <v>100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1379</v>
      </c>
      <c r="AA151">
        <v>3.22</v>
      </c>
      <c r="AB151">
        <v>2.2200000000000002</v>
      </c>
      <c r="AC151">
        <v>140</v>
      </c>
      <c r="AD151">
        <v>77.86</v>
      </c>
      <c r="AE151">
        <v>22.14</v>
      </c>
      <c r="AF151">
        <v>0</v>
      </c>
      <c r="AG151">
        <v>0</v>
      </c>
      <c r="AH151">
        <v>17</v>
      </c>
      <c r="AI151">
        <v>0</v>
      </c>
      <c r="AJ151">
        <v>0</v>
      </c>
      <c r="AK151">
        <v>1156</v>
      </c>
      <c r="AL151">
        <v>223</v>
      </c>
    </row>
    <row r="152" spans="1:38" x14ac:dyDescent="0.3">
      <c r="A152" t="s">
        <v>38</v>
      </c>
      <c r="B152" t="s">
        <v>167</v>
      </c>
      <c r="C152">
        <v>0</v>
      </c>
      <c r="D152">
        <v>2008</v>
      </c>
      <c r="E152" t="s">
        <v>40</v>
      </c>
      <c r="F152">
        <v>5</v>
      </c>
      <c r="G152">
        <v>2</v>
      </c>
      <c r="H152">
        <v>0.16</v>
      </c>
      <c r="I152">
        <v>0.05</v>
      </c>
      <c r="J152">
        <v>73</v>
      </c>
      <c r="K152">
        <v>148</v>
      </c>
      <c r="L152">
        <v>75</v>
      </c>
      <c r="M152">
        <v>0</v>
      </c>
      <c r="N152">
        <v>0</v>
      </c>
      <c r="O152">
        <v>0</v>
      </c>
      <c r="P152">
        <v>0</v>
      </c>
      <c r="Q152">
        <v>21</v>
      </c>
      <c r="R152">
        <v>0</v>
      </c>
      <c r="S152">
        <v>100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75</v>
      </c>
      <c r="AA152">
        <v>8.44</v>
      </c>
      <c r="AB152">
        <v>3.6</v>
      </c>
      <c r="AC152">
        <v>21</v>
      </c>
      <c r="AD152">
        <v>71.430000000000007</v>
      </c>
      <c r="AE152">
        <v>9.52</v>
      </c>
      <c r="AF152">
        <v>0</v>
      </c>
      <c r="AG152">
        <v>19.05</v>
      </c>
      <c r="AH152">
        <v>26.13</v>
      </c>
      <c r="AI152">
        <v>0</v>
      </c>
      <c r="AJ152">
        <v>0</v>
      </c>
      <c r="AK152">
        <v>16</v>
      </c>
      <c r="AL152">
        <v>59</v>
      </c>
    </row>
    <row r="153" spans="1:38" x14ac:dyDescent="0.3">
      <c r="A153" t="s">
        <v>38</v>
      </c>
      <c r="B153" t="s">
        <v>169</v>
      </c>
      <c r="C153">
        <v>0</v>
      </c>
      <c r="D153">
        <v>2008</v>
      </c>
      <c r="E153" t="s">
        <v>40</v>
      </c>
      <c r="F153">
        <v>30</v>
      </c>
      <c r="G153">
        <v>22</v>
      </c>
      <c r="H153">
        <v>0.98</v>
      </c>
      <c r="I153">
        <v>0.55000000000000004</v>
      </c>
      <c r="J153">
        <v>302</v>
      </c>
      <c r="K153">
        <v>666</v>
      </c>
      <c r="L153">
        <v>364</v>
      </c>
      <c r="M153">
        <v>0</v>
      </c>
      <c r="N153">
        <v>0</v>
      </c>
      <c r="O153">
        <v>0</v>
      </c>
      <c r="P153">
        <v>0</v>
      </c>
      <c r="Q153">
        <v>61</v>
      </c>
      <c r="R153">
        <v>0</v>
      </c>
      <c r="S153">
        <v>100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361</v>
      </c>
      <c r="AA153">
        <v>4.67</v>
      </c>
      <c r="AB153">
        <v>5.86</v>
      </c>
      <c r="AC153">
        <v>61</v>
      </c>
      <c r="AD153">
        <v>78.69</v>
      </c>
      <c r="AE153">
        <v>21.31</v>
      </c>
      <c r="AF153">
        <v>0</v>
      </c>
      <c r="AG153">
        <v>0</v>
      </c>
      <c r="AH153">
        <v>15.2</v>
      </c>
      <c r="AI153">
        <v>0</v>
      </c>
      <c r="AJ153">
        <v>0</v>
      </c>
      <c r="AK153">
        <v>278</v>
      </c>
      <c r="AL153">
        <v>83</v>
      </c>
    </row>
    <row r="154" spans="1:38" x14ac:dyDescent="0.3">
      <c r="A154" t="s">
        <v>38</v>
      </c>
      <c r="B154" t="s">
        <v>170</v>
      </c>
      <c r="C154">
        <v>0</v>
      </c>
      <c r="D154">
        <v>2008</v>
      </c>
      <c r="E154" t="s">
        <v>40</v>
      </c>
      <c r="F154">
        <v>233</v>
      </c>
      <c r="G154">
        <v>63</v>
      </c>
      <c r="H154">
        <v>7.62</v>
      </c>
      <c r="I154">
        <v>1.58</v>
      </c>
      <c r="J154">
        <v>74576</v>
      </c>
      <c r="K154">
        <v>77196</v>
      </c>
      <c r="L154">
        <v>2620</v>
      </c>
      <c r="M154">
        <v>0</v>
      </c>
      <c r="N154">
        <v>7.0000000000000007E-2</v>
      </c>
      <c r="O154">
        <v>2.7</v>
      </c>
      <c r="P154">
        <v>0.12</v>
      </c>
      <c r="Q154">
        <v>226</v>
      </c>
      <c r="R154">
        <v>7.96</v>
      </c>
      <c r="S154">
        <v>57.52</v>
      </c>
      <c r="T154">
        <v>9.73</v>
      </c>
      <c r="U154">
        <v>24.78</v>
      </c>
      <c r="V154">
        <v>56.7</v>
      </c>
      <c r="W154">
        <v>0</v>
      </c>
      <c r="X154">
        <v>18</v>
      </c>
      <c r="Y154">
        <v>31</v>
      </c>
      <c r="Z154">
        <v>2565</v>
      </c>
      <c r="AA154">
        <v>8.32</v>
      </c>
      <c r="AB154">
        <v>7.64</v>
      </c>
      <c r="AC154">
        <v>226</v>
      </c>
      <c r="AD154">
        <v>51.77</v>
      </c>
      <c r="AE154">
        <v>13.27</v>
      </c>
      <c r="AF154">
        <v>9.73</v>
      </c>
      <c r="AG154">
        <v>25.22</v>
      </c>
      <c r="AH154">
        <v>56.7</v>
      </c>
      <c r="AI154">
        <v>0</v>
      </c>
      <c r="AJ154">
        <v>18</v>
      </c>
      <c r="AK154">
        <v>2306</v>
      </c>
      <c r="AL154">
        <v>290</v>
      </c>
    </row>
    <row r="155" spans="1:38" x14ac:dyDescent="0.3">
      <c r="A155" t="s">
        <v>38</v>
      </c>
      <c r="B155" t="s">
        <v>247</v>
      </c>
      <c r="C155">
        <v>0</v>
      </c>
      <c r="D155">
        <v>2008</v>
      </c>
      <c r="E155" t="s">
        <v>40</v>
      </c>
      <c r="G155">
        <v>1</v>
      </c>
      <c r="I155">
        <v>0.03</v>
      </c>
      <c r="L155">
        <v>26</v>
      </c>
      <c r="M155">
        <v>0</v>
      </c>
      <c r="O155">
        <v>0</v>
      </c>
      <c r="P155">
        <v>0</v>
      </c>
      <c r="Q155">
        <v>20</v>
      </c>
      <c r="R155">
        <v>0</v>
      </c>
      <c r="S155">
        <v>100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26</v>
      </c>
      <c r="AA155">
        <v>10.06</v>
      </c>
      <c r="AB155">
        <v>10.06</v>
      </c>
      <c r="AC155">
        <v>20</v>
      </c>
      <c r="AD155">
        <v>15</v>
      </c>
      <c r="AE155">
        <v>0</v>
      </c>
      <c r="AF155">
        <v>70</v>
      </c>
      <c r="AG155">
        <v>15</v>
      </c>
      <c r="AH155">
        <v>17.3</v>
      </c>
      <c r="AI155">
        <v>0.59</v>
      </c>
      <c r="AJ155">
        <v>26</v>
      </c>
      <c r="AK155">
        <v>26</v>
      </c>
      <c r="AL155">
        <v>0</v>
      </c>
    </row>
    <row r="156" spans="1:38" x14ac:dyDescent="0.3">
      <c r="A156" t="s">
        <v>38</v>
      </c>
      <c r="B156" t="s">
        <v>248</v>
      </c>
      <c r="C156">
        <v>0</v>
      </c>
      <c r="D156">
        <v>2008</v>
      </c>
      <c r="E156" t="s">
        <v>40</v>
      </c>
      <c r="F156">
        <v>1</v>
      </c>
      <c r="G156">
        <v>1</v>
      </c>
      <c r="H156">
        <v>0.03</v>
      </c>
      <c r="I156">
        <v>0.03</v>
      </c>
      <c r="J156">
        <v>2</v>
      </c>
      <c r="K156">
        <v>4</v>
      </c>
      <c r="L156">
        <v>2</v>
      </c>
      <c r="M156">
        <v>0</v>
      </c>
      <c r="N156">
        <v>0</v>
      </c>
    </row>
    <row r="157" spans="1:38" x14ac:dyDescent="0.3">
      <c r="A157" t="s">
        <v>38</v>
      </c>
      <c r="B157" t="s">
        <v>172</v>
      </c>
      <c r="C157">
        <v>0</v>
      </c>
      <c r="D157">
        <v>2008</v>
      </c>
      <c r="E157" t="s">
        <v>40</v>
      </c>
      <c r="F157">
        <v>17</v>
      </c>
      <c r="G157">
        <v>3</v>
      </c>
      <c r="H157">
        <v>0.56000000000000005</v>
      </c>
      <c r="I157">
        <v>0.08</v>
      </c>
      <c r="J157">
        <v>2646</v>
      </c>
      <c r="K157">
        <v>3263</v>
      </c>
      <c r="L157">
        <v>617</v>
      </c>
      <c r="M157">
        <v>0</v>
      </c>
      <c r="N157">
        <v>0</v>
      </c>
      <c r="O157">
        <v>0</v>
      </c>
      <c r="P157">
        <v>0</v>
      </c>
      <c r="Q157">
        <v>6</v>
      </c>
      <c r="R157">
        <v>0</v>
      </c>
      <c r="S157">
        <v>100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617</v>
      </c>
      <c r="AA157">
        <v>6.45</v>
      </c>
      <c r="AB157">
        <v>2.17</v>
      </c>
      <c r="AC157">
        <v>6</v>
      </c>
      <c r="AD157">
        <v>83.33</v>
      </c>
      <c r="AE157">
        <v>16.670000000000002</v>
      </c>
      <c r="AF157">
        <v>0</v>
      </c>
      <c r="AG157">
        <v>0</v>
      </c>
      <c r="AH157">
        <v>14</v>
      </c>
      <c r="AI157">
        <v>0</v>
      </c>
      <c r="AJ157">
        <v>0</v>
      </c>
      <c r="AK157">
        <v>617</v>
      </c>
      <c r="AL157">
        <v>0</v>
      </c>
    </row>
    <row r="158" spans="1:38" x14ac:dyDescent="0.3">
      <c r="A158" t="s">
        <v>38</v>
      </c>
      <c r="B158" t="s">
        <v>237</v>
      </c>
      <c r="C158">
        <v>0</v>
      </c>
      <c r="D158">
        <v>2008</v>
      </c>
      <c r="E158" t="s">
        <v>40</v>
      </c>
      <c r="G158">
        <v>8</v>
      </c>
      <c r="I158">
        <v>0.2</v>
      </c>
      <c r="L158">
        <v>28</v>
      </c>
      <c r="M158">
        <v>0</v>
      </c>
      <c r="O158">
        <v>0</v>
      </c>
      <c r="P158">
        <v>0</v>
      </c>
      <c r="Q158">
        <v>96</v>
      </c>
      <c r="R158">
        <v>0</v>
      </c>
      <c r="S158">
        <v>100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26</v>
      </c>
      <c r="AA158">
        <v>1.87</v>
      </c>
      <c r="AB158">
        <v>2.0099999999999998</v>
      </c>
      <c r="AC158">
        <v>96</v>
      </c>
      <c r="AD158">
        <v>96.88</v>
      </c>
      <c r="AE158">
        <v>3.13</v>
      </c>
      <c r="AF158">
        <v>0</v>
      </c>
      <c r="AG158">
        <v>0</v>
      </c>
      <c r="AH158">
        <v>3.7</v>
      </c>
      <c r="AI158">
        <v>0</v>
      </c>
      <c r="AJ158">
        <v>0</v>
      </c>
      <c r="AK158">
        <v>22</v>
      </c>
      <c r="AL158">
        <v>4</v>
      </c>
    </row>
    <row r="159" spans="1:38" x14ac:dyDescent="0.3">
      <c r="A159" t="s">
        <v>38</v>
      </c>
      <c r="B159" t="s">
        <v>175</v>
      </c>
      <c r="C159">
        <v>0</v>
      </c>
      <c r="D159">
        <v>2008</v>
      </c>
      <c r="E159" t="s">
        <v>40</v>
      </c>
      <c r="F159">
        <v>40</v>
      </c>
      <c r="G159">
        <v>16</v>
      </c>
      <c r="H159">
        <v>1.31</v>
      </c>
      <c r="I159">
        <v>0.4</v>
      </c>
      <c r="J159">
        <v>15650</v>
      </c>
      <c r="K159">
        <v>17561</v>
      </c>
      <c r="L159">
        <v>1911</v>
      </c>
      <c r="M159">
        <v>0</v>
      </c>
      <c r="N159">
        <v>0.02</v>
      </c>
      <c r="O159">
        <v>0</v>
      </c>
      <c r="P159">
        <v>0</v>
      </c>
      <c r="Q159">
        <v>40</v>
      </c>
      <c r="R159">
        <v>0</v>
      </c>
      <c r="S159">
        <v>100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1531</v>
      </c>
      <c r="AA159">
        <v>8.73</v>
      </c>
      <c r="AB159">
        <v>16.190000000000001</v>
      </c>
      <c r="AC159">
        <v>40</v>
      </c>
      <c r="AD159">
        <v>25</v>
      </c>
      <c r="AE159">
        <v>37.5</v>
      </c>
      <c r="AF159">
        <v>0</v>
      </c>
      <c r="AG159">
        <v>37.5</v>
      </c>
      <c r="AH159">
        <v>74.900000000000006</v>
      </c>
      <c r="AI159">
        <v>0</v>
      </c>
      <c r="AJ159">
        <v>0</v>
      </c>
      <c r="AK159">
        <v>1428</v>
      </c>
      <c r="AL159">
        <v>103</v>
      </c>
    </row>
    <row r="160" spans="1:38" x14ac:dyDescent="0.3">
      <c r="A160" t="s">
        <v>38</v>
      </c>
      <c r="B160" t="s">
        <v>176</v>
      </c>
      <c r="C160">
        <v>0</v>
      </c>
      <c r="D160">
        <v>2008</v>
      </c>
      <c r="E160" t="s">
        <v>40</v>
      </c>
      <c r="F160">
        <v>33</v>
      </c>
      <c r="G160">
        <v>2</v>
      </c>
      <c r="H160">
        <v>1.08</v>
      </c>
      <c r="I160">
        <v>0.05</v>
      </c>
      <c r="J160">
        <v>20564</v>
      </c>
      <c r="K160">
        <v>20687</v>
      </c>
      <c r="L160">
        <v>123</v>
      </c>
      <c r="M160">
        <v>0</v>
      </c>
      <c r="N160">
        <v>0.02</v>
      </c>
      <c r="O160">
        <v>0</v>
      </c>
      <c r="P160">
        <v>0</v>
      </c>
      <c r="Q160">
        <v>2</v>
      </c>
      <c r="R160">
        <v>0</v>
      </c>
      <c r="S160">
        <v>100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50</v>
      </c>
      <c r="AA160">
        <v>2</v>
      </c>
      <c r="AB160">
        <v>2</v>
      </c>
      <c r="AC160">
        <v>2</v>
      </c>
      <c r="AD160">
        <v>50</v>
      </c>
      <c r="AE160">
        <v>50</v>
      </c>
      <c r="AF160">
        <v>0</v>
      </c>
      <c r="AG160">
        <v>0</v>
      </c>
      <c r="AH160">
        <v>4</v>
      </c>
      <c r="AI160">
        <v>0</v>
      </c>
      <c r="AJ160">
        <v>0</v>
      </c>
      <c r="AK160">
        <v>50</v>
      </c>
      <c r="AL160">
        <v>0</v>
      </c>
    </row>
    <row r="161" spans="1:38" x14ac:dyDescent="0.3">
      <c r="A161" t="s">
        <v>38</v>
      </c>
      <c r="B161" t="s">
        <v>178</v>
      </c>
      <c r="C161">
        <v>0</v>
      </c>
      <c r="D161">
        <v>2008</v>
      </c>
      <c r="E161" t="s">
        <v>40</v>
      </c>
      <c r="F161">
        <v>49</v>
      </c>
      <c r="G161">
        <v>11</v>
      </c>
      <c r="H161">
        <v>1.6</v>
      </c>
      <c r="I161">
        <v>0.28000000000000003</v>
      </c>
      <c r="J161">
        <v>1011</v>
      </c>
      <c r="K161">
        <v>1800</v>
      </c>
      <c r="L161">
        <v>789</v>
      </c>
      <c r="M161">
        <v>0</v>
      </c>
      <c r="N161">
        <v>0</v>
      </c>
      <c r="O161">
        <v>2.8</v>
      </c>
      <c r="P161">
        <v>3.18</v>
      </c>
      <c r="Q161">
        <v>59</v>
      </c>
      <c r="R161">
        <v>35.590000000000003</v>
      </c>
      <c r="S161">
        <v>47.46</v>
      </c>
      <c r="T161">
        <v>0</v>
      </c>
      <c r="U161">
        <v>16.95</v>
      </c>
      <c r="V161">
        <v>39.85</v>
      </c>
      <c r="W161">
        <v>0</v>
      </c>
      <c r="X161">
        <v>0</v>
      </c>
      <c r="Y161">
        <v>213</v>
      </c>
      <c r="Z161">
        <v>576</v>
      </c>
      <c r="AA161">
        <v>4.21</v>
      </c>
      <c r="AB161">
        <v>4.8499999999999996</v>
      </c>
      <c r="AC161">
        <v>59</v>
      </c>
      <c r="AD161">
        <v>50.85</v>
      </c>
      <c r="AE161">
        <v>30.51</v>
      </c>
      <c r="AF161">
        <v>0</v>
      </c>
      <c r="AG161">
        <v>18.64</v>
      </c>
      <c r="AH161">
        <v>39.85</v>
      </c>
      <c r="AI161">
        <v>0</v>
      </c>
      <c r="AJ161">
        <v>0</v>
      </c>
      <c r="AK161">
        <v>652</v>
      </c>
      <c r="AL161">
        <v>137</v>
      </c>
    </row>
    <row r="162" spans="1:38" x14ac:dyDescent="0.3">
      <c r="A162" t="s">
        <v>38</v>
      </c>
      <c r="B162" t="s">
        <v>181</v>
      </c>
      <c r="C162">
        <v>0</v>
      </c>
      <c r="D162">
        <v>2008</v>
      </c>
      <c r="E162" t="s">
        <v>40</v>
      </c>
      <c r="F162">
        <v>67</v>
      </c>
      <c r="G162">
        <v>11</v>
      </c>
      <c r="H162">
        <v>2.19</v>
      </c>
      <c r="I162">
        <v>0.28000000000000003</v>
      </c>
      <c r="J162">
        <v>8846</v>
      </c>
      <c r="K162">
        <v>11705</v>
      </c>
      <c r="L162">
        <v>2859</v>
      </c>
      <c r="M162">
        <v>0</v>
      </c>
      <c r="N162">
        <v>0.01</v>
      </c>
      <c r="O162">
        <v>0.3</v>
      </c>
      <c r="P162">
        <v>1.68</v>
      </c>
      <c r="Q162">
        <v>49</v>
      </c>
      <c r="R162">
        <v>2.04</v>
      </c>
      <c r="S162">
        <v>97.96</v>
      </c>
      <c r="T162">
        <v>0</v>
      </c>
      <c r="U162">
        <v>0</v>
      </c>
      <c r="V162">
        <v>3</v>
      </c>
      <c r="W162">
        <v>0</v>
      </c>
      <c r="X162">
        <v>0</v>
      </c>
      <c r="Y162">
        <v>1597</v>
      </c>
      <c r="Z162">
        <v>1260</v>
      </c>
      <c r="AA162">
        <v>3.17</v>
      </c>
      <c r="AB162">
        <v>4.75</v>
      </c>
      <c r="AC162">
        <v>49</v>
      </c>
      <c r="AD162">
        <v>73.47</v>
      </c>
      <c r="AE162">
        <v>26.53</v>
      </c>
      <c r="AF162">
        <v>0</v>
      </c>
      <c r="AG162">
        <v>0</v>
      </c>
      <c r="AH162">
        <v>12</v>
      </c>
      <c r="AI162">
        <v>0</v>
      </c>
      <c r="AJ162">
        <v>0</v>
      </c>
      <c r="AK162">
        <v>2849</v>
      </c>
      <c r="AL162">
        <v>8</v>
      </c>
    </row>
    <row r="163" spans="1:38" x14ac:dyDescent="0.3">
      <c r="A163" t="s">
        <v>38</v>
      </c>
      <c r="B163" t="s">
        <v>185</v>
      </c>
      <c r="C163">
        <v>0</v>
      </c>
      <c r="D163">
        <v>2008</v>
      </c>
      <c r="E163" t="s">
        <v>40</v>
      </c>
      <c r="F163">
        <v>39</v>
      </c>
      <c r="G163">
        <v>2</v>
      </c>
      <c r="H163">
        <v>1.28</v>
      </c>
      <c r="I163">
        <v>0.05</v>
      </c>
      <c r="J163">
        <v>4662</v>
      </c>
      <c r="K163">
        <v>4738</v>
      </c>
      <c r="L163">
        <v>76</v>
      </c>
      <c r="M163">
        <v>0</v>
      </c>
      <c r="N163">
        <v>0</v>
      </c>
      <c r="O163">
        <v>0</v>
      </c>
      <c r="P163">
        <v>0</v>
      </c>
      <c r="Q163">
        <v>8</v>
      </c>
      <c r="R163">
        <v>0</v>
      </c>
      <c r="S163">
        <v>100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76</v>
      </c>
      <c r="AA163">
        <v>0.61</v>
      </c>
      <c r="AB163">
        <v>0.06</v>
      </c>
      <c r="AC163">
        <v>8</v>
      </c>
      <c r="AD163">
        <v>25</v>
      </c>
      <c r="AE163">
        <v>75</v>
      </c>
      <c r="AF163">
        <v>0</v>
      </c>
      <c r="AG163">
        <v>0</v>
      </c>
      <c r="AH163">
        <v>5</v>
      </c>
      <c r="AI163">
        <v>0</v>
      </c>
      <c r="AJ163">
        <v>0</v>
      </c>
      <c r="AK163">
        <v>4</v>
      </c>
      <c r="AL163">
        <v>72</v>
      </c>
    </row>
    <row r="164" spans="1:38" x14ac:dyDescent="0.3">
      <c r="A164" t="s">
        <v>38</v>
      </c>
      <c r="B164" t="s">
        <v>187</v>
      </c>
      <c r="C164">
        <v>0</v>
      </c>
      <c r="D164">
        <v>2008</v>
      </c>
      <c r="E164" t="s">
        <v>40</v>
      </c>
      <c r="F164">
        <v>10</v>
      </c>
      <c r="G164">
        <v>3</v>
      </c>
      <c r="H164">
        <v>0.33</v>
      </c>
      <c r="I164">
        <v>0.08</v>
      </c>
      <c r="J164">
        <v>688</v>
      </c>
      <c r="K164">
        <v>764</v>
      </c>
      <c r="L164">
        <v>76</v>
      </c>
      <c r="M164">
        <v>0</v>
      </c>
      <c r="N164">
        <v>0</v>
      </c>
      <c r="O164">
        <v>0</v>
      </c>
      <c r="P164">
        <v>0</v>
      </c>
      <c r="Q164">
        <v>2</v>
      </c>
      <c r="R164">
        <v>0</v>
      </c>
      <c r="S164">
        <v>100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75</v>
      </c>
      <c r="AA164">
        <v>2.7</v>
      </c>
      <c r="AB164">
        <v>2.7</v>
      </c>
      <c r="AC164">
        <v>2</v>
      </c>
      <c r="AD164">
        <v>100</v>
      </c>
      <c r="AE164">
        <v>0</v>
      </c>
      <c r="AF164">
        <v>0</v>
      </c>
      <c r="AG164">
        <v>0</v>
      </c>
      <c r="AH164">
        <v>2.7</v>
      </c>
      <c r="AI164">
        <v>2.7</v>
      </c>
      <c r="AJ164">
        <v>0</v>
      </c>
      <c r="AK164">
        <v>75</v>
      </c>
      <c r="AL164">
        <v>0</v>
      </c>
    </row>
    <row r="165" spans="1:38" x14ac:dyDescent="0.3">
      <c r="A165" t="s">
        <v>38</v>
      </c>
      <c r="B165" t="s">
        <v>189</v>
      </c>
      <c r="C165">
        <v>0</v>
      </c>
      <c r="D165">
        <v>2008</v>
      </c>
      <c r="E165" t="s">
        <v>40</v>
      </c>
      <c r="F165">
        <v>15</v>
      </c>
      <c r="G165">
        <v>10</v>
      </c>
      <c r="H165">
        <v>0.49</v>
      </c>
      <c r="I165">
        <v>0.25</v>
      </c>
      <c r="J165">
        <v>-156</v>
      </c>
      <c r="K165">
        <v>427</v>
      </c>
      <c r="L165">
        <v>583</v>
      </c>
      <c r="M165">
        <v>0</v>
      </c>
      <c r="N165">
        <v>0</v>
      </c>
      <c r="O165">
        <v>0</v>
      </c>
      <c r="P165">
        <v>0</v>
      </c>
      <c r="Q165">
        <v>114</v>
      </c>
      <c r="R165">
        <v>0</v>
      </c>
      <c r="S165">
        <v>100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581</v>
      </c>
      <c r="AA165">
        <v>4.92</v>
      </c>
      <c r="AB165">
        <v>8.2899999999999991</v>
      </c>
      <c r="AC165">
        <v>114</v>
      </c>
      <c r="AD165">
        <v>81.58</v>
      </c>
      <c r="AE165">
        <v>5.26</v>
      </c>
      <c r="AF165">
        <v>0</v>
      </c>
      <c r="AG165">
        <v>13.16</v>
      </c>
      <c r="AH165">
        <v>11.2</v>
      </c>
      <c r="AI165">
        <v>0</v>
      </c>
      <c r="AJ165">
        <v>0</v>
      </c>
      <c r="AK165">
        <v>531</v>
      </c>
      <c r="AL165">
        <v>50</v>
      </c>
    </row>
  </sheetData>
  <sortState xmlns:xlrd2="http://schemas.microsoft.com/office/spreadsheetml/2017/richdata2" ref="A2:AM165">
    <sortCondition descending="1" ref="M2:M16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EE0FD-9E70-4B17-82A4-D7F7CC56C77C}">
  <dimension ref="A1:B4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190</v>
      </c>
    </row>
    <row r="2" spans="1:2" x14ac:dyDescent="0.3">
      <c r="A2">
        <v>1992</v>
      </c>
      <c r="B2">
        <f>Partner1992!D4+Partner1992!D6+Partner1992!D7+Partner1992!D12+Partner1992!D13+Partner1992!D15+Partner1992!D17+Partner1992!D18+Partner1992!D23+Partner1992!D25+Partner1992!D26+Partner1992!D36+Partner1992!D43+Partner1992!D54</f>
        <v>60.53</v>
      </c>
    </row>
    <row r="3" spans="1:2" x14ac:dyDescent="0.3">
      <c r="A3">
        <v>2001</v>
      </c>
      <c r="B3">
        <f>Partner2001!C4+Partner2001!C6+Partner2001!C7+Partner2001!C9+Partner2001!C14+Partner2001!C16+Partner2001!C18+Partner2001!C19+Partner2001!C28+Partner2001!C29+Partner2001!C33+Partner2001!C34+Partner2001!C43+Partner2001!C51+Partner2001!C59</f>
        <v>57.800000000000004</v>
      </c>
    </row>
    <row r="4" spans="1:2" x14ac:dyDescent="0.3">
      <c r="A4">
        <v>2008</v>
      </c>
      <c r="B4">
        <f>Partner2008!C4+Partner2008!C7+Partner2008!C9+Partner2008!C10+Partner2008!C11+Partner2008!C16+Partner2008!C19+Partner2008!C23+Partner2008!C28+Partner2008!C29+Partner2008!C31</f>
        <v>52.890000000000008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F509-AE6C-433D-9199-74E13B656FC3}">
  <dimension ref="A1:V31"/>
  <sheetViews>
    <sheetView topLeftCell="D1" workbookViewId="0">
      <selection activeCell="N2" sqref="N2"/>
    </sheetView>
  </sheetViews>
  <sheetFormatPr defaultRowHeight="14.4" x14ac:dyDescent="0.3"/>
  <cols>
    <col min="1" max="1" width="18.109375" bestFit="1" customWidth="1"/>
    <col min="2" max="2" width="16.33203125" bestFit="1" customWidth="1"/>
    <col min="3" max="3" width="11.109375" bestFit="1" customWidth="1"/>
    <col min="4" max="4" width="17" bestFit="1" customWidth="1"/>
    <col min="5" max="5" width="10.109375" bestFit="1" customWidth="1"/>
    <col min="6" max="6" width="16" bestFit="1" customWidth="1"/>
    <col min="7" max="7" width="9.88671875" bestFit="1" customWidth="1"/>
    <col min="8" max="8" width="37" bestFit="1" customWidth="1"/>
    <col min="9" max="9" width="12.44140625" bestFit="1" customWidth="1"/>
    <col min="10" max="10" width="12.6640625" bestFit="1" customWidth="1"/>
    <col min="11" max="11" width="14.6640625" bestFit="1" customWidth="1"/>
    <col min="12" max="12" width="11.6640625" bestFit="1" customWidth="1"/>
    <col min="13" max="13" width="17.33203125" bestFit="1" customWidth="1"/>
    <col min="14" max="14" width="20.109375" bestFit="1" customWidth="1"/>
    <col min="15" max="15" width="20.44140625" bestFit="1" customWidth="1"/>
    <col min="16" max="16" width="16.5546875" bestFit="1" customWidth="1"/>
    <col min="17" max="17" width="16.88671875" bestFit="1" customWidth="1"/>
    <col min="18" max="18" width="18.88671875" bestFit="1" customWidth="1"/>
    <col min="19" max="19" width="23" bestFit="1" customWidth="1"/>
    <col min="20" max="20" width="26.44140625" bestFit="1" customWidth="1"/>
    <col min="21" max="21" width="26.88671875" bestFit="1" customWidth="1"/>
    <col min="22" max="22" width="18.88671875" bestFit="1" customWidth="1"/>
  </cols>
  <sheetData>
    <row r="1" spans="1:22" x14ac:dyDescent="0.3">
      <c r="A1" t="s">
        <v>250</v>
      </c>
      <c r="B1" t="s">
        <v>251</v>
      </c>
      <c r="C1" t="s">
        <v>252</v>
      </c>
      <c r="D1" t="s">
        <v>0</v>
      </c>
      <c r="E1" t="s">
        <v>253</v>
      </c>
      <c r="F1" t="s">
        <v>254</v>
      </c>
      <c r="G1" t="s">
        <v>255</v>
      </c>
      <c r="H1" t="s">
        <v>1</v>
      </c>
      <c r="I1" t="s">
        <v>256</v>
      </c>
      <c r="J1" t="s">
        <v>257</v>
      </c>
      <c r="K1" t="s">
        <v>258</v>
      </c>
      <c r="L1" t="s">
        <v>259</v>
      </c>
      <c r="M1" t="s">
        <v>260</v>
      </c>
      <c r="N1" t="s">
        <v>261</v>
      </c>
      <c r="O1" t="s">
        <v>262</v>
      </c>
      <c r="P1" t="s">
        <v>263</v>
      </c>
      <c r="Q1" t="s">
        <v>264</v>
      </c>
      <c r="R1" t="s">
        <v>265</v>
      </c>
      <c r="S1" t="s">
        <v>266</v>
      </c>
      <c r="T1" t="s">
        <v>267</v>
      </c>
      <c r="U1" t="s">
        <v>268</v>
      </c>
      <c r="V1" t="s">
        <v>269</v>
      </c>
    </row>
    <row r="2" spans="1:22" x14ac:dyDescent="0.3">
      <c r="A2" t="s">
        <v>270</v>
      </c>
      <c r="B2" t="s">
        <v>271</v>
      </c>
      <c r="C2">
        <v>348</v>
      </c>
      <c r="D2" t="s">
        <v>38</v>
      </c>
      <c r="E2" t="s">
        <v>272</v>
      </c>
      <c r="F2" t="s">
        <v>273</v>
      </c>
      <c r="G2" t="s">
        <v>274</v>
      </c>
      <c r="H2" t="s">
        <v>275</v>
      </c>
      <c r="I2">
        <v>1991</v>
      </c>
      <c r="J2">
        <v>1991</v>
      </c>
      <c r="K2" t="s">
        <v>276</v>
      </c>
      <c r="L2" t="s">
        <v>277</v>
      </c>
      <c r="M2" t="s">
        <v>278</v>
      </c>
      <c r="N2" t="s">
        <v>279</v>
      </c>
      <c r="O2" t="s">
        <v>280</v>
      </c>
      <c r="P2">
        <v>0</v>
      </c>
      <c r="Q2" t="s">
        <v>281</v>
      </c>
      <c r="R2">
        <v>56759</v>
      </c>
      <c r="S2">
        <v>2460</v>
      </c>
      <c r="T2">
        <v>10758</v>
      </c>
      <c r="U2" t="s">
        <v>282</v>
      </c>
      <c r="V2" t="s">
        <v>274</v>
      </c>
    </row>
    <row r="3" spans="1:22" x14ac:dyDescent="0.3">
      <c r="A3" t="s">
        <v>270</v>
      </c>
      <c r="B3" t="s">
        <v>271</v>
      </c>
      <c r="C3">
        <v>348</v>
      </c>
      <c r="D3" t="s">
        <v>38</v>
      </c>
      <c r="E3" t="s">
        <v>272</v>
      </c>
      <c r="F3" t="s">
        <v>273</v>
      </c>
      <c r="G3" t="s">
        <v>274</v>
      </c>
      <c r="H3" t="s">
        <v>275</v>
      </c>
      <c r="I3">
        <v>1993</v>
      </c>
      <c r="J3">
        <v>1993</v>
      </c>
      <c r="K3" t="s">
        <v>298</v>
      </c>
      <c r="L3" t="s">
        <v>277</v>
      </c>
      <c r="M3" t="s">
        <v>299</v>
      </c>
      <c r="N3" t="s">
        <v>300</v>
      </c>
      <c r="O3" t="s">
        <v>301</v>
      </c>
      <c r="P3">
        <v>0</v>
      </c>
      <c r="Q3" t="s">
        <v>302</v>
      </c>
      <c r="R3">
        <v>67175</v>
      </c>
      <c r="S3">
        <v>1613</v>
      </c>
      <c r="T3">
        <v>7494</v>
      </c>
      <c r="U3" t="s">
        <v>303</v>
      </c>
      <c r="V3" t="s">
        <v>274</v>
      </c>
    </row>
    <row r="4" spans="1:22" x14ac:dyDescent="0.3">
      <c r="A4" t="s">
        <v>270</v>
      </c>
      <c r="B4" t="s">
        <v>271</v>
      </c>
      <c r="C4">
        <v>348</v>
      </c>
      <c r="D4" t="s">
        <v>38</v>
      </c>
      <c r="E4" t="s">
        <v>272</v>
      </c>
      <c r="F4" t="s">
        <v>273</v>
      </c>
      <c r="G4" t="s">
        <v>274</v>
      </c>
      <c r="H4" t="s">
        <v>390</v>
      </c>
      <c r="I4">
        <v>1991</v>
      </c>
      <c r="J4">
        <v>1991</v>
      </c>
      <c r="K4" t="s">
        <v>276</v>
      </c>
      <c r="L4" t="s">
        <v>277</v>
      </c>
      <c r="M4" t="s">
        <v>284</v>
      </c>
      <c r="N4" t="s">
        <v>391</v>
      </c>
      <c r="O4" t="s">
        <v>392</v>
      </c>
      <c r="P4">
        <v>0</v>
      </c>
      <c r="Q4" t="s">
        <v>287</v>
      </c>
      <c r="R4">
        <v>31820</v>
      </c>
      <c r="S4">
        <v>1379</v>
      </c>
      <c r="T4">
        <v>6207</v>
      </c>
      <c r="U4" t="s">
        <v>393</v>
      </c>
      <c r="V4" t="s">
        <v>274</v>
      </c>
    </row>
    <row r="5" spans="1:22" x14ac:dyDescent="0.3">
      <c r="A5" t="s">
        <v>270</v>
      </c>
      <c r="B5" t="s">
        <v>271</v>
      </c>
      <c r="C5">
        <v>348</v>
      </c>
      <c r="D5" t="s">
        <v>38</v>
      </c>
      <c r="E5" t="s">
        <v>272</v>
      </c>
      <c r="F5" t="s">
        <v>273</v>
      </c>
      <c r="G5" t="s">
        <v>274</v>
      </c>
      <c r="H5" t="s">
        <v>390</v>
      </c>
      <c r="I5">
        <v>1993</v>
      </c>
      <c r="J5">
        <v>1993</v>
      </c>
      <c r="K5" t="s">
        <v>298</v>
      </c>
      <c r="L5" t="s">
        <v>277</v>
      </c>
      <c r="M5" t="s">
        <v>394</v>
      </c>
      <c r="N5" t="s">
        <v>395</v>
      </c>
      <c r="O5" t="s">
        <v>396</v>
      </c>
      <c r="P5">
        <v>0</v>
      </c>
      <c r="Q5" t="s">
        <v>287</v>
      </c>
      <c r="R5">
        <v>31692</v>
      </c>
      <c r="S5">
        <v>737</v>
      </c>
      <c r="T5">
        <v>3698</v>
      </c>
      <c r="U5" t="s">
        <v>397</v>
      </c>
      <c r="V5" t="s">
        <v>274</v>
      </c>
    </row>
    <row r="6" spans="1:22" x14ac:dyDescent="0.3">
      <c r="A6" t="s">
        <v>270</v>
      </c>
      <c r="B6" t="s">
        <v>271</v>
      </c>
      <c r="C6">
        <v>348</v>
      </c>
      <c r="D6" t="s">
        <v>38</v>
      </c>
      <c r="E6" t="s">
        <v>272</v>
      </c>
      <c r="F6" t="s">
        <v>273</v>
      </c>
      <c r="G6" t="s">
        <v>274</v>
      </c>
      <c r="H6" t="s">
        <v>283</v>
      </c>
      <c r="I6">
        <v>1991</v>
      </c>
      <c r="J6">
        <v>1991</v>
      </c>
      <c r="K6" t="s">
        <v>276</v>
      </c>
      <c r="L6" t="s">
        <v>277</v>
      </c>
      <c r="M6" t="s">
        <v>284</v>
      </c>
      <c r="N6" t="s">
        <v>285</v>
      </c>
      <c r="O6" t="s">
        <v>286</v>
      </c>
      <c r="P6">
        <v>0</v>
      </c>
      <c r="Q6" t="s">
        <v>287</v>
      </c>
      <c r="R6">
        <v>33151</v>
      </c>
      <c r="S6">
        <v>1445</v>
      </c>
      <c r="T6">
        <v>6488</v>
      </c>
      <c r="U6" t="s">
        <v>288</v>
      </c>
      <c r="V6" t="s">
        <v>274</v>
      </c>
    </row>
    <row r="7" spans="1:22" x14ac:dyDescent="0.3">
      <c r="A7" t="s">
        <v>270</v>
      </c>
      <c r="B7" t="s">
        <v>271</v>
      </c>
      <c r="C7">
        <v>348</v>
      </c>
      <c r="D7" t="s">
        <v>38</v>
      </c>
      <c r="E7" t="s">
        <v>272</v>
      </c>
      <c r="F7" t="s">
        <v>273</v>
      </c>
      <c r="G7" t="s">
        <v>274</v>
      </c>
      <c r="H7" t="s">
        <v>283</v>
      </c>
      <c r="I7">
        <v>1993</v>
      </c>
      <c r="J7">
        <v>1993</v>
      </c>
      <c r="K7" t="s">
        <v>298</v>
      </c>
      <c r="L7" t="s">
        <v>277</v>
      </c>
      <c r="M7" t="s">
        <v>304</v>
      </c>
      <c r="N7" t="s">
        <v>299</v>
      </c>
      <c r="O7" t="s">
        <v>305</v>
      </c>
      <c r="P7">
        <v>0</v>
      </c>
      <c r="Q7" t="s">
        <v>287</v>
      </c>
      <c r="R7">
        <v>42074</v>
      </c>
      <c r="S7">
        <v>936</v>
      </c>
      <c r="T7">
        <v>4735</v>
      </c>
      <c r="U7" t="s">
        <v>306</v>
      </c>
      <c r="V7" t="s">
        <v>274</v>
      </c>
    </row>
    <row r="8" spans="1:22" x14ac:dyDescent="0.3">
      <c r="A8" t="s">
        <v>270</v>
      </c>
      <c r="B8" t="s">
        <v>271</v>
      </c>
      <c r="C8">
        <v>348</v>
      </c>
      <c r="D8" t="s">
        <v>38</v>
      </c>
      <c r="E8" t="s">
        <v>272</v>
      </c>
      <c r="F8" t="s">
        <v>273</v>
      </c>
      <c r="G8" t="s">
        <v>274</v>
      </c>
      <c r="H8" t="s">
        <v>289</v>
      </c>
      <c r="I8">
        <v>1991</v>
      </c>
      <c r="J8">
        <v>1991</v>
      </c>
      <c r="K8" t="s">
        <v>276</v>
      </c>
      <c r="L8" t="s">
        <v>277</v>
      </c>
      <c r="M8" t="s">
        <v>290</v>
      </c>
      <c r="N8" t="s">
        <v>291</v>
      </c>
      <c r="O8" t="s">
        <v>292</v>
      </c>
      <c r="P8">
        <v>0</v>
      </c>
      <c r="Q8" t="s">
        <v>287</v>
      </c>
      <c r="R8">
        <v>34505</v>
      </c>
      <c r="S8">
        <v>1515</v>
      </c>
      <c r="T8">
        <v>6783</v>
      </c>
      <c r="U8" t="s">
        <v>293</v>
      </c>
      <c r="V8" t="s">
        <v>274</v>
      </c>
    </row>
    <row r="9" spans="1:22" x14ac:dyDescent="0.3">
      <c r="A9" t="s">
        <v>270</v>
      </c>
      <c r="B9" t="s">
        <v>271</v>
      </c>
      <c r="C9">
        <v>348</v>
      </c>
      <c r="D9" t="s">
        <v>38</v>
      </c>
      <c r="E9" t="s">
        <v>272</v>
      </c>
      <c r="F9" t="s">
        <v>273</v>
      </c>
      <c r="G9" t="s">
        <v>274</v>
      </c>
      <c r="H9" t="s">
        <v>289</v>
      </c>
      <c r="I9">
        <v>1993</v>
      </c>
      <c r="J9">
        <v>1993</v>
      </c>
      <c r="K9" t="s">
        <v>298</v>
      </c>
      <c r="L9" t="s">
        <v>277</v>
      </c>
      <c r="M9" t="s">
        <v>307</v>
      </c>
      <c r="N9" t="s">
        <v>308</v>
      </c>
      <c r="O9" t="s">
        <v>309</v>
      </c>
      <c r="P9">
        <v>0</v>
      </c>
      <c r="Q9" t="s">
        <v>287</v>
      </c>
      <c r="R9">
        <v>44302</v>
      </c>
      <c r="S9">
        <v>1015</v>
      </c>
      <c r="T9">
        <v>5009</v>
      </c>
      <c r="U9" t="s">
        <v>310</v>
      </c>
      <c r="V9" t="s">
        <v>274</v>
      </c>
    </row>
    <row r="10" spans="1:22" x14ac:dyDescent="0.3">
      <c r="A10" t="s">
        <v>270</v>
      </c>
      <c r="B10" t="s">
        <v>271</v>
      </c>
      <c r="C10">
        <v>348</v>
      </c>
      <c r="D10" t="s">
        <v>38</v>
      </c>
      <c r="E10" t="s">
        <v>272</v>
      </c>
      <c r="F10" t="s">
        <v>273</v>
      </c>
      <c r="G10" t="s">
        <v>274</v>
      </c>
      <c r="H10" t="s">
        <v>294</v>
      </c>
      <c r="I10">
        <v>1991</v>
      </c>
      <c r="J10">
        <v>1991</v>
      </c>
      <c r="K10" t="s">
        <v>276</v>
      </c>
      <c r="L10" t="s">
        <v>277</v>
      </c>
      <c r="M10" t="s">
        <v>290</v>
      </c>
      <c r="N10" t="s">
        <v>295</v>
      </c>
      <c r="O10" t="s">
        <v>296</v>
      </c>
      <c r="P10">
        <v>0</v>
      </c>
      <c r="Q10" t="s">
        <v>287</v>
      </c>
      <c r="R10">
        <v>31594</v>
      </c>
      <c r="S10">
        <v>1385</v>
      </c>
      <c r="T10">
        <v>6212</v>
      </c>
      <c r="U10" t="s">
        <v>297</v>
      </c>
      <c r="V10" t="s">
        <v>274</v>
      </c>
    </row>
    <row r="11" spans="1:22" x14ac:dyDescent="0.3">
      <c r="A11" t="s">
        <v>270</v>
      </c>
      <c r="B11" t="s">
        <v>271</v>
      </c>
      <c r="C11">
        <v>348</v>
      </c>
      <c r="D11" t="s">
        <v>38</v>
      </c>
      <c r="E11" t="s">
        <v>272</v>
      </c>
      <c r="F11" t="s">
        <v>273</v>
      </c>
      <c r="G11" t="s">
        <v>274</v>
      </c>
      <c r="H11" t="s">
        <v>294</v>
      </c>
      <c r="I11">
        <v>1993</v>
      </c>
      <c r="J11">
        <v>1993</v>
      </c>
      <c r="K11" t="s">
        <v>298</v>
      </c>
      <c r="L11" t="s">
        <v>277</v>
      </c>
      <c r="M11" t="s">
        <v>311</v>
      </c>
      <c r="N11" t="s">
        <v>312</v>
      </c>
      <c r="O11" t="s">
        <v>313</v>
      </c>
      <c r="P11">
        <v>0</v>
      </c>
      <c r="Q11" t="s">
        <v>287</v>
      </c>
      <c r="R11">
        <v>41134</v>
      </c>
      <c r="S11">
        <v>936</v>
      </c>
      <c r="T11">
        <v>4657</v>
      </c>
      <c r="U11" t="s">
        <v>314</v>
      </c>
      <c r="V11" t="s">
        <v>274</v>
      </c>
    </row>
    <row r="12" spans="1:22" x14ac:dyDescent="0.3">
      <c r="A12" t="s">
        <v>270</v>
      </c>
      <c r="B12" t="s">
        <v>315</v>
      </c>
      <c r="C12">
        <v>348</v>
      </c>
      <c r="D12" t="s">
        <v>38</v>
      </c>
      <c r="E12" t="s">
        <v>272</v>
      </c>
      <c r="F12" t="s">
        <v>273</v>
      </c>
      <c r="G12" t="s">
        <v>274</v>
      </c>
      <c r="H12" t="s">
        <v>275</v>
      </c>
      <c r="I12">
        <v>1996</v>
      </c>
      <c r="J12">
        <v>1996</v>
      </c>
      <c r="K12" t="s">
        <v>298</v>
      </c>
      <c r="L12" t="s">
        <v>277</v>
      </c>
      <c r="M12" t="s">
        <v>316</v>
      </c>
      <c r="N12" t="s">
        <v>317</v>
      </c>
      <c r="O12" t="s">
        <v>318</v>
      </c>
      <c r="P12">
        <v>0</v>
      </c>
      <c r="Q12" t="s">
        <v>319</v>
      </c>
      <c r="R12">
        <v>164373</v>
      </c>
      <c r="S12">
        <v>6779</v>
      </c>
      <c r="T12">
        <v>23221</v>
      </c>
      <c r="U12" t="s">
        <v>320</v>
      </c>
      <c r="V12" t="s">
        <v>274</v>
      </c>
    </row>
    <row r="13" spans="1:22" x14ac:dyDescent="0.3">
      <c r="A13" t="s">
        <v>270</v>
      </c>
      <c r="B13" t="s">
        <v>315</v>
      </c>
      <c r="C13">
        <v>348</v>
      </c>
      <c r="D13" t="s">
        <v>38</v>
      </c>
      <c r="E13" t="s">
        <v>272</v>
      </c>
      <c r="F13" t="s">
        <v>273</v>
      </c>
      <c r="G13" t="s">
        <v>274</v>
      </c>
      <c r="H13" t="s">
        <v>275</v>
      </c>
      <c r="I13">
        <v>1997</v>
      </c>
      <c r="J13">
        <v>1997</v>
      </c>
      <c r="K13" t="s">
        <v>298</v>
      </c>
      <c r="L13" t="s">
        <v>277</v>
      </c>
      <c r="M13" t="s">
        <v>332</v>
      </c>
      <c r="N13" t="s">
        <v>333</v>
      </c>
      <c r="O13" t="s">
        <v>323</v>
      </c>
      <c r="P13">
        <v>0</v>
      </c>
      <c r="Q13" t="s">
        <v>334</v>
      </c>
      <c r="R13">
        <v>179820</v>
      </c>
      <c r="S13">
        <v>8254</v>
      </c>
      <c r="T13">
        <v>18741</v>
      </c>
      <c r="U13" t="s">
        <v>335</v>
      </c>
      <c r="V13" t="s">
        <v>274</v>
      </c>
    </row>
    <row r="14" spans="1:22" x14ac:dyDescent="0.3">
      <c r="A14" t="s">
        <v>270</v>
      </c>
      <c r="B14" t="s">
        <v>315</v>
      </c>
      <c r="C14">
        <v>348</v>
      </c>
      <c r="D14" t="s">
        <v>38</v>
      </c>
      <c r="E14" t="s">
        <v>272</v>
      </c>
      <c r="F14" t="s">
        <v>273</v>
      </c>
      <c r="G14" t="s">
        <v>274</v>
      </c>
      <c r="H14" t="s">
        <v>390</v>
      </c>
      <c r="I14">
        <v>1996</v>
      </c>
      <c r="J14">
        <v>1996</v>
      </c>
      <c r="K14" t="s">
        <v>298</v>
      </c>
      <c r="L14" t="s">
        <v>277</v>
      </c>
      <c r="M14" t="s">
        <v>398</v>
      </c>
      <c r="N14" t="s">
        <v>399</v>
      </c>
      <c r="O14" t="s">
        <v>400</v>
      </c>
      <c r="P14">
        <v>0</v>
      </c>
      <c r="Q14" t="s">
        <v>319</v>
      </c>
      <c r="R14">
        <v>73295</v>
      </c>
      <c r="S14">
        <v>3544</v>
      </c>
      <c r="T14">
        <v>11474</v>
      </c>
      <c r="U14" t="s">
        <v>401</v>
      </c>
      <c r="V14" t="s">
        <v>274</v>
      </c>
    </row>
    <row r="15" spans="1:22" x14ac:dyDescent="0.3">
      <c r="A15" t="s">
        <v>270</v>
      </c>
      <c r="B15" t="s">
        <v>315</v>
      </c>
      <c r="C15">
        <v>348</v>
      </c>
      <c r="D15" t="s">
        <v>38</v>
      </c>
      <c r="E15" t="s">
        <v>272</v>
      </c>
      <c r="F15" t="s">
        <v>273</v>
      </c>
      <c r="G15" t="s">
        <v>274</v>
      </c>
      <c r="H15" t="s">
        <v>390</v>
      </c>
      <c r="I15">
        <v>1997</v>
      </c>
      <c r="J15">
        <v>1997</v>
      </c>
      <c r="K15" t="s">
        <v>298</v>
      </c>
      <c r="L15" t="s">
        <v>277</v>
      </c>
      <c r="M15" t="s">
        <v>402</v>
      </c>
      <c r="N15" t="s">
        <v>403</v>
      </c>
      <c r="O15" t="s">
        <v>404</v>
      </c>
      <c r="P15">
        <v>0</v>
      </c>
      <c r="Q15" t="s">
        <v>334</v>
      </c>
      <c r="R15">
        <v>77937</v>
      </c>
      <c r="S15">
        <v>4581</v>
      </c>
      <c r="T15">
        <v>8195</v>
      </c>
      <c r="U15" t="s">
        <v>405</v>
      </c>
      <c r="V15" t="s">
        <v>274</v>
      </c>
    </row>
    <row r="16" spans="1:22" x14ac:dyDescent="0.3">
      <c r="A16" t="s">
        <v>270</v>
      </c>
      <c r="B16" t="s">
        <v>315</v>
      </c>
      <c r="C16">
        <v>348</v>
      </c>
      <c r="D16" t="s">
        <v>38</v>
      </c>
      <c r="E16" t="s">
        <v>272</v>
      </c>
      <c r="F16" t="s">
        <v>273</v>
      </c>
      <c r="G16" t="s">
        <v>274</v>
      </c>
      <c r="H16" t="s">
        <v>283</v>
      </c>
      <c r="I16">
        <v>1996</v>
      </c>
      <c r="J16">
        <v>1996</v>
      </c>
      <c r="K16" t="s">
        <v>298</v>
      </c>
      <c r="L16" t="s">
        <v>277</v>
      </c>
      <c r="M16" t="s">
        <v>321</v>
      </c>
      <c r="N16" t="s">
        <v>322</v>
      </c>
      <c r="O16" t="s">
        <v>323</v>
      </c>
      <c r="P16">
        <v>0</v>
      </c>
      <c r="Q16" t="s">
        <v>319</v>
      </c>
      <c r="R16">
        <v>98801</v>
      </c>
      <c r="S16">
        <v>4552</v>
      </c>
      <c r="T16">
        <v>14696</v>
      </c>
      <c r="U16" t="s">
        <v>324</v>
      </c>
      <c r="V16" t="s">
        <v>274</v>
      </c>
    </row>
    <row r="17" spans="1:22" x14ac:dyDescent="0.3">
      <c r="A17" t="s">
        <v>270</v>
      </c>
      <c r="B17" t="s">
        <v>315</v>
      </c>
      <c r="C17">
        <v>348</v>
      </c>
      <c r="D17" t="s">
        <v>38</v>
      </c>
      <c r="E17" t="s">
        <v>272</v>
      </c>
      <c r="F17" t="s">
        <v>273</v>
      </c>
      <c r="G17" t="s">
        <v>274</v>
      </c>
      <c r="H17" t="s">
        <v>283</v>
      </c>
      <c r="I17">
        <v>1997</v>
      </c>
      <c r="J17">
        <v>1997</v>
      </c>
      <c r="K17" t="s">
        <v>298</v>
      </c>
      <c r="L17" t="s">
        <v>277</v>
      </c>
      <c r="M17" t="s">
        <v>336</v>
      </c>
      <c r="N17" t="s">
        <v>337</v>
      </c>
      <c r="O17" t="s">
        <v>338</v>
      </c>
      <c r="P17">
        <v>0</v>
      </c>
      <c r="Q17" t="s">
        <v>334</v>
      </c>
      <c r="R17">
        <v>105178</v>
      </c>
      <c r="S17">
        <v>5520</v>
      </c>
      <c r="T17">
        <v>10165</v>
      </c>
      <c r="U17" t="s">
        <v>339</v>
      </c>
      <c r="V17" t="s">
        <v>274</v>
      </c>
    </row>
    <row r="18" spans="1:22" x14ac:dyDescent="0.3">
      <c r="A18" t="s">
        <v>270</v>
      </c>
      <c r="B18" t="s">
        <v>315</v>
      </c>
      <c r="C18">
        <v>348</v>
      </c>
      <c r="D18" t="s">
        <v>38</v>
      </c>
      <c r="E18" t="s">
        <v>272</v>
      </c>
      <c r="F18" t="s">
        <v>273</v>
      </c>
      <c r="G18" t="s">
        <v>274</v>
      </c>
      <c r="H18" t="s">
        <v>289</v>
      </c>
      <c r="I18">
        <v>1996</v>
      </c>
      <c r="J18">
        <v>1996</v>
      </c>
      <c r="K18" t="s">
        <v>298</v>
      </c>
      <c r="L18" t="s">
        <v>277</v>
      </c>
      <c r="M18" t="s">
        <v>325</v>
      </c>
      <c r="N18" t="s">
        <v>326</v>
      </c>
      <c r="O18" t="s">
        <v>327</v>
      </c>
      <c r="P18">
        <v>0</v>
      </c>
      <c r="Q18" t="s">
        <v>319</v>
      </c>
      <c r="R18">
        <v>104637</v>
      </c>
      <c r="S18">
        <v>4865</v>
      </c>
      <c r="T18">
        <v>15594</v>
      </c>
      <c r="U18" t="s">
        <v>328</v>
      </c>
      <c r="V18" t="s">
        <v>274</v>
      </c>
    </row>
    <row r="19" spans="1:22" x14ac:dyDescent="0.3">
      <c r="A19" t="s">
        <v>270</v>
      </c>
      <c r="B19" t="s">
        <v>315</v>
      </c>
      <c r="C19">
        <v>348</v>
      </c>
      <c r="D19" t="s">
        <v>38</v>
      </c>
      <c r="E19" t="s">
        <v>272</v>
      </c>
      <c r="F19" t="s">
        <v>273</v>
      </c>
      <c r="G19" t="s">
        <v>274</v>
      </c>
      <c r="H19" t="s">
        <v>289</v>
      </c>
      <c r="I19">
        <v>1997</v>
      </c>
      <c r="J19">
        <v>1997</v>
      </c>
      <c r="K19" t="s">
        <v>298</v>
      </c>
      <c r="L19" t="s">
        <v>277</v>
      </c>
      <c r="M19" t="s">
        <v>340</v>
      </c>
      <c r="N19" t="s">
        <v>341</v>
      </c>
      <c r="O19" t="s">
        <v>342</v>
      </c>
      <c r="P19">
        <v>0</v>
      </c>
      <c r="Q19" t="s">
        <v>334</v>
      </c>
      <c r="R19">
        <v>111564</v>
      </c>
      <c r="S19">
        <v>5829</v>
      </c>
      <c r="T19">
        <v>10864</v>
      </c>
      <c r="U19" t="s">
        <v>343</v>
      </c>
      <c r="V19" t="s">
        <v>274</v>
      </c>
    </row>
    <row r="20" spans="1:22" x14ac:dyDescent="0.3">
      <c r="A20" t="s">
        <v>270</v>
      </c>
      <c r="B20" t="s">
        <v>315</v>
      </c>
      <c r="C20">
        <v>348</v>
      </c>
      <c r="D20" t="s">
        <v>38</v>
      </c>
      <c r="E20" t="s">
        <v>272</v>
      </c>
      <c r="F20" t="s">
        <v>273</v>
      </c>
      <c r="G20" t="s">
        <v>274</v>
      </c>
      <c r="H20" t="s">
        <v>294</v>
      </c>
      <c r="I20">
        <v>1996</v>
      </c>
      <c r="J20">
        <v>1996</v>
      </c>
      <c r="K20" t="s">
        <v>298</v>
      </c>
      <c r="L20" t="s">
        <v>277</v>
      </c>
      <c r="M20" t="s">
        <v>325</v>
      </c>
      <c r="N20" t="s">
        <v>329</v>
      </c>
      <c r="O20" t="s">
        <v>330</v>
      </c>
      <c r="P20">
        <v>0</v>
      </c>
      <c r="Q20" t="s">
        <v>319</v>
      </c>
      <c r="R20">
        <v>97314</v>
      </c>
      <c r="S20">
        <v>4540</v>
      </c>
      <c r="T20">
        <v>14566</v>
      </c>
      <c r="U20" t="s">
        <v>331</v>
      </c>
      <c r="V20" t="s">
        <v>274</v>
      </c>
    </row>
    <row r="21" spans="1:22" x14ac:dyDescent="0.3">
      <c r="A21" t="s">
        <v>270</v>
      </c>
      <c r="B21" t="s">
        <v>315</v>
      </c>
      <c r="C21">
        <v>348</v>
      </c>
      <c r="D21" t="s">
        <v>38</v>
      </c>
      <c r="E21" t="s">
        <v>272</v>
      </c>
      <c r="F21" t="s">
        <v>273</v>
      </c>
      <c r="G21" t="s">
        <v>274</v>
      </c>
      <c r="H21" t="s">
        <v>294</v>
      </c>
      <c r="I21">
        <v>1997</v>
      </c>
      <c r="J21">
        <v>1997</v>
      </c>
      <c r="K21" t="s">
        <v>298</v>
      </c>
      <c r="L21" t="s">
        <v>277</v>
      </c>
      <c r="M21" t="s">
        <v>344</v>
      </c>
      <c r="N21" t="s">
        <v>345</v>
      </c>
      <c r="O21" t="s">
        <v>346</v>
      </c>
      <c r="P21">
        <v>0</v>
      </c>
      <c r="Q21" t="s">
        <v>334</v>
      </c>
      <c r="R21">
        <v>103922</v>
      </c>
      <c r="S21">
        <v>5397</v>
      </c>
      <c r="T21">
        <v>10202</v>
      </c>
      <c r="U21" t="s">
        <v>347</v>
      </c>
      <c r="V21" t="s">
        <v>274</v>
      </c>
    </row>
    <row r="22" spans="1:22" x14ac:dyDescent="0.3">
      <c r="A22" t="s">
        <v>270</v>
      </c>
      <c r="B22" t="s">
        <v>348</v>
      </c>
      <c r="C22">
        <v>348</v>
      </c>
      <c r="D22" t="s">
        <v>38</v>
      </c>
      <c r="E22" t="s">
        <v>272</v>
      </c>
      <c r="F22" t="s">
        <v>273</v>
      </c>
      <c r="G22" t="s">
        <v>274</v>
      </c>
      <c r="H22" t="s">
        <v>275</v>
      </c>
      <c r="I22">
        <v>2002</v>
      </c>
      <c r="J22">
        <v>2002</v>
      </c>
      <c r="K22" t="s">
        <v>298</v>
      </c>
      <c r="L22" t="s">
        <v>277</v>
      </c>
      <c r="M22" t="s">
        <v>349</v>
      </c>
      <c r="N22" t="s">
        <v>350</v>
      </c>
      <c r="O22" t="s">
        <v>351</v>
      </c>
      <c r="P22">
        <v>0</v>
      </c>
      <c r="Q22" t="s">
        <v>352</v>
      </c>
      <c r="R22">
        <v>199151</v>
      </c>
      <c r="S22">
        <v>8847</v>
      </c>
      <c r="T22">
        <v>21806</v>
      </c>
      <c r="U22" t="s">
        <v>353</v>
      </c>
      <c r="V22" t="s">
        <v>274</v>
      </c>
    </row>
    <row r="23" spans="1:22" x14ac:dyDescent="0.3">
      <c r="A23" t="s">
        <v>270</v>
      </c>
      <c r="B23" t="s">
        <v>348</v>
      </c>
      <c r="C23">
        <v>348</v>
      </c>
      <c r="D23" t="s">
        <v>38</v>
      </c>
      <c r="E23" t="s">
        <v>272</v>
      </c>
      <c r="F23" t="s">
        <v>273</v>
      </c>
      <c r="G23" t="s">
        <v>274</v>
      </c>
      <c r="H23" t="s">
        <v>275</v>
      </c>
      <c r="I23">
        <v>2004</v>
      </c>
      <c r="J23">
        <v>2004</v>
      </c>
      <c r="K23" t="s">
        <v>298</v>
      </c>
      <c r="L23" t="s">
        <v>277</v>
      </c>
      <c r="M23" t="s">
        <v>365</v>
      </c>
      <c r="N23" t="s">
        <v>366</v>
      </c>
      <c r="O23" t="s">
        <v>367</v>
      </c>
      <c r="P23">
        <v>0</v>
      </c>
      <c r="Q23" t="s">
        <v>368</v>
      </c>
      <c r="R23">
        <v>87429</v>
      </c>
      <c r="S23">
        <v>1632</v>
      </c>
      <c r="T23">
        <v>1771</v>
      </c>
      <c r="U23" t="s">
        <v>369</v>
      </c>
      <c r="V23" t="s">
        <v>274</v>
      </c>
    </row>
    <row r="24" spans="1:22" x14ac:dyDescent="0.3">
      <c r="A24" t="s">
        <v>270</v>
      </c>
      <c r="B24" t="s">
        <v>348</v>
      </c>
      <c r="C24">
        <v>348</v>
      </c>
      <c r="D24" t="s">
        <v>38</v>
      </c>
      <c r="E24" t="s">
        <v>272</v>
      </c>
      <c r="F24" t="s">
        <v>273</v>
      </c>
      <c r="G24" t="s">
        <v>274</v>
      </c>
      <c r="H24" t="s">
        <v>275</v>
      </c>
      <c r="I24">
        <v>2005</v>
      </c>
      <c r="J24">
        <v>2005</v>
      </c>
      <c r="K24" t="s">
        <v>298</v>
      </c>
      <c r="L24" t="s">
        <v>277</v>
      </c>
      <c r="M24" t="s">
        <v>370</v>
      </c>
      <c r="N24" t="s">
        <v>371</v>
      </c>
      <c r="O24" t="s">
        <v>372</v>
      </c>
      <c r="P24">
        <v>0</v>
      </c>
      <c r="Q24" t="s">
        <v>373</v>
      </c>
      <c r="R24">
        <v>79258</v>
      </c>
      <c r="S24">
        <v>1402</v>
      </c>
      <c r="T24">
        <v>1491</v>
      </c>
      <c r="U24" t="s">
        <v>374</v>
      </c>
      <c r="V24" t="s">
        <v>274</v>
      </c>
    </row>
    <row r="25" spans="1:22" x14ac:dyDescent="0.3">
      <c r="A25" t="s">
        <v>270</v>
      </c>
      <c r="B25" t="s">
        <v>348</v>
      </c>
      <c r="C25">
        <v>348</v>
      </c>
      <c r="D25" t="s">
        <v>38</v>
      </c>
      <c r="E25" t="s">
        <v>272</v>
      </c>
      <c r="F25" t="s">
        <v>273</v>
      </c>
      <c r="G25" t="s">
        <v>274</v>
      </c>
      <c r="H25" t="s">
        <v>275</v>
      </c>
      <c r="I25">
        <v>2006</v>
      </c>
      <c r="J25">
        <v>2006</v>
      </c>
      <c r="K25" t="s">
        <v>298</v>
      </c>
      <c r="L25" t="s">
        <v>277</v>
      </c>
      <c r="M25" t="s">
        <v>375</v>
      </c>
      <c r="N25" t="s">
        <v>376</v>
      </c>
      <c r="O25" t="s">
        <v>377</v>
      </c>
      <c r="P25">
        <v>0</v>
      </c>
      <c r="Q25" t="s">
        <v>373</v>
      </c>
      <c r="R25">
        <v>78912</v>
      </c>
      <c r="S25">
        <v>828</v>
      </c>
      <c r="T25">
        <v>873</v>
      </c>
      <c r="U25" t="s">
        <v>378</v>
      </c>
      <c r="V25" t="s">
        <v>274</v>
      </c>
    </row>
    <row r="26" spans="1:22" x14ac:dyDescent="0.3">
      <c r="A26" t="s">
        <v>270</v>
      </c>
      <c r="B26" t="s">
        <v>348</v>
      </c>
      <c r="C26">
        <v>348</v>
      </c>
      <c r="D26" t="s">
        <v>38</v>
      </c>
      <c r="E26" t="s">
        <v>272</v>
      </c>
      <c r="F26" t="s">
        <v>273</v>
      </c>
      <c r="G26" t="s">
        <v>274</v>
      </c>
      <c r="H26" t="s">
        <v>390</v>
      </c>
      <c r="I26">
        <v>2002</v>
      </c>
      <c r="J26">
        <v>2002</v>
      </c>
      <c r="K26" t="s">
        <v>298</v>
      </c>
      <c r="L26" t="s">
        <v>277</v>
      </c>
      <c r="M26" t="s">
        <v>349</v>
      </c>
      <c r="N26" t="s">
        <v>406</v>
      </c>
      <c r="O26" t="s">
        <v>407</v>
      </c>
      <c r="P26">
        <v>0</v>
      </c>
      <c r="Q26" t="s">
        <v>352</v>
      </c>
      <c r="R26">
        <v>86409</v>
      </c>
      <c r="S26">
        <v>4727</v>
      </c>
      <c r="T26">
        <v>10288</v>
      </c>
      <c r="U26" t="s">
        <v>408</v>
      </c>
      <c r="V26" t="s">
        <v>274</v>
      </c>
    </row>
    <row r="27" spans="1:22" x14ac:dyDescent="0.3">
      <c r="A27" t="s">
        <v>270</v>
      </c>
      <c r="B27" t="s">
        <v>348</v>
      </c>
      <c r="C27">
        <v>348</v>
      </c>
      <c r="D27" t="s">
        <v>38</v>
      </c>
      <c r="E27" t="s">
        <v>272</v>
      </c>
      <c r="F27" t="s">
        <v>273</v>
      </c>
      <c r="G27" t="s">
        <v>274</v>
      </c>
      <c r="H27" t="s">
        <v>283</v>
      </c>
      <c r="I27">
        <v>2002</v>
      </c>
      <c r="J27">
        <v>2002</v>
      </c>
      <c r="K27" t="s">
        <v>298</v>
      </c>
      <c r="L27" t="s">
        <v>277</v>
      </c>
      <c r="M27" t="s">
        <v>354</v>
      </c>
      <c r="N27" t="s">
        <v>355</v>
      </c>
      <c r="O27" t="s">
        <v>356</v>
      </c>
      <c r="P27">
        <v>0</v>
      </c>
      <c r="Q27" t="s">
        <v>352</v>
      </c>
      <c r="R27">
        <v>110222</v>
      </c>
      <c r="S27">
        <v>5880</v>
      </c>
      <c r="T27">
        <v>13044</v>
      </c>
      <c r="U27" t="s">
        <v>357</v>
      </c>
      <c r="V27" t="s">
        <v>274</v>
      </c>
    </row>
    <row r="28" spans="1:22" x14ac:dyDescent="0.3">
      <c r="A28" t="s">
        <v>270</v>
      </c>
      <c r="B28" t="s">
        <v>348</v>
      </c>
      <c r="C28">
        <v>348</v>
      </c>
      <c r="D28" t="s">
        <v>38</v>
      </c>
      <c r="E28" t="s">
        <v>272</v>
      </c>
      <c r="F28" t="s">
        <v>273</v>
      </c>
      <c r="G28" t="s">
        <v>274</v>
      </c>
      <c r="H28" t="s">
        <v>289</v>
      </c>
      <c r="I28">
        <v>2002</v>
      </c>
      <c r="J28">
        <v>2002</v>
      </c>
      <c r="K28" t="s">
        <v>298</v>
      </c>
      <c r="L28" t="s">
        <v>277</v>
      </c>
      <c r="M28" t="s">
        <v>358</v>
      </c>
      <c r="N28" t="s">
        <v>359</v>
      </c>
      <c r="O28" t="s">
        <v>360</v>
      </c>
      <c r="P28">
        <v>0</v>
      </c>
      <c r="Q28" t="s">
        <v>352</v>
      </c>
      <c r="R28">
        <v>118430</v>
      </c>
      <c r="S28">
        <v>6294</v>
      </c>
      <c r="T28">
        <v>13934</v>
      </c>
      <c r="U28" t="s">
        <v>361</v>
      </c>
      <c r="V28" t="s">
        <v>274</v>
      </c>
    </row>
    <row r="29" spans="1:22" x14ac:dyDescent="0.3">
      <c r="A29" t="s">
        <v>270</v>
      </c>
      <c r="B29" t="s">
        <v>348</v>
      </c>
      <c r="C29">
        <v>348</v>
      </c>
      <c r="D29" t="s">
        <v>38</v>
      </c>
      <c r="E29" t="s">
        <v>272</v>
      </c>
      <c r="F29" t="s">
        <v>273</v>
      </c>
      <c r="G29" t="s">
        <v>274</v>
      </c>
      <c r="H29" t="s">
        <v>294</v>
      </c>
      <c r="I29">
        <v>2002</v>
      </c>
      <c r="J29">
        <v>2002</v>
      </c>
      <c r="K29" t="s">
        <v>298</v>
      </c>
      <c r="L29" t="s">
        <v>277</v>
      </c>
      <c r="M29" t="s">
        <v>362</v>
      </c>
      <c r="N29" t="s">
        <v>355</v>
      </c>
      <c r="O29" t="s">
        <v>363</v>
      </c>
      <c r="P29">
        <v>0</v>
      </c>
      <c r="Q29" t="s">
        <v>352</v>
      </c>
      <c r="R29">
        <v>111323</v>
      </c>
      <c r="S29">
        <v>5999</v>
      </c>
      <c r="T29">
        <v>13282</v>
      </c>
      <c r="U29" t="s">
        <v>364</v>
      </c>
      <c r="V29" t="s">
        <v>274</v>
      </c>
    </row>
    <row r="30" spans="1:22" x14ac:dyDescent="0.3">
      <c r="A30" t="s">
        <v>270</v>
      </c>
      <c r="B30" t="s">
        <v>379</v>
      </c>
      <c r="C30">
        <v>348</v>
      </c>
      <c r="D30" t="s">
        <v>38</v>
      </c>
      <c r="E30" t="s">
        <v>272</v>
      </c>
      <c r="F30" t="s">
        <v>273</v>
      </c>
      <c r="G30" t="s">
        <v>274</v>
      </c>
      <c r="H30" t="s">
        <v>275</v>
      </c>
      <c r="I30">
        <v>2007</v>
      </c>
      <c r="J30">
        <v>2007</v>
      </c>
      <c r="K30" t="s">
        <v>298</v>
      </c>
      <c r="L30" t="s">
        <v>277</v>
      </c>
      <c r="M30" t="s">
        <v>380</v>
      </c>
      <c r="N30" t="s">
        <v>366</v>
      </c>
      <c r="O30" t="s">
        <v>381</v>
      </c>
      <c r="P30">
        <v>0</v>
      </c>
      <c r="Q30" t="s">
        <v>373</v>
      </c>
      <c r="R30">
        <v>83295</v>
      </c>
      <c r="S30">
        <v>1033</v>
      </c>
      <c r="T30">
        <v>994</v>
      </c>
      <c r="U30" t="s">
        <v>382</v>
      </c>
      <c r="V30" t="s">
        <v>274</v>
      </c>
    </row>
    <row r="31" spans="1:22" x14ac:dyDescent="0.3">
      <c r="A31" t="s">
        <v>270</v>
      </c>
      <c r="B31" t="s">
        <v>379</v>
      </c>
      <c r="C31">
        <v>348</v>
      </c>
      <c r="D31" t="s">
        <v>38</v>
      </c>
      <c r="E31" t="s">
        <v>272</v>
      </c>
      <c r="F31" t="s">
        <v>273</v>
      </c>
      <c r="G31" t="s">
        <v>274</v>
      </c>
      <c r="H31" t="s">
        <v>275</v>
      </c>
      <c r="I31">
        <v>2008</v>
      </c>
      <c r="J31">
        <v>2008</v>
      </c>
      <c r="K31" t="s">
        <v>298</v>
      </c>
      <c r="L31" t="s">
        <v>277</v>
      </c>
      <c r="M31" t="s">
        <v>383</v>
      </c>
      <c r="N31" t="s">
        <v>384</v>
      </c>
      <c r="O31" t="s">
        <v>385</v>
      </c>
      <c r="P31">
        <v>0</v>
      </c>
      <c r="Q31" t="s">
        <v>373</v>
      </c>
      <c r="R31">
        <v>83800</v>
      </c>
      <c r="S31">
        <v>959</v>
      </c>
      <c r="T31">
        <v>819</v>
      </c>
      <c r="U31" t="s">
        <v>386</v>
      </c>
      <c r="V31" t="s">
        <v>274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CAFC-DD12-4D51-A581-DB7CCBA4E534}">
  <dimension ref="A1:C28"/>
  <sheetViews>
    <sheetView workbookViewId="0">
      <selection activeCell="C12" sqref="C12"/>
    </sheetView>
  </sheetViews>
  <sheetFormatPr defaultRowHeight="14.4" x14ac:dyDescent="0.3"/>
  <cols>
    <col min="1" max="1" width="11" customWidth="1"/>
  </cols>
  <sheetData>
    <row r="1" spans="1:3" x14ac:dyDescent="0.3">
      <c r="A1" t="s">
        <v>388</v>
      </c>
      <c r="B1" t="s">
        <v>387</v>
      </c>
      <c r="C1" t="s">
        <v>389</v>
      </c>
    </row>
    <row r="2" spans="1:3" x14ac:dyDescent="0.3">
      <c r="A2">
        <v>1991</v>
      </c>
      <c r="B2">
        <f t="shared" ref="B2:B28" si="0">100*C2</f>
        <v>29.532550000000001</v>
      </c>
      <c r="C2">
        <v>0.29532550000000002</v>
      </c>
    </row>
    <row r="3" spans="1:3" x14ac:dyDescent="0.3">
      <c r="A3">
        <v>1992</v>
      </c>
      <c r="B3">
        <f t="shared" si="0"/>
        <v>27.769569999999998</v>
      </c>
      <c r="C3">
        <v>0.27769569999999999</v>
      </c>
    </row>
    <row r="4" spans="1:3" x14ac:dyDescent="0.3">
      <c r="A4">
        <v>1993</v>
      </c>
      <c r="B4">
        <f t="shared" si="0"/>
        <v>30.306939999999997</v>
      </c>
      <c r="C4">
        <v>0.30306939999999999</v>
      </c>
    </row>
    <row r="5" spans="1:3" x14ac:dyDescent="0.3">
      <c r="A5">
        <v>1994</v>
      </c>
      <c r="B5">
        <f t="shared" si="0"/>
        <v>30.995719999999999</v>
      </c>
      <c r="C5">
        <v>0.30995719999999999</v>
      </c>
    </row>
    <row r="6" spans="1:3" x14ac:dyDescent="0.3">
      <c r="A6">
        <v>1995</v>
      </c>
      <c r="B6">
        <f t="shared" si="0"/>
        <v>39.115789999999997</v>
      </c>
      <c r="C6">
        <v>0.3911579</v>
      </c>
    </row>
    <row r="7" spans="1:3" x14ac:dyDescent="0.3">
      <c r="A7">
        <v>1996</v>
      </c>
      <c r="B7">
        <f t="shared" si="0"/>
        <v>41.340830000000004</v>
      </c>
      <c r="C7">
        <v>0.41340830000000001</v>
      </c>
    </row>
    <row r="8" spans="1:3" x14ac:dyDescent="0.3">
      <c r="A8">
        <v>1997</v>
      </c>
      <c r="B8">
        <f t="shared" si="0"/>
        <v>46.877380000000002</v>
      </c>
      <c r="C8">
        <v>0.46877380000000002</v>
      </c>
    </row>
    <row r="9" spans="1:3" x14ac:dyDescent="0.3">
      <c r="A9">
        <v>1998</v>
      </c>
      <c r="B9">
        <f t="shared" si="0"/>
        <v>54.361750000000001</v>
      </c>
      <c r="C9">
        <v>0.54361749999999998</v>
      </c>
    </row>
    <row r="10" spans="1:3" x14ac:dyDescent="0.3">
      <c r="A10">
        <v>1999</v>
      </c>
      <c r="B10">
        <f t="shared" si="0"/>
        <v>58.207900000000002</v>
      </c>
      <c r="C10">
        <v>0.58207900000000001</v>
      </c>
    </row>
    <row r="11" spans="1:3" x14ac:dyDescent="0.3">
      <c r="A11">
        <v>2000</v>
      </c>
      <c r="B11">
        <f t="shared" si="0"/>
        <v>70.312909999999988</v>
      </c>
      <c r="C11">
        <v>0.70312909999999995</v>
      </c>
    </row>
    <row r="12" spans="1:3" x14ac:dyDescent="0.3">
      <c r="A12">
        <v>2001</v>
      </c>
      <c r="B12">
        <f t="shared" si="0"/>
        <v>65.963049999999996</v>
      </c>
      <c r="C12">
        <v>0.65963050000000001</v>
      </c>
    </row>
    <row r="13" spans="1:3" x14ac:dyDescent="0.3">
      <c r="A13">
        <v>2002</v>
      </c>
      <c r="B13">
        <f t="shared" si="0"/>
        <v>59.979439999999997</v>
      </c>
      <c r="C13">
        <v>0.59979439999999995</v>
      </c>
    </row>
    <row r="14" spans="1:3" x14ac:dyDescent="0.3">
      <c r="A14">
        <v>2003</v>
      </c>
      <c r="B14">
        <f t="shared" si="0"/>
        <v>60.177720000000001</v>
      </c>
      <c r="C14">
        <v>0.60177720000000001</v>
      </c>
    </row>
    <row r="15" spans="1:3" x14ac:dyDescent="0.3">
      <c r="A15">
        <v>2004</v>
      </c>
      <c r="B15">
        <f t="shared" si="0"/>
        <v>63.447759999999995</v>
      </c>
      <c r="C15">
        <v>0.63447759999999997</v>
      </c>
    </row>
    <row r="16" spans="1:3" x14ac:dyDescent="0.3">
      <c r="A16">
        <v>2005</v>
      </c>
      <c r="B16">
        <f t="shared" si="0"/>
        <v>64.804249999999996</v>
      </c>
      <c r="C16">
        <v>0.64804249999999997</v>
      </c>
    </row>
    <row r="17" spans="1:3" x14ac:dyDescent="0.3">
      <c r="A17">
        <v>2006</v>
      </c>
      <c r="B17">
        <f t="shared" si="0"/>
        <v>75.070549999999997</v>
      </c>
      <c r="C17">
        <v>0.75070550000000003</v>
      </c>
    </row>
    <row r="18" spans="1:3" x14ac:dyDescent="0.3">
      <c r="A18">
        <v>2007</v>
      </c>
      <c r="B18">
        <f t="shared" si="0"/>
        <v>77.256110000000007</v>
      </c>
      <c r="C18">
        <v>0.7725611</v>
      </c>
    </row>
    <row r="19" spans="1:3" x14ac:dyDescent="0.3">
      <c r="A19">
        <v>2008</v>
      </c>
      <c r="B19">
        <f t="shared" si="0"/>
        <v>78.918500000000009</v>
      </c>
      <c r="C19">
        <v>0.78918500000000003</v>
      </c>
    </row>
    <row r="20" spans="1:3" x14ac:dyDescent="0.3">
      <c r="A20">
        <v>2009</v>
      </c>
      <c r="B20">
        <f t="shared" si="0"/>
        <v>70.370990000000006</v>
      </c>
      <c r="C20">
        <v>0.7037099</v>
      </c>
    </row>
    <row r="21" spans="1:3" x14ac:dyDescent="0.3">
      <c r="A21">
        <v>2010</v>
      </c>
      <c r="B21">
        <f t="shared" si="0"/>
        <v>76.523260000000008</v>
      </c>
      <c r="C21">
        <v>0.76523260000000004</v>
      </c>
    </row>
    <row r="22" spans="1:3" x14ac:dyDescent="0.3">
      <c r="A22">
        <v>2011</v>
      </c>
      <c r="B22">
        <f t="shared" si="0"/>
        <v>80.643000000000001</v>
      </c>
      <c r="C22">
        <v>0.80642999999999998</v>
      </c>
    </row>
    <row r="23" spans="1:3" x14ac:dyDescent="0.3">
      <c r="A23">
        <v>2012</v>
      </c>
      <c r="B23">
        <f t="shared" si="0"/>
        <v>79.720439999999996</v>
      </c>
      <c r="C23">
        <v>0.79720440000000004</v>
      </c>
    </row>
    <row r="24" spans="1:3" x14ac:dyDescent="0.3">
      <c r="A24">
        <v>2013</v>
      </c>
      <c r="B24">
        <f t="shared" si="0"/>
        <v>78.684229999999999</v>
      </c>
      <c r="C24">
        <v>0.78684229999999999</v>
      </c>
    </row>
    <row r="25" spans="1:3" x14ac:dyDescent="0.3">
      <c r="A25">
        <v>2014</v>
      </c>
      <c r="B25">
        <f t="shared" si="0"/>
        <v>81.269449999999992</v>
      </c>
      <c r="C25">
        <v>0.81269449999999999</v>
      </c>
    </row>
    <row r="26" spans="1:3" x14ac:dyDescent="0.3">
      <c r="A26">
        <v>2015</v>
      </c>
      <c r="B26">
        <f t="shared" si="0"/>
        <v>81.353290000000001</v>
      </c>
      <c r="C26">
        <v>0.8135329</v>
      </c>
    </row>
    <row r="27" spans="1:3" x14ac:dyDescent="0.3">
      <c r="A27">
        <v>2016</v>
      </c>
      <c r="B27">
        <f t="shared" si="0"/>
        <v>79.45581</v>
      </c>
      <c r="C27">
        <v>0.79455810000000004</v>
      </c>
    </row>
    <row r="28" spans="1:3" x14ac:dyDescent="0.3">
      <c r="A28">
        <v>2017</v>
      </c>
      <c r="B28">
        <f t="shared" si="0"/>
        <v>82.270319999999998</v>
      </c>
      <c r="C28">
        <v>0.82270319999999997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C10BF-7DF8-4821-9AF0-EE35DDF65C1F}">
  <dimension ref="A1:AU222"/>
  <sheetViews>
    <sheetView topLeftCell="A123" workbookViewId="0">
      <selection activeCell="I153" sqref="I153"/>
    </sheetView>
  </sheetViews>
  <sheetFormatPr defaultRowHeight="14.4" x14ac:dyDescent="0.3"/>
  <cols>
    <col min="2" max="2" width="18.6640625" customWidth="1"/>
    <col min="3" max="3" width="26.88671875" customWidth="1"/>
    <col min="4" max="4" width="21.33203125" customWidth="1"/>
    <col min="5" max="5" width="14.109375" customWidth="1"/>
    <col min="6" max="6" width="41.33203125" customWidth="1"/>
    <col min="7" max="7" width="43" customWidth="1"/>
  </cols>
  <sheetData>
    <row r="1" spans="1:47" x14ac:dyDescent="0.3">
      <c r="A1" t="s">
        <v>17019</v>
      </c>
      <c r="B1" s="21" t="s">
        <v>17015</v>
      </c>
      <c r="C1" t="s">
        <v>17016</v>
      </c>
      <c r="D1" t="s">
        <v>17017</v>
      </c>
    </row>
    <row r="2" spans="1:47" x14ac:dyDescent="0.3">
      <c r="B2" t="s">
        <v>16991</v>
      </c>
      <c r="C2" t="s">
        <v>16993</v>
      </c>
      <c r="D2" t="s">
        <v>16992</v>
      </c>
      <c r="E2" t="s">
        <v>16994</v>
      </c>
      <c r="F2" t="s">
        <v>17013</v>
      </c>
      <c r="G2" t="s">
        <v>17012</v>
      </c>
      <c r="H2" t="s">
        <v>17014</v>
      </c>
      <c r="L2" t="s">
        <v>17018</v>
      </c>
    </row>
    <row r="3" spans="1:47" x14ac:dyDescent="0.3">
      <c r="A3" t="s">
        <v>16775</v>
      </c>
      <c r="B3" s="20">
        <v>28.8</v>
      </c>
      <c r="C3" s="23">
        <v>35.299999999999997</v>
      </c>
      <c r="D3" s="24">
        <v>30</v>
      </c>
      <c r="E3">
        <f>(C3-D3)/C3</f>
        <v>0.15014164305949002</v>
      </c>
      <c r="F3">
        <v>0</v>
      </c>
      <c r="G3">
        <f>B3-0</f>
        <v>28.8</v>
      </c>
      <c r="H3">
        <f>F3/G3</f>
        <v>0</v>
      </c>
    </row>
    <row r="4" spans="1:47" x14ac:dyDescent="0.3">
      <c r="A4" t="s">
        <v>16776</v>
      </c>
      <c r="B4" s="20">
        <v>29.6</v>
      </c>
      <c r="C4" s="23">
        <v>36.200000000000003</v>
      </c>
      <c r="D4" s="24">
        <v>31</v>
      </c>
      <c r="E4">
        <f t="shared" ref="E4:E67" si="0">(C4-D4)/C4</f>
        <v>0.14364640883977908</v>
      </c>
      <c r="F4">
        <v>0</v>
      </c>
      <c r="G4">
        <f t="shared" ref="G4:G67" si="1">B4-0</f>
        <v>29.6</v>
      </c>
      <c r="H4">
        <f t="shared" ref="H4:H67" si="2">F4/G4</f>
        <v>0</v>
      </c>
    </row>
    <row r="5" spans="1:47" x14ac:dyDescent="0.3">
      <c r="A5" t="s">
        <v>16777</v>
      </c>
      <c r="B5" s="20">
        <v>30.5</v>
      </c>
      <c r="C5" s="23">
        <v>37.299999999999997</v>
      </c>
      <c r="D5" s="24">
        <v>32</v>
      </c>
      <c r="E5">
        <f t="shared" si="0"/>
        <v>0.14209115281501333</v>
      </c>
      <c r="F5">
        <v>0</v>
      </c>
      <c r="G5">
        <f t="shared" si="1"/>
        <v>30.5</v>
      </c>
      <c r="H5">
        <f t="shared" si="2"/>
        <v>0</v>
      </c>
    </row>
    <row r="6" spans="1:47" x14ac:dyDescent="0.3">
      <c r="A6" t="s">
        <v>16778</v>
      </c>
      <c r="B6" s="20">
        <v>31.4</v>
      </c>
      <c r="C6" s="23">
        <v>38.299999999999997</v>
      </c>
      <c r="D6" s="24">
        <v>33.1</v>
      </c>
      <c r="E6">
        <f t="shared" si="0"/>
        <v>0.13577023498694507</v>
      </c>
      <c r="F6">
        <v>0</v>
      </c>
      <c r="G6">
        <f t="shared" si="1"/>
        <v>31.4</v>
      </c>
      <c r="H6">
        <f t="shared" si="2"/>
        <v>0</v>
      </c>
    </row>
    <row r="7" spans="1:47" x14ac:dyDescent="0.3">
      <c r="A7" t="s">
        <v>16779</v>
      </c>
      <c r="B7" s="20">
        <v>32.200000000000003</v>
      </c>
      <c r="C7" s="23">
        <v>39.299999999999997</v>
      </c>
      <c r="D7" s="24">
        <v>34</v>
      </c>
      <c r="E7">
        <f t="shared" si="0"/>
        <v>0.13486005089058517</v>
      </c>
      <c r="F7">
        <v>0</v>
      </c>
      <c r="G7">
        <f t="shared" si="1"/>
        <v>32.200000000000003</v>
      </c>
      <c r="H7">
        <f t="shared" si="2"/>
        <v>0</v>
      </c>
    </row>
    <row r="8" spans="1:47" x14ac:dyDescent="0.3">
      <c r="A8" t="s">
        <v>16780</v>
      </c>
      <c r="B8" s="20">
        <v>32</v>
      </c>
      <c r="C8" s="23">
        <v>39.1</v>
      </c>
      <c r="D8" s="24">
        <v>33.799999999999997</v>
      </c>
      <c r="E8">
        <f t="shared" si="0"/>
        <v>0.13554987212276226</v>
      </c>
      <c r="F8">
        <v>0</v>
      </c>
      <c r="G8">
        <f t="shared" si="1"/>
        <v>32</v>
      </c>
      <c r="H8">
        <f t="shared" si="2"/>
        <v>0</v>
      </c>
    </row>
    <row r="9" spans="1:47" x14ac:dyDescent="0.3">
      <c r="A9" t="s">
        <v>16781</v>
      </c>
      <c r="B9" s="20">
        <v>31.9</v>
      </c>
      <c r="C9" s="23">
        <v>39.200000000000003</v>
      </c>
      <c r="D9" s="24">
        <v>33.6</v>
      </c>
      <c r="E9">
        <f t="shared" si="0"/>
        <v>0.14285714285714288</v>
      </c>
      <c r="F9">
        <v>0</v>
      </c>
      <c r="G9">
        <f t="shared" si="1"/>
        <v>31.9</v>
      </c>
      <c r="H9">
        <f t="shared" si="2"/>
        <v>0</v>
      </c>
    </row>
    <row r="10" spans="1:47" x14ac:dyDescent="0.3">
      <c r="A10" t="s">
        <v>16782</v>
      </c>
      <c r="B10" s="20">
        <v>31.7</v>
      </c>
      <c r="C10" s="23">
        <v>39.200000000000003</v>
      </c>
      <c r="D10" s="24">
        <v>33.4</v>
      </c>
      <c r="E10">
        <f t="shared" si="0"/>
        <v>0.1479591836734695</v>
      </c>
      <c r="F10">
        <v>0</v>
      </c>
      <c r="G10">
        <f t="shared" si="1"/>
        <v>31.7</v>
      </c>
      <c r="H10">
        <f t="shared" si="2"/>
        <v>0</v>
      </c>
    </row>
    <row r="11" spans="1:47" x14ac:dyDescent="0.3">
      <c r="A11" t="s">
        <v>16783</v>
      </c>
      <c r="B11" s="20">
        <v>31.5</v>
      </c>
      <c r="C11" s="23">
        <v>39.1</v>
      </c>
      <c r="D11" s="24">
        <v>33.1</v>
      </c>
      <c r="E11">
        <f t="shared" si="0"/>
        <v>0.15345268542199489</v>
      </c>
      <c r="F11">
        <v>0</v>
      </c>
      <c r="G11">
        <f t="shared" si="1"/>
        <v>31.5</v>
      </c>
      <c r="H11">
        <f t="shared" si="2"/>
        <v>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x14ac:dyDescent="0.3">
      <c r="A12" t="s">
        <v>16784</v>
      </c>
      <c r="B12" s="20">
        <v>31.6</v>
      </c>
      <c r="C12" s="23">
        <v>39.200000000000003</v>
      </c>
      <c r="D12" s="24">
        <v>32.9</v>
      </c>
      <c r="E12">
        <f t="shared" si="0"/>
        <v>0.16071428571428581</v>
      </c>
      <c r="F12">
        <v>0</v>
      </c>
      <c r="G12">
        <f t="shared" si="1"/>
        <v>31.6</v>
      </c>
      <c r="H12">
        <f t="shared" si="2"/>
        <v>0</v>
      </c>
    </row>
    <row r="13" spans="1:47" x14ac:dyDescent="0.3">
      <c r="A13" t="s">
        <v>16785</v>
      </c>
      <c r="B13" s="20">
        <v>31.5</v>
      </c>
      <c r="C13" s="23">
        <v>39.299999999999997</v>
      </c>
      <c r="D13" s="24">
        <v>32.5</v>
      </c>
      <c r="E13">
        <f t="shared" si="0"/>
        <v>0.17302798982188289</v>
      </c>
      <c r="F13">
        <v>0</v>
      </c>
      <c r="G13">
        <f t="shared" si="1"/>
        <v>31.5</v>
      </c>
      <c r="H13">
        <f t="shared" si="2"/>
        <v>0</v>
      </c>
    </row>
    <row r="14" spans="1:47" x14ac:dyDescent="0.3">
      <c r="A14" t="s">
        <v>16786</v>
      </c>
      <c r="B14" s="20">
        <v>31.5</v>
      </c>
      <c r="C14" s="23">
        <v>39.4</v>
      </c>
      <c r="D14" s="24">
        <v>32.1</v>
      </c>
      <c r="E14">
        <f t="shared" si="0"/>
        <v>0.18527918781725883</v>
      </c>
      <c r="F14">
        <v>0</v>
      </c>
      <c r="G14">
        <f t="shared" si="1"/>
        <v>31.5</v>
      </c>
      <c r="H14">
        <f t="shared" si="2"/>
        <v>0</v>
      </c>
    </row>
    <row r="15" spans="1:47" x14ac:dyDescent="0.3">
      <c r="A15" t="s">
        <v>16787</v>
      </c>
      <c r="B15" s="20">
        <v>31.6</v>
      </c>
      <c r="C15" s="23">
        <v>39.6</v>
      </c>
      <c r="D15" s="24">
        <v>31.9</v>
      </c>
      <c r="E15">
        <f t="shared" si="0"/>
        <v>0.1944444444444445</v>
      </c>
      <c r="F15">
        <v>0</v>
      </c>
      <c r="G15">
        <f t="shared" si="1"/>
        <v>31.6</v>
      </c>
      <c r="H15">
        <f t="shared" si="2"/>
        <v>0</v>
      </c>
    </row>
    <row r="16" spans="1:47" x14ac:dyDescent="0.3">
      <c r="A16" t="s">
        <v>16788</v>
      </c>
      <c r="B16" s="20">
        <v>32.5</v>
      </c>
      <c r="C16" s="23">
        <v>40.6</v>
      </c>
      <c r="D16" s="24">
        <v>32.1</v>
      </c>
      <c r="E16">
        <f t="shared" si="0"/>
        <v>0.20935960591133004</v>
      </c>
      <c r="F16">
        <v>0</v>
      </c>
      <c r="G16">
        <f t="shared" si="1"/>
        <v>32.5</v>
      </c>
      <c r="H16">
        <f t="shared" si="2"/>
        <v>0</v>
      </c>
    </row>
    <row r="17" spans="1:8" x14ac:dyDescent="0.3">
      <c r="A17" t="s">
        <v>16789</v>
      </c>
      <c r="B17" s="20">
        <v>33.5</v>
      </c>
      <c r="C17" s="23">
        <v>41.9</v>
      </c>
      <c r="D17" s="24">
        <v>33.1</v>
      </c>
      <c r="E17">
        <f t="shared" si="0"/>
        <v>0.21002386634844863</v>
      </c>
      <c r="F17">
        <v>0</v>
      </c>
      <c r="G17">
        <f t="shared" si="1"/>
        <v>33.5</v>
      </c>
      <c r="H17">
        <f t="shared" si="2"/>
        <v>0</v>
      </c>
    </row>
    <row r="18" spans="1:8" x14ac:dyDescent="0.3">
      <c r="A18" t="s">
        <v>16790</v>
      </c>
      <c r="B18" s="20">
        <v>34.6</v>
      </c>
      <c r="C18" s="23">
        <v>43.2</v>
      </c>
      <c r="D18" s="24">
        <v>34.200000000000003</v>
      </c>
      <c r="E18">
        <f t="shared" si="0"/>
        <v>0.20833333333333331</v>
      </c>
      <c r="F18">
        <v>0</v>
      </c>
      <c r="G18">
        <f t="shared" si="1"/>
        <v>34.6</v>
      </c>
      <c r="H18">
        <f t="shared" si="2"/>
        <v>0</v>
      </c>
    </row>
    <row r="19" spans="1:8" x14ac:dyDescent="0.3">
      <c r="A19" t="s">
        <v>16791</v>
      </c>
      <c r="B19" s="20">
        <v>35.5</v>
      </c>
      <c r="C19" s="23">
        <v>44.4</v>
      </c>
      <c r="D19" s="24">
        <v>35.5</v>
      </c>
      <c r="E19">
        <f t="shared" si="0"/>
        <v>0.20045045045045043</v>
      </c>
      <c r="F19">
        <v>0</v>
      </c>
      <c r="G19">
        <f t="shared" si="1"/>
        <v>35.5</v>
      </c>
      <c r="H19">
        <f t="shared" si="2"/>
        <v>0</v>
      </c>
    </row>
    <row r="20" spans="1:8" x14ac:dyDescent="0.3">
      <c r="A20" t="s">
        <v>16792</v>
      </c>
      <c r="B20" s="20">
        <v>35.700000000000003</v>
      </c>
      <c r="C20" s="23">
        <v>44.6</v>
      </c>
      <c r="D20" s="24">
        <v>35</v>
      </c>
      <c r="E20">
        <f t="shared" si="0"/>
        <v>0.21524663677130049</v>
      </c>
      <c r="F20">
        <v>0</v>
      </c>
      <c r="G20">
        <f t="shared" si="1"/>
        <v>35.700000000000003</v>
      </c>
      <c r="H20">
        <f t="shared" si="2"/>
        <v>0</v>
      </c>
    </row>
    <row r="21" spans="1:8" x14ac:dyDescent="0.3">
      <c r="A21" t="s">
        <v>16793</v>
      </c>
      <c r="B21" s="20">
        <v>35.700000000000003</v>
      </c>
      <c r="C21" s="23">
        <v>44.9</v>
      </c>
      <c r="D21" s="24">
        <v>35.200000000000003</v>
      </c>
      <c r="E21">
        <f t="shared" si="0"/>
        <v>0.21603563474387519</v>
      </c>
      <c r="F21">
        <v>0</v>
      </c>
      <c r="G21">
        <f t="shared" si="1"/>
        <v>35.700000000000003</v>
      </c>
      <c r="H21">
        <f t="shared" si="2"/>
        <v>0</v>
      </c>
    </row>
    <row r="22" spans="1:8" x14ac:dyDescent="0.3">
      <c r="A22" t="s">
        <v>16794</v>
      </c>
      <c r="B22" s="20">
        <v>35.700000000000003</v>
      </c>
      <c r="C22" s="23">
        <v>45.2</v>
      </c>
      <c r="D22" s="24">
        <v>35.4</v>
      </c>
      <c r="E22">
        <f t="shared" si="0"/>
        <v>0.21681415929203549</v>
      </c>
      <c r="F22">
        <v>0</v>
      </c>
      <c r="G22">
        <f t="shared" si="1"/>
        <v>35.700000000000003</v>
      </c>
      <c r="H22">
        <f t="shared" si="2"/>
        <v>0</v>
      </c>
    </row>
    <row r="23" spans="1:8" x14ac:dyDescent="0.3">
      <c r="A23" t="s">
        <v>16795</v>
      </c>
      <c r="B23" s="20">
        <v>35.6</v>
      </c>
      <c r="C23" s="23">
        <v>45.4</v>
      </c>
      <c r="D23" s="24">
        <v>34.9</v>
      </c>
      <c r="E23">
        <f t="shared" si="0"/>
        <v>0.2312775330396476</v>
      </c>
      <c r="F23">
        <v>0</v>
      </c>
      <c r="G23">
        <f t="shared" si="1"/>
        <v>35.6</v>
      </c>
      <c r="H23">
        <f t="shared" si="2"/>
        <v>0</v>
      </c>
    </row>
    <row r="24" spans="1:8" x14ac:dyDescent="0.3">
      <c r="A24" t="s">
        <v>16796</v>
      </c>
      <c r="B24" s="20">
        <v>36.4</v>
      </c>
      <c r="C24" s="23">
        <v>46.2</v>
      </c>
      <c r="D24" s="24">
        <v>35.799999999999997</v>
      </c>
      <c r="E24">
        <f t="shared" si="0"/>
        <v>0.22510822510822523</v>
      </c>
      <c r="F24">
        <v>0</v>
      </c>
      <c r="G24">
        <f t="shared" si="1"/>
        <v>36.4</v>
      </c>
      <c r="H24">
        <f t="shared" si="2"/>
        <v>0</v>
      </c>
    </row>
    <row r="25" spans="1:8" x14ac:dyDescent="0.3">
      <c r="A25" t="s">
        <v>16797</v>
      </c>
      <c r="B25" s="20">
        <v>37.200000000000003</v>
      </c>
      <c r="C25" s="23">
        <v>47.3</v>
      </c>
      <c r="D25" s="24">
        <v>37.5</v>
      </c>
      <c r="E25">
        <f t="shared" si="0"/>
        <v>0.20718816067653273</v>
      </c>
      <c r="F25">
        <v>0</v>
      </c>
      <c r="G25">
        <f t="shared" si="1"/>
        <v>37.200000000000003</v>
      </c>
      <c r="H25">
        <f t="shared" si="2"/>
        <v>0</v>
      </c>
    </row>
    <row r="26" spans="1:8" x14ac:dyDescent="0.3">
      <c r="A26" t="s">
        <v>16798</v>
      </c>
      <c r="B26" s="20">
        <v>38</v>
      </c>
      <c r="C26" s="23">
        <v>48.3</v>
      </c>
      <c r="D26" s="24">
        <v>37.9</v>
      </c>
      <c r="E26">
        <f t="shared" si="0"/>
        <v>0.21532091097308487</v>
      </c>
      <c r="F26">
        <v>0</v>
      </c>
      <c r="G26">
        <f t="shared" si="1"/>
        <v>38</v>
      </c>
      <c r="H26">
        <f t="shared" si="2"/>
        <v>0</v>
      </c>
    </row>
    <row r="27" spans="1:8" x14ac:dyDescent="0.3">
      <c r="A27" t="s">
        <v>16799</v>
      </c>
      <c r="B27" s="20">
        <v>38.6</v>
      </c>
      <c r="C27" s="23">
        <v>49.2</v>
      </c>
      <c r="D27" s="24">
        <v>38</v>
      </c>
      <c r="E27">
        <f t="shared" si="0"/>
        <v>0.22764227642276427</v>
      </c>
      <c r="F27">
        <v>0</v>
      </c>
      <c r="G27">
        <f t="shared" si="1"/>
        <v>38.6</v>
      </c>
      <c r="H27">
        <f t="shared" si="2"/>
        <v>0</v>
      </c>
    </row>
    <row r="28" spans="1:8" x14ac:dyDescent="0.3">
      <c r="A28" t="s">
        <v>16800</v>
      </c>
      <c r="B28" s="20">
        <v>39.200000000000003</v>
      </c>
      <c r="C28" s="23">
        <v>49.9</v>
      </c>
      <c r="D28" s="24">
        <v>38.299999999999997</v>
      </c>
      <c r="E28">
        <f t="shared" si="0"/>
        <v>0.23246492985971948</v>
      </c>
      <c r="F28">
        <v>0</v>
      </c>
      <c r="G28">
        <f t="shared" si="1"/>
        <v>39.200000000000003</v>
      </c>
      <c r="H28">
        <f t="shared" si="2"/>
        <v>0</v>
      </c>
    </row>
    <row r="29" spans="1:8" x14ac:dyDescent="0.3">
      <c r="A29" t="s">
        <v>16801</v>
      </c>
      <c r="B29" s="20">
        <v>39.6</v>
      </c>
      <c r="C29" s="23">
        <v>50.5</v>
      </c>
      <c r="D29" s="24">
        <v>38.700000000000003</v>
      </c>
      <c r="E29">
        <f t="shared" si="0"/>
        <v>0.23366336633663359</v>
      </c>
      <c r="F29">
        <v>0</v>
      </c>
      <c r="G29">
        <f t="shared" si="1"/>
        <v>39.6</v>
      </c>
      <c r="H29">
        <f t="shared" si="2"/>
        <v>0</v>
      </c>
    </row>
    <row r="30" spans="1:8" x14ac:dyDescent="0.3">
      <c r="A30" t="s">
        <v>16802</v>
      </c>
      <c r="B30" s="20">
        <v>40.1</v>
      </c>
      <c r="C30" s="23">
        <v>51.2</v>
      </c>
      <c r="D30" s="24">
        <v>39</v>
      </c>
      <c r="E30">
        <f t="shared" si="0"/>
        <v>0.23828125000000006</v>
      </c>
      <c r="F30">
        <v>0</v>
      </c>
      <c r="G30">
        <f t="shared" si="1"/>
        <v>40.1</v>
      </c>
      <c r="H30">
        <f t="shared" si="2"/>
        <v>0</v>
      </c>
    </row>
    <row r="31" spans="1:8" x14ac:dyDescent="0.3">
      <c r="A31" t="s">
        <v>16803</v>
      </c>
      <c r="B31" s="20">
        <v>40.5</v>
      </c>
      <c r="C31" s="23">
        <v>51.8</v>
      </c>
      <c r="D31" s="24">
        <v>38.9</v>
      </c>
      <c r="E31">
        <f t="shared" si="0"/>
        <v>0.24903474903474901</v>
      </c>
      <c r="F31">
        <v>0</v>
      </c>
      <c r="G31">
        <f t="shared" si="1"/>
        <v>40.5</v>
      </c>
      <c r="H31">
        <f t="shared" si="2"/>
        <v>0</v>
      </c>
    </row>
    <row r="32" spans="1:8" x14ac:dyDescent="0.3">
      <c r="A32" t="s">
        <v>16804</v>
      </c>
      <c r="B32" s="20">
        <v>41.5</v>
      </c>
      <c r="C32" s="23">
        <v>52.8</v>
      </c>
      <c r="D32" s="24">
        <v>40.4</v>
      </c>
      <c r="E32">
        <f t="shared" si="0"/>
        <v>0.23484848484848483</v>
      </c>
      <c r="F32">
        <v>0</v>
      </c>
      <c r="G32">
        <f t="shared" si="1"/>
        <v>41.5</v>
      </c>
      <c r="H32">
        <f t="shared" si="2"/>
        <v>0</v>
      </c>
    </row>
    <row r="33" spans="1:8" x14ac:dyDescent="0.3">
      <c r="A33" t="s">
        <v>16805</v>
      </c>
      <c r="B33" s="20">
        <v>42.6</v>
      </c>
      <c r="C33" s="23">
        <v>54.1</v>
      </c>
      <c r="D33" s="24">
        <v>41.2</v>
      </c>
      <c r="E33">
        <f t="shared" si="0"/>
        <v>0.2384473197781885</v>
      </c>
      <c r="F33">
        <v>0</v>
      </c>
      <c r="G33">
        <f t="shared" si="1"/>
        <v>42.6</v>
      </c>
      <c r="H33">
        <f t="shared" si="2"/>
        <v>0</v>
      </c>
    </row>
    <row r="34" spans="1:8" x14ac:dyDescent="0.3">
      <c r="A34" t="s">
        <v>16806</v>
      </c>
      <c r="B34" s="20">
        <v>43.6</v>
      </c>
      <c r="C34" s="23">
        <v>55.4</v>
      </c>
      <c r="D34" s="24">
        <v>41.6</v>
      </c>
      <c r="E34">
        <f t="shared" si="0"/>
        <v>0.24909747292418769</v>
      </c>
      <c r="F34">
        <v>0</v>
      </c>
      <c r="G34">
        <f t="shared" si="1"/>
        <v>43.6</v>
      </c>
      <c r="H34">
        <f t="shared" si="2"/>
        <v>0</v>
      </c>
    </row>
    <row r="35" spans="1:8" x14ac:dyDescent="0.3">
      <c r="A35" t="s">
        <v>16807</v>
      </c>
      <c r="B35" s="20">
        <v>44.5</v>
      </c>
      <c r="C35" s="23">
        <v>56.6</v>
      </c>
      <c r="D35" s="24">
        <v>41.7</v>
      </c>
      <c r="E35">
        <f t="shared" si="0"/>
        <v>0.26325088339222613</v>
      </c>
      <c r="F35">
        <v>0</v>
      </c>
      <c r="G35">
        <f t="shared" si="1"/>
        <v>44.5</v>
      </c>
      <c r="H35">
        <f t="shared" si="2"/>
        <v>0</v>
      </c>
    </row>
    <row r="36" spans="1:8" x14ac:dyDescent="0.3">
      <c r="A36" t="s">
        <v>16808</v>
      </c>
      <c r="B36" s="20">
        <v>44.9</v>
      </c>
      <c r="C36" s="23">
        <v>56.9</v>
      </c>
      <c r="D36" s="24">
        <v>43.3</v>
      </c>
      <c r="E36">
        <f t="shared" si="0"/>
        <v>0.23901581722319862</v>
      </c>
      <c r="F36">
        <v>0</v>
      </c>
      <c r="G36">
        <f t="shared" si="1"/>
        <v>44.9</v>
      </c>
      <c r="H36">
        <f t="shared" si="2"/>
        <v>0</v>
      </c>
    </row>
    <row r="37" spans="1:8" x14ac:dyDescent="0.3">
      <c r="A37" t="s">
        <v>16809</v>
      </c>
      <c r="B37" s="20">
        <v>45.2</v>
      </c>
      <c r="C37" s="23">
        <v>57.5</v>
      </c>
      <c r="D37" s="24">
        <v>44</v>
      </c>
      <c r="E37">
        <f t="shared" si="0"/>
        <v>0.23478260869565218</v>
      </c>
      <c r="F37">
        <v>0</v>
      </c>
      <c r="G37">
        <f t="shared" si="1"/>
        <v>45.2</v>
      </c>
      <c r="H37">
        <f t="shared" si="2"/>
        <v>0</v>
      </c>
    </row>
    <row r="38" spans="1:8" x14ac:dyDescent="0.3">
      <c r="A38" t="s">
        <v>16810</v>
      </c>
      <c r="B38" s="20">
        <v>45.5</v>
      </c>
      <c r="C38" s="23">
        <v>58</v>
      </c>
      <c r="D38" s="24">
        <v>44.4</v>
      </c>
      <c r="E38">
        <f t="shared" si="0"/>
        <v>0.23448275862068968</v>
      </c>
      <c r="F38">
        <v>0</v>
      </c>
      <c r="G38">
        <f t="shared" si="1"/>
        <v>45.5</v>
      </c>
      <c r="H38">
        <f t="shared" si="2"/>
        <v>0</v>
      </c>
    </row>
    <row r="39" spans="1:8" x14ac:dyDescent="0.3">
      <c r="A39" t="s">
        <v>16811</v>
      </c>
      <c r="B39" s="20">
        <v>46</v>
      </c>
      <c r="C39" s="23">
        <v>58.6</v>
      </c>
      <c r="D39" s="24">
        <v>42.9</v>
      </c>
      <c r="E39">
        <f t="shared" si="0"/>
        <v>0.26791808873720141</v>
      </c>
      <c r="F39">
        <v>0</v>
      </c>
      <c r="G39">
        <f t="shared" si="1"/>
        <v>46</v>
      </c>
      <c r="H39">
        <f t="shared" si="2"/>
        <v>0</v>
      </c>
    </row>
    <row r="40" spans="1:8" x14ac:dyDescent="0.3">
      <c r="A40" t="s">
        <v>16812</v>
      </c>
      <c r="B40" s="20">
        <v>45.8</v>
      </c>
      <c r="C40" s="23">
        <v>58.7</v>
      </c>
      <c r="D40" s="24">
        <v>45.3</v>
      </c>
      <c r="E40">
        <f t="shared" si="0"/>
        <v>0.22827938671209549</v>
      </c>
      <c r="F40">
        <v>0</v>
      </c>
      <c r="G40">
        <f t="shared" si="1"/>
        <v>45.8</v>
      </c>
      <c r="H40">
        <f t="shared" si="2"/>
        <v>0</v>
      </c>
    </row>
    <row r="41" spans="1:8" x14ac:dyDescent="0.3">
      <c r="A41" t="s">
        <v>16813</v>
      </c>
      <c r="B41" s="20">
        <v>45.9</v>
      </c>
      <c r="C41" s="23">
        <v>59.1</v>
      </c>
      <c r="D41" s="24">
        <v>45.9</v>
      </c>
      <c r="E41">
        <f t="shared" si="0"/>
        <v>0.22335025380710663</v>
      </c>
      <c r="F41">
        <v>0</v>
      </c>
      <c r="G41">
        <f t="shared" si="1"/>
        <v>45.9</v>
      </c>
      <c r="H41">
        <f t="shared" si="2"/>
        <v>0</v>
      </c>
    </row>
    <row r="42" spans="1:8" x14ac:dyDescent="0.3">
      <c r="A42" t="s">
        <v>16814</v>
      </c>
      <c r="B42" s="20">
        <v>46.1</v>
      </c>
      <c r="C42" s="23">
        <v>59.6</v>
      </c>
      <c r="D42" s="24">
        <v>46.1</v>
      </c>
      <c r="E42">
        <f t="shared" si="0"/>
        <v>0.22651006711409397</v>
      </c>
      <c r="F42">
        <v>0</v>
      </c>
      <c r="G42">
        <f t="shared" si="1"/>
        <v>46.1</v>
      </c>
      <c r="H42">
        <f t="shared" si="2"/>
        <v>0</v>
      </c>
    </row>
    <row r="43" spans="1:8" x14ac:dyDescent="0.3">
      <c r="A43" t="s">
        <v>16815</v>
      </c>
      <c r="B43" s="20">
        <v>46</v>
      </c>
      <c r="C43" s="23">
        <v>59.9</v>
      </c>
      <c r="D43" s="24">
        <v>44.5</v>
      </c>
      <c r="E43">
        <f t="shared" si="0"/>
        <v>0.25709515859766274</v>
      </c>
      <c r="F43">
        <v>0</v>
      </c>
      <c r="G43">
        <f t="shared" si="1"/>
        <v>46</v>
      </c>
      <c r="H43">
        <f t="shared" si="2"/>
        <v>0</v>
      </c>
    </row>
    <row r="44" spans="1:8" x14ac:dyDescent="0.3">
      <c r="A44" t="s">
        <v>16816</v>
      </c>
      <c r="B44" s="20">
        <v>46.1</v>
      </c>
      <c r="C44" s="23">
        <v>60</v>
      </c>
      <c r="D44" s="24">
        <v>45.6</v>
      </c>
      <c r="E44">
        <f t="shared" si="0"/>
        <v>0.23999999999999996</v>
      </c>
      <c r="F44">
        <v>0</v>
      </c>
      <c r="G44">
        <f t="shared" si="1"/>
        <v>46.1</v>
      </c>
      <c r="H44">
        <f t="shared" si="2"/>
        <v>0</v>
      </c>
    </row>
    <row r="45" spans="1:8" x14ac:dyDescent="0.3">
      <c r="A45" t="s">
        <v>16817</v>
      </c>
      <c r="B45" s="20">
        <v>46</v>
      </c>
      <c r="C45" s="23">
        <v>60</v>
      </c>
      <c r="D45" s="24">
        <v>45.4</v>
      </c>
      <c r="E45">
        <f t="shared" si="0"/>
        <v>0.24333333333333335</v>
      </c>
      <c r="F45">
        <v>0</v>
      </c>
      <c r="G45">
        <f t="shared" si="1"/>
        <v>46</v>
      </c>
      <c r="H45">
        <f t="shared" si="2"/>
        <v>0</v>
      </c>
    </row>
    <row r="46" spans="1:8" x14ac:dyDescent="0.3">
      <c r="A46" t="s">
        <v>16818</v>
      </c>
      <c r="B46" s="20">
        <v>45.8</v>
      </c>
      <c r="C46" s="23">
        <v>60.1</v>
      </c>
      <c r="D46" s="24">
        <v>44.9</v>
      </c>
      <c r="E46">
        <f t="shared" si="0"/>
        <v>0.25291181364392684</v>
      </c>
      <c r="F46">
        <v>0</v>
      </c>
      <c r="G46">
        <f t="shared" si="1"/>
        <v>45.8</v>
      </c>
      <c r="H46">
        <f t="shared" si="2"/>
        <v>0</v>
      </c>
    </row>
    <row r="47" spans="1:8" x14ac:dyDescent="0.3">
      <c r="A47" t="s">
        <v>16819</v>
      </c>
      <c r="B47" s="20">
        <v>45.5</v>
      </c>
      <c r="C47" s="23">
        <v>59.9</v>
      </c>
      <c r="D47" s="24">
        <v>44</v>
      </c>
      <c r="E47">
        <f t="shared" si="0"/>
        <v>0.26544240400667779</v>
      </c>
      <c r="F47">
        <v>0</v>
      </c>
      <c r="G47">
        <f t="shared" si="1"/>
        <v>45.5</v>
      </c>
      <c r="H47">
        <f t="shared" si="2"/>
        <v>0</v>
      </c>
    </row>
    <row r="48" spans="1:8" x14ac:dyDescent="0.3">
      <c r="A48" t="s">
        <v>16820</v>
      </c>
      <c r="B48" s="20">
        <v>45.7</v>
      </c>
      <c r="C48" s="23">
        <v>60</v>
      </c>
      <c r="D48" s="24">
        <v>44.7</v>
      </c>
      <c r="E48">
        <f t="shared" si="0"/>
        <v>0.25499999999999995</v>
      </c>
      <c r="F48">
        <v>0</v>
      </c>
      <c r="G48">
        <f t="shared" si="1"/>
        <v>45.7</v>
      </c>
      <c r="H48">
        <f t="shared" si="2"/>
        <v>0</v>
      </c>
    </row>
    <row r="49" spans="1:8" x14ac:dyDescent="0.3">
      <c r="A49" t="s">
        <v>16821</v>
      </c>
      <c r="B49" s="20">
        <v>45.9</v>
      </c>
      <c r="C49" s="23">
        <v>60.3</v>
      </c>
      <c r="D49" s="24">
        <v>44.2</v>
      </c>
      <c r="E49">
        <f t="shared" si="0"/>
        <v>0.26699834162520719</v>
      </c>
      <c r="F49">
        <v>0</v>
      </c>
      <c r="G49">
        <f t="shared" si="1"/>
        <v>45.9</v>
      </c>
      <c r="H49">
        <f t="shared" si="2"/>
        <v>0</v>
      </c>
    </row>
    <row r="50" spans="1:8" x14ac:dyDescent="0.3">
      <c r="A50" t="s">
        <v>16822</v>
      </c>
      <c r="B50" s="20">
        <v>46.1</v>
      </c>
      <c r="C50" s="23">
        <v>60.6</v>
      </c>
      <c r="D50" s="24">
        <v>43.4</v>
      </c>
      <c r="E50">
        <f t="shared" si="0"/>
        <v>0.28382838283828388</v>
      </c>
      <c r="F50">
        <v>0</v>
      </c>
      <c r="G50">
        <f t="shared" si="1"/>
        <v>46.1</v>
      </c>
      <c r="H50">
        <f t="shared" si="2"/>
        <v>0</v>
      </c>
    </row>
    <row r="51" spans="1:8" x14ac:dyDescent="0.3">
      <c r="A51" t="s">
        <v>16823</v>
      </c>
      <c r="B51" s="20">
        <v>46.4</v>
      </c>
      <c r="C51" s="23">
        <v>61.1</v>
      </c>
      <c r="D51" s="24">
        <v>42.8</v>
      </c>
      <c r="E51">
        <f t="shared" si="0"/>
        <v>0.29950900163666128</v>
      </c>
      <c r="F51">
        <v>0</v>
      </c>
      <c r="G51">
        <f t="shared" si="1"/>
        <v>46.4</v>
      </c>
      <c r="H51">
        <f t="shared" si="2"/>
        <v>0</v>
      </c>
    </row>
    <row r="52" spans="1:8" x14ac:dyDescent="0.3">
      <c r="A52" t="s">
        <v>16824</v>
      </c>
      <c r="B52" s="20">
        <v>47.7</v>
      </c>
      <c r="C52" s="23">
        <v>62.5</v>
      </c>
      <c r="D52" s="24">
        <v>44.2</v>
      </c>
      <c r="E52">
        <f t="shared" si="0"/>
        <v>0.29279999999999995</v>
      </c>
      <c r="F52">
        <v>0</v>
      </c>
      <c r="G52">
        <f t="shared" si="1"/>
        <v>47.7</v>
      </c>
      <c r="H52">
        <f t="shared" si="2"/>
        <v>0</v>
      </c>
    </row>
    <row r="53" spans="1:8" x14ac:dyDescent="0.3">
      <c r="A53" t="s">
        <v>16825</v>
      </c>
      <c r="B53" s="20">
        <v>47.8</v>
      </c>
      <c r="C53" s="23">
        <v>63.1</v>
      </c>
      <c r="D53" s="24">
        <v>44</v>
      </c>
      <c r="E53">
        <f t="shared" si="0"/>
        <v>0.30269413629160064</v>
      </c>
      <c r="F53">
        <v>0</v>
      </c>
      <c r="G53">
        <f t="shared" si="1"/>
        <v>47.8</v>
      </c>
      <c r="H53">
        <f t="shared" si="2"/>
        <v>0</v>
      </c>
    </row>
    <row r="54" spans="1:8" x14ac:dyDescent="0.3">
      <c r="A54" t="s">
        <v>16826</v>
      </c>
      <c r="B54" s="20">
        <v>47.7</v>
      </c>
      <c r="C54" s="23">
        <v>63.5</v>
      </c>
      <c r="D54" s="24">
        <v>44</v>
      </c>
      <c r="E54">
        <f t="shared" si="0"/>
        <v>0.30708661417322836</v>
      </c>
      <c r="F54">
        <v>0</v>
      </c>
      <c r="G54">
        <f t="shared" si="1"/>
        <v>47.7</v>
      </c>
      <c r="H54">
        <f t="shared" si="2"/>
        <v>0</v>
      </c>
    </row>
    <row r="55" spans="1:8" x14ac:dyDescent="0.3">
      <c r="A55" t="s">
        <v>16827</v>
      </c>
      <c r="B55" s="20">
        <v>46.9</v>
      </c>
      <c r="C55" s="23">
        <v>62.9</v>
      </c>
      <c r="D55" s="24">
        <v>43.4</v>
      </c>
      <c r="E55">
        <f t="shared" si="0"/>
        <v>0.31001589825119236</v>
      </c>
      <c r="F55">
        <v>0</v>
      </c>
      <c r="G55">
        <f t="shared" si="1"/>
        <v>46.9</v>
      </c>
      <c r="H55">
        <f t="shared" si="2"/>
        <v>0</v>
      </c>
    </row>
    <row r="56" spans="1:8" x14ac:dyDescent="0.3">
      <c r="A56" t="s">
        <v>16828</v>
      </c>
      <c r="B56" s="20">
        <v>48.3</v>
      </c>
      <c r="C56" s="23">
        <v>64.599999999999994</v>
      </c>
      <c r="D56" s="24">
        <v>44.6</v>
      </c>
      <c r="E56">
        <f t="shared" si="0"/>
        <v>0.30959752321981415</v>
      </c>
      <c r="F56">
        <v>0</v>
      </c>
      <c r="G56">
        <f t="shared" si="1"/>
        <v>48.3</v>
      </c>
      <c r="H56">
        <f t="shared" si="2"/>
        <v>0</v>
      </c>
    </row>
    <row r="57" spans="1:8" x14ac:dyDescent="0.3">
      <c r="A57" t="s">
        <v>16829</v>
      </c>
      <c r="B57" s="20">
        <v>47.2</v>
      </c>
      <c r="C57" s="23">
        <v>63.8</v>
      </c>
      <c r="D57" s="24">
        <v>44.2</v>
      </c>
      <c r="E57">
        <f t="shared" si="0"/>
        <v>0.30721003134796232</v>
      </c>
      <c r="F57">
        <v>0</v>
      </c>
      <c r="G57">
        <f t="shared" si="1"/>
        <v>47.2</v>
      </c>
      <c r="H57">
        <f t="shared" si="2"/>
        <v>0</v>
      </c>
    </row>
    <row r="58" spans="1:8" x14ac:dyDescent="0.3">
      <c r="A58" t="s">
        <v>16830</v>
      </c>
      <c r="B58" s="20">
        <v>46.7</v>
      </c>
      <c r="C58" s="23">
        <v>63.6</v>
      </c>
      <c r="D58" s="24">
        <v>43.9</v>
      </c>
      <c r="E58">
        <f t="shared" si="0"/>
        <v>0.30974842767295602</v>
      </c>
      <c r="F58">
        <v>0</v>
      </c>
      <c r="G58">
        <f t="shared" si="1"/>
        <v>46.7</v>
      </c>
      <c r="H58">
        <f t="shared" si="2"/>
        <v>0</v>
      </c>
    </row>
    <row r="59" spans="1:8" x14ac:dyDescent="0.3">
      <c r="A59" t="s">
        <v>16831</v>
      </c>
      <c r="B59" s="20">
        <v>46.2</v>
      </c>
      <c r="C59" s="23">
        <v>63.1</v>
      </c>
      <c r="D59" s="24">
        <v>43.1</v>
      </c>
      <c r="E59">
        <f t="shared" si="0"/>
        <v>0.31695721077654515</v>
      </c>
      <c r="F59">
        <v>0</v>
      </c>
      <c r="G59">
        <f t="shared" si="1"/>
        <v>46.2</v>
      </c>
      <c r="H59">
        <f t="shared" si="2"/>
        <v>0</v>
      </c>
    </row>
    <row r="60" spans="1:8" x14ac:dyDescent="0.3">
      <c r="A60" t="s">
        <v>16832</v>
      </c>
      <c r="B60" s="20">
        <v>46.6</v>
      </c>
      <c r="C60" s="23">
        <v>63.8</v>
      </c>
      <c r="D60" s="24">
        <v>44</v>
      </c>
      <c r="E60">
        <f t="shared" si="0"/>
        <v>0.31034482758620685</v>
      </c>
      <c r="F60">
        <v>0</v>
      </c>
      <c r="G60">
        <f t="shared" si="1"/>
        <v>46.6</v>
      </c>
      <c r="H60">
        <f t="shared" si="2"/>
        <v>0</v>
      </c>
    </row>
    <row r="61" spans="1:8" x14ac:dyDescent="0.3">
      <c r="A61" t="s">
        <v>16833</v>
      </c>
      <c r="B61" s="20">
        <v>47.4</v>
      </c>
      <c r="C61" s="23">
        <v>65.099999999999994</v>
      </c>
      <c r="D61" s="24">
        <v>45.2</v>
      </c>
      <c r="E61">
        <f t="shared" si="0"/>
        <v>0.30568356374807976</v>
      </c>
      <c r="F61">
        <v>0</v>
      </c>
      <c r="G61">
        <f t="shared" si="1"/>
        <v>47.4</v>
      </c>
      <c r="H61">
        <f t="shared" si="2"/>
        <v>0</v>
      </c>
    </row>
    <row r="62" spans="1:8" x14ac:dyDescent="0.3">
      <c r="A62" t="s">
        <v>16834</v>
      </c>
      <c r="B62" s="20">
        <v>46.4</v>
      </c>
      <c r="C62" s="23">
        <v>64.599999999999994</v>
      </c>
      <c r="D62" s="24">
        <v>45.4</v>
      </c>
      <c r="E62">
        <f t="shared" si="0"/>
        <v>0.29721362229102161</v>
      </c>
      <c r="F62">
        <v>0</v>
      </c>
      <c r="G62">
        <f t="shared" si="1"/>
        <v>46.4</v>
      </c>
      <c r="H62">
        <f t="shared" si="2"/>
        <v>0</v>
      </c>
    </row>
    <row r="63" spans="1:8" x14ac:dyDescent="0.3">
      <c r="A63" t="s">
        <v>16835</v>
      </c>
      <c r="B63" s="20">
        <v>45.8</v>
      </c>
      <c r="C63" s="23">
        <v>64.2</v>
      </c>
      <c r="D63" s="24">
        <v>45</v>
      </c>
      <c r="E63">
        <f t="shared" si="0"/>
        <v>0.2990654205607477</v>
      </c>
      <c r="F63">
        <v>0</v>
      </c>
      <c r="G63">
        <f t="shared" si="1"/>
        <v>45.8</v>
      </c>
      <c r="H63">
        <f t="shared" si="2"/>
        <v>0</v>
      </c>
    </row>
    <row r="64" spans="1:8" x14ac:dyDescent="0.3">
      <c r="A64" t="s">
        <v>16836</v>
      </c>
      <c r="B64" s="20">
        <v>46.3</v>
      </c>
      <c r="C64" s="23">
        <v>65.099999999999994</v>
      </c>
      <c r="D64" s="24">
        <v>46.1</v>
      </c>
      <c r="E64">
        <f t="shared" si="0"/>
        <v>0.29185867895545309</v>
      </c>
      <c r="F64">
        <v>0</v>
      </c>
      <c r="G64">
        <f t="shared" si="1"/>
        <v>46.3</v>
      </c>
      <c r="H64">
        <f t="shared" si="2"/>
        <v>0</v>
      </c>
    </row>
    <row r="65" spans="1:8" x14ac:dyDescent="0.3">
      <c r="A65" t="s">
        <v>16837</v>
      </c>
      <c r="B65" s="20">
        <v>46.8</v>
      </c>
      <c r="C65" s="23">
        <v>66.2</v>
      </c>
      <c r="D65" s="24">
        <v>47.3</v>
      </c>
      <c r="E65">
        <f t="shared" si="0"/>
        <v>0.28549848942598194</v>
      </c>
      <c r="F65">
        <v>0</v>
      </c>
      <c r="G65">
        <f t="shared" si="1"/>
        <v>46.8</v>
      </c>
      <c r="H65">
        <f t="shared" si="2"/>
        <v>0</v>
      </c>
    </row>
    <row r="66" spans="1:8" x14ac:dyDescent="0.3">
      <c r="A66" t="s">
        <v>16838</v>
      </c>
      <c r="B66" s="20">
        <v>46.9</v>
      </c>
      <c r="C66" s="23">
        <v>66.900000000000006</v>
      </c>
      <c r="D66" s="24">
        <v>47.9</v>
      </c>
      <c r="E66">
        <f t="shared" si="0"/>
        <v>0.28400597907324371</v>
      </c>
      <c r="F66">
        <v>0</v>
      </c>
      <c r="G66">
        <f t="shared" si="1"/>
        <v>46.9</v>
      </c>
      <c r="H66">
        <f t="shared" si="2"/>
        <v>0</v>
      </c>
    </row>
    <row r="67" spans="1:8" x14ac:dyDescent="0.3">
      <c r="A67" t="s">
        <v>16839</v>
      </c>
      <c r="B67" s="20">
        <v>46.6</v>
      </c>
      <c r="C67" s="23">
        <v>66.599999999999994</v>
      </c>
      <c r="D67" s="24">
        <v>47.7</v>
      </c>
      <c r="E67">
        <f t="shared" si="0"/>
        <v>0.28378378378378366</v>
      </c>
      <c r="F67">
        <v>0</v>
      </c>
      <c r="G67">
        <f t="shared" si="1"/>
        <v>46.6</v>
      </c>
      <c r="H67">
        <f t="shared" si="2"/>
        <v>0</v>
      </c>
    </row>
    <row r="68" spans="1:8" x14ac:dyDescent="0.3">
      <c r="A68" t="s">
        <v>16840</v>
      </c>
      <c r="B68" s="20">
        <v>47.1</v>
      </c>
      <c r="C68" s="23">
        <v>67.2</v>
      </c>
      <c r="D68" s="24">
        <v>48.1</v>
      </c>
      <c r="E68">
        <f t="shared" ref="E68:E131" si="3">(C68-D68)/C68</f>
        <v>0.28422619047619047</v>
      </c>
      <c r="F68">
        <f>B68*E68-$E$67*$B$67</f>
        <v>0.16272924710425229</v>
      </c>
      <c r="G68">
        <f>B68-$E$67*$B$67</f>
        <v>33.87567567567568</v>
      </c>
      <c r="H68">
        <f t="shared" ref="H68:H131" si="4">F68/G68</f>
        <v>4.8037195969820763E-3</v>
      </c>
    </row>
    <row r="69" spans="1:8" x14ac:dyDescent="0.3">
      <c r="A69" t="s">
        <v>16841</v>
      </c>
      <c r="B69" s="20">
        <v>46.8</v>
      </c>
      <c r="C69" s="23">
        <v>67.2</v>
      </c>
      <c r="D69" s="24">
        <v>48</v>
      </c>
      <c r="E69">
        <f t="shared" si="3"/>
        <v>0.28571428571428575</v>
      </c>
      <c r="F69">
        <f t="shared" ref="F69:F132" si="5">B69*E69-$E$67*$B$67</f>
        <v>0.14710424710425229</v>
      </c>
      <c r="G69">
        <f t="shared" ref="G69:G132" si="6">B69-$E$67*$B$67</f>
        <v>33.575675675675676</v>
      </c>
      <c r="H69">
        <f t="shared" si="4"/>
        <v>4.3812743643703899E-3</v>
      </c>
    </row>
    <row r="70" spans="1:8" x14ac:dyDescent="0.3">
      <c r="A70" t="s">
        <v>16842</v>
      </c>
      <c r="B70" s="20">
        <v>46.5</v>
      </c>
      <c r="C70" s="23">
        <v>67</v>
      </c>
      <c r="D70" s="24">
        <v>47.9</v>
      </c>
      <c r="E70">
        <f t="shared" si="3"/>
        <v>0.28507462686567164</v>
      </c>
      <c r="F70">
        <f t="shared" si="5"/>
        <v>3.1645824929411148E-2</v>
      </c>
      <c r="G70">
        <f t="shared" si="6"/>
        <v>33.275675675675679</v>
      </c>
      <c r="H70">
        <f t="shared" si="4"/>
        <v>9.5101975502616344E-4</v>
      </c>
    </row>
    <row r="71" spans="1:8" x14ac:dyDescent="0.3">
      <c r="A71" t="s">
        <v>16843</v>
      </c>
      <c r="B71" s="20">
        <v>46.8</v>
      </c>
      <c r="C71" s="23">
        <v>67.400000000000006</v>
      </c>
      <c r="D71" s="24">
        <v>48</v>
      </c>
      <c r="E71">
        <f t="shared" si="3"/>
        <v>0.28783382789317513</v>
      </c>
      <c r="F71">
        <f t="shared" si="5"/>
        <v>0.24629882107627488</v>
      </c>
      <c r="G71">
        <f t="shared" si="6"/>
        <v>33.575675675675676</v>
      </c>
      <c r="H71">
        <f t="shared" si="4"/>
        <v>7.3356326006779118E-3</v>
      </c>
    </row>
    <row r="72" spans="1:8" x14ac:dyDescent="0.3">
      <c r="A72" t="s">
        <v>16844</v>
      </c>
      <c r="B72" s="20">
        <v>45.9</v>
      </c>
      <c r="C72" s="23">
        <v>66.3</v>
      </c>
      <c r="D72" s="24">
        <v>46.4</v>
      </c>
      <c r="E72">
        <f t="shared" si="3"/>
        <v>0.30015082956259426</v>
      </c>
      <c r="F72">
        <f t="shared" si="5"/>
        <v>0.55259875259875635</v>
      </c>
      <c r="G72">
        <f t="shared" si="6"/>
        <v>32.675675675675677</v>
      </c>
      <c r="H72">
        <f t="shared" si="4"/>
        <v>1.6911624355793204E-2</v>
      </c>
    </row>
    <row r="73" spans="1:8" x14ac:dyDescent="0.3">
      <c r="A73" t="s">
        <v>16845</v>
      </c>
      <c r="B73" s="20">
        <v>45.1</v>
      </c>
      <c r="C73" s="23">
        <v>65.400000000000006</v>
      </c>
      <c r="D73" s="24">
        <v>45.7</v>
      </c>
      <c r="E73">
        <f t="shared" si="3"/>
        <v>0.30122324159021407</v>
      </c>
      <c r="F73">
        <f t="shared" si="5"/>
        <v>0.36084387139433538</v>
      </c>
      <c r="G73">
        <f t="shared" si="6"/>
        <v>31.87567567567568</v>
      </c>
      <c r="H73">
        <f t="shared" si="4"/>
        <v>1.1320352078675943E-2</v>
      </c>
    </row>
    <row r="74" spans="1:8" x14ac:dyDescent="0.3">
      <c r="A74" t="s">
        <v>16846</v>
      </c>
      <c r="B74" s="20">
        <v>44.7</v>
      </c>
      <c r="C74" s="23">
        <v>65.099999999999994</v>
      </c>
      <c r="D74" s="24">
        <v>45.3</v>
      </c>
      <c r="E74">
        <f t="shared" si="3"/>
        <v>0.30414746543778798</v>
      </c>
      <c r="F74">
        <f t="shared" si="5"/>
        <v>0.37106738074480461</v>
      </c>
      <c r="G74">
        <f t="shared" si="6"/>
        <v>31.475675675675681</v>
      </c>
      <c r="H74">
        <f t="shared" si="4"/>
        <v>1.1789020339651183E-2</v>
      </c>
    </row>
    <row r="75" spans="1:8" x14ac:dyDescent="0.3">
      <c r="A75" t="s">
        <v>16847</v>
      </c>
      <c r="B75" s="20">
        <v>44.7</v>
      </c>
      <c r="C75" s="23">
        <v>64.7</v>
      </c>
      <c r="D75" s="24">
        <v>44.6</v>
      </c>
      <c r="E75">
        <f t="shared" si="3"/>
        <v>0.31066460587326122</v>
      </c>
      <c r="F75">
        <f t="shared" si="5"/>
        <v>0.66238355821045758</v>
      </c>
      <c r="G75">
        <f t="shared" si="6"/>
        <v>31.475675675675681</v>
      </c>
      <c r="H75">
        <f t="shared" si="4"/>
        <v>2.1044299891625387E-2</v>
      </c>
    </row>
    <row r="76" spans="1:8" x14ac:dyDescent="0.3">
      <c r="A76" t="s">
        <v>16848</v>
      </c>
      <c r="B76" s="20">
        <v>46.3</v>
      </c>
      <c r="C76" s="23">
        <v>66</v>
      </c>
      <c r="D76" s="24">
        <v>46</v>
      </c>
      <c r="E76">
        <f t="shared" si="3"/>
        <v>0.30303030303030304</v>
      </c>
      <c r="F76">
        <f t="shared" si="5"/>
        <v>0.8059787059787098</v>
      </c>
      <c r="G76">
        <f t="shared" si="6"/>
        <v>33.075675675675676</v>
      </c>
      <c r="H76">
        <f t="shared" si="4"/>
        <v>2.4367717046259407E-2</v>
      </c>
    </row>
    <row r="77" spans="1:8" x14ac:dyDescent="0.3">
      <c r="A77" t="s">
        <v>16849</v>
      </c>
      <c r="B77" s="20">
        <v>46.1</v>
      </c>
      <c r="C77" s="23">
        <v>65.8</v>
      </c>
      <c r="D77" s="24">
        <v>46</v>
      </c>
      <c r="E77">
        <f t="shared" si="3"/>
        <v>0.30091185410334342</v>
      </c>
      <c r="F77">
        <f t="shared" si="5"/>
        <v>0.64771214983981196</v>
      </c>
      <c r="G77">
        <f t="shared" si="6"/>
        <v>32.87567567567568</v>
      </c>
      <c r="H77">
        <f t="shared" si="4"/>
        <v>1.9701865787629922E-2</v>
      </c>
    </row>
    <row r="78" spans="1:8" x14ac:dyDescent="0.3">
      <c r="A78" t="s">
        <v>16850</v>
      </c>
      <c r="B78" s="20">
        <v>47</v>
      </c>
      <c r="C78" s="23">
        <v>66.599999999999994</v>
      </c>
      <c r="D78" s="24">
        <v>47.3</v>
      </c>
      <c r="E78">
        <f t="shared" si="3"/>
        <v>0.28978978978978975</v>
      </c>
      <c r="F78">
        <f t="shared" si="5"/>
        <v>0.39579579579579871</v>
      </c>
      <c r="G78">
        <f t="shared" si="6"/>
        <v>33.775675675675679</v>
      </c>
      <c r="H78">
        <f t="shared" si="4"/>
        <v>1.1718367963866969E-2</v>
      </c>
    </row>
    <row r="79" spans="1:8" x14ac:dyDescent="0.3">
      <c r="A79" t="s">
        <v>16851</v>
      </c>
      <c r="B79" s="20">
        <v>43</v>
      </c>
      <c r="C79" s="23">
        <v>61.1</v>
      </c>
      <c r="D79" s="24">
        <v>42.6</v>
      </c>
      <c r="E79">
        <f t="shared" si="3"/>
        <v>0.30278232405891981</v>
      </c>
      <c r="F79">
        <f t="shared" si="5"/>
        <v>-0.20468438979076886</v>
      </c>
      <c r="G79">
        <f t="shared" si="6"/>
        <v>29.775675675675679</v>
      </c>
      <c r="H79">
        <f t="shared" si="4"/>
        <v>-6.8742147792125322E-3</v>
      </c>
    </row>
    <row r="80" spans="1:8" x14ac:dyDescent="0.3">
      <c r="A80" t="s">
        <v>16852</v>
      </c>
      <c r="B80" s="20">
        <v>41.9</v>
      </c>
      <c r="C80" s="23">
        <v>59.5</v>
      </c>
      <c r="D80" s="24">
        <v>41.5</v>
      </c>
      <c r="E80">
        <f t="shared" si="3"/>
        <v>0.30252100840336132</v>
      </c>
      <c r="F80">
        <f t="shared" si="5"/>
        <v>-0.54869407222347988</v>
      </c>
      <c r="G80">
        <f t="shared" si="6"/>
        <v>28.675675675675677</v>
      </c>
      <c r="H80">
        <f t="shared" si="4"/>
        <v>-1.9134477542194866E-2</v>
      </c>
    </row>
    <row r="81" spans="1:8" x14ac:dyDescent="0.3">
      <c r="A81" t="s">
        <v>16853</v>
      </c>
      <c r="B81" s="20">
        <v>41.6</v>
      </c>
      <c r="C81" s="23">
        <v>58.9</v>
      </c>
      <c r="D81" s="24">
        <v>41.3</v>
      </c>
      <c r="E81">
        <f t="shared" si="3"/>
        <v>0.29881154499151108</v>
      </c>
      <c r="F81">
        <f t="shared" si="5"/>
        <v>-0.79376405267745831</v>
      </c>
      <c r="G81">
        <f t="shared" si="6"/>
        <v>28.37567567567568</v>
      </c>
      <c r="H81">
        <f t="shared" si="4"/>
        <v>-2.7973397417912136E-2</v>
      </c>
    </row>
    <row r="82" spans="1:8" x14ac:dyDescent="0.3">
      <c r="A82" t="s">
        <v>16854</v>
      </c>
      <c r="B82" s="20">
        <v>41.7</v>
      </c>
      <c r="C82" s="23">
        <v>59.2</v>
      </c>
      <c r="D82" s="24">
        <v>42</v>
      </c>
      <c r="E82">
        <f t="shared" si="3"/>
        <v>0.29054054054054057</v>
      </c>
      <c r="F82">
        <f t="shared" si="5"/>
        <v>-1.1087837837837764</v>
      </c>
      <c r="G82">
        <f t="shared" si="6"/>
        <v>28.475675675675681</v>
      </c>
      <c r="H82">
        <f t="shared" si="4"/>
        <v>-3.8937927107061239E-2</v>
      </c>
    </row>
    <row r="83" spans="1:8" x14ac:dyDescent="0.3">
      <c r="A83" t="s">
        <v>16855</v>
      </c>
      <c r="B83" s="20">
        <v>42.8</v>
      </c>
      <c r="C83" s="23">
        <v>59.8</v>
      </c>
      <c r="D83" s="24">
        <v>41.9</v>
      </c>
      <c r="E83">
        <f t="shared" si="3"/>
        <v>0.29933110367892973</v>
      </c>
      <c r="F83">
        <f t="shared" si="5"/>
        <v>-0.41295308686612842</v>
      </c>
      <c r="G83">
        <f t="shared" si="6"/>
        <v>29.575675675675676</v>
      </c>
      <c r="H83">
        <f t="shared" si="4"/>
        <v>-1.39625918066771E-2</v>
      </c>
    </row>
    <row r="84" spans="1:8" x14ac:dyDescent="0.3">
      <c r="A84" t="s">
        <v>16856</v>
      </c>
      <c r="B84" s="20">
        <v>42.9</v>
      </c>
      <c r="C84" s="23">
        <v>57.7</v>
      </c>
      <c r="D84" s="24">
        <v>41.4</v>
      </c>
      <c r="E84">
        <f t="shared" si="3"/>
        <v>0.28249566724436748</v>
      </c>
      <c r="F84">
        <f t="shared" si="5"/>
        <v>-1.1052601995409557</v>
      </c>
      <c r="G84">
        <f t="shared" si="6"/>
        <v>29.675675675675677</v>
      </c>
      <c r="H84">
        <f t="shared" si="4"/>
        <v>-3.724465153280087E-2</v>
      </c>
    </row>
    <row r="85" spans="1:8" x14ac:dyDescent="0.3">
      <c r="A85" t="s">
        <v>16857</v>
      </c>
      <c r="B85" s="20">
        <v>43.8</v>
      </c>
      <c r="C85" s="23">
        <v>55.5</v>
      </c>
      <c r="D85" s="24">
        <v>39.299999999999997</v>
      </c>
      <c r="E85">
        <f t="shared" si="3"/>
        <v>0.29189189189189196</v>
      </c>
      <c r="F85">
        <f t="shared" si="5"/>
        <v>-0.43945945945945297</v>
      </c>
      <c r="G85">
        <f t="shared" si="6"/>
        <v>30.575675675675676</v>
      </c>
      <c r="H85">
        <f t="shared" si="4"/>
        <v>-1.437284539909817E-2</v>
      </c>
    </row>
    <row r="86" spans="1:8" x14ac:dyDescent="0.3">
      <c r="A86" t="s">
        <v>16858</v>
      </c>
      <c r="B86" s="20">
        <v>43.2</v>
      </c>
      <c r="C86" s="23">
        <v>54.8</v>
      </c>
      <c r="D86" s="24">
        <v>39.5</v>
      </c>
      <c r="E86">
        <f t="shared" si="3"/>
        <v>0.27919708029197077</v>
      </c>
      <c r="F86">
        <f t="shared" si="5"/>
        <v>-1.1630104557111824</v>
      </c>
      <c r="G86">
        <f t="shared" si="6"/>
        <v>29.975675675675681</v>
      </c>
      <c r="H86">
        <f t="shared" si="4"/>
        <v>-3.8798473412058193E-2</v>
      </c>
    </row>
    <row r="87" spans="1:8" x14ac:dyDescent="0.3">
      <c r="A87" t="s">
        <v>16859</v>
      </c>
      <c r="B87" s="20">
        <v>44.6</v>
      </c>
      <c r="C87" s="23">
        <v>55.5</v>
      </c>
      <c r="D87" s="24">
        <v>39.700000000000003</v>
      </c>
      <c r="E87">
        <f t="shared" si="3"/>
        <v>0.28468468468468461</v>
      </c>
      <c r="F87">
        <f t="shared" si="5"/>
        <v>-0.52738738738738533</v>
      </c>
      <c r="G87">
        <f t="shared" si="6"/>
        <v>31.37567567567568</v>
      </c>
      <c r="H87">
        <f t="shared" si="4"/>
        <v>-1.6808797771843617E-2</v>
      </c>
    </row>
    <row r="88" spans="1:8" x14ac:dyDescent="0.3">
      <c r="A88" t="s">
        <v>16860</v>
      </c>
      <c r="B88" s="20">
        <v>42.2</v>
      </c>
      <c r="C88" s="23">
        <v>52.7</v>
      </c>
      <c r="D88" s="24">
        <v>37.1</v>
      </c>
      <c r="E88">
        <f t="shared" si="3"/>
        <v>0.29601518026565465</v>
      </c>
      <c r="F88">
        <f t="shared" si="5"/>
        <v>-0.73248371711369309</v>
      </c>
      <c r="G88">
        <f t="shared" si="6"/>
        <v>28.975675675675681</v>
      </c>
      <c r="H88">
        <f t="shared" si="4"/>
        <v>-2.5279262693038557E-2</v>
      </c>
    </row>
    <row r="89" spans="1:8" x14ac:dyDescent="0.3">
      <c r="A89" t="s">
        <v>16861</v>
      </c>
      <c r="B89" s="20">
        <v>42.5</v>
      </c>
      <c r="C89" s="23">
        <v>52.8</v>
      </c>
      <c r="D89" s="24">
        <v>36.9</v>
      </c>
      <c r="E89">
        <f t="shared" si="3"/>
        <v>0.30113636363636365</v>
      </c>
      <c r="F89">
        <f t="shared" si="5"/>
        <v>-0.42602886977886456</v>
      </c>
      <c r="G89">
        <f t="shared" si="6"/>
        <v>29.275675675675679</v>
      </c>
      <c r="H89">
        <f t="shared" si="4"/>
        <v>-1.4552315529743341E-2</v>
      </c>
    </row>
    <row r="90" spans="1:8" x14ac:dyDescent="0.3">
      <c r="A90" t="s">
        <v>16862</v>
      </c>
      <c r="B90" s="20">
        <v>41.5</v>
      </c>
      <c r="C90" s="23">
        <v>51.8</v>
      </c>
      <c r="D90" s="24">
        <v>36.1</v>
      </c>
      <c r="E90">
        <f t="shared" si="3"/>
        <v>0.30308880308880304</v>
      </c>
      <c r="F90">
        <f t="shared" si="5"/>
        <v>-0.64613899613899406</v>
      </c>
      <c r="G90">
        <f t="shared" si="6"/>
        <v>28.275675675675679</v>
      </c>
      <c r="H90">
        <f t="shared" si="4"/>
        <v>-2.2851407816041655E-2</v>
      </c>
    </row>
    <row r="91" spans="1:8" x14ac:dyDescent="0.3">
      <c r="A91" t="s">
        <v>16863</v>
      </c>
      <c r="B91" s="20">
        <v>38.200000000000003</v>
      </c>
      <c r="C91" s="23">
        <v>48.2</v>
      </c>
      <c r="D91" s="24">
        <v>32.4</v>
      </c>
      <c r="E91">
        <f t="shared" si="3"/>
        <v>0.32780082987551873</v>
      </c>
      <c r="F91">
        <f t="shared" si="5"/>
        <v>-0.70233262307950284</v>
      </c>
      <c r="G91">
        <f t="shared" si="6"/>
        <v>24.975675675675681</v>
      </c>
      <c r="H91">
        <f t="shared" si="4"/>
        <v>-2.8120665570762472E-2</v>
      </c>
    </row>
    <row r="92" spans="1:8" x14ac:dyDescent="0.3">
      <c r="A92" t="s">
        <v>16864</v>
      </c>
      <c r="B92" s="20">
        <v>38.4</v>
      </c>
      <c r="C92" s="23">
        <v>48.3</v>
      </c>
      <c r="D92" s="24">
        <v>32</v>
      </c>
      <c r="E92">
        <f t="shared" si="3"/>
        <v>0.33747412008281569</v>
      </c>
      <c r="F92">
        <f t="shared" si="5"/>
        <v>-0.26531811314419684</v>
      </c>
      <c r="G92">
        <f t="shared" si="6"/>
        <v>25.175675675675677</v>
      </c>
      <c r="H92">
        <f t="shared" si="4"/>
        <v>-1.0538669013779155E-2</v>
      </c>
    </row>
    <row r="93" spans="1:8" x14ac:dyDescent="0.3">
      <c r="A93" t="s">
        <v>16865</v>
      </c>
      <c r="B93" s="20">
        <v>37.6</v>
      </c>
      <c r="C93" s="23">
        <v>47.5</v>
      </c>
      <c r="D93" s="24">
        <v>31.5</v>
      </c>
      <c r="E93">
        <f t="shared" si="3"/>
        <v>0.33684210526315789</v>
      </c>
      <c r="F93">
        <f t="shared" si="5"/>
        <v>-0.55906116642958281</v>
      </c>
      <c r="G93">
        <f t="shared" si="6"/>
        <v>24.37567567567568</v>
      </c>
      <c r="H93">
        <f t="shared" si="4"/>
        <v>-2.2935206960743498E-2</v>
      </c>
    </row>
    <row r="94" spans="1:8" x14ac:dyDescent="0.3">
      <c r="A94" t="s">
        <v>16866</v>
      </c>
      <c r="B94" s="20">
        <v>37.1</v>
      </c>
      <c r="C94" s="23">
        <v>46.9</v>
      </c>
      <c r="D94" s="24">
        <v>30.9</v>
      </c>
      <c r="E94">
        <f t="shared" si="3"/>
        <v>0.34115138592750532</v>
      </c>
      <c r="F94">
        <f t="shared" si="5"/>
        <v>-0.56760790641387082</v>
      </c>
      <c r="G94">
        <f t="shared" si="6"/>
        <v>23.87567567567568</v>
      </c>
      <c r="H94">
        <f t="shared" si="4"/>
        <v>-2.3773480345611518E-2</v>
      </c>
    </row>
    <row r="95" spans="1:8" x14ac:dyDescent="0.3">
      <c r="A95" t="s">
        <v>16867</v>
      </c>
      <c r="B95" s="20">
        <v>37.4</v>
      </c>
      <c r="C95" s="23">
        <v>47</v>
      </c>
      <c r="D95" s="24">
        <v>29.8</v>
      </c>
      <c r="E95">
        <f t="shared" si="3"/>
        <v>0.36595744680851061</v>
      </c>
      <c r="F95">
        <f t="shared" si="5"/>
        <v>0.46248418631397747</v>
      </c>
      <c r="G95">
        <f t="shared" si="6"/>
        <v>24.175675675675677</v>
      </c>
      <c r="H95">
        <f t="shared" si="4"/>
        <v>1.9130145213658096E-2</v>
      </c>
    </row>
    <row r="96" spans="1:8" x14ac:dyDescent="0.3">
      <c r="A96" t="s">
        <v>16868</v>
      </c>
      <c r="B96" s="20">
        <v>37.200000000000003</v>
      </c>
      <c r="C96" s="23">
        <v>46.6</v>
      </c>
      <c r="D96" s="24">
        <v>29.4</v>
      </c>
      <c r="E96">
        <f t="shared" si="3"/>
        <v>0.36909871244635201</v>
      </c>
      <c r="F96">
        <f t="shared" si="5"/>
        <v>0.50614777867997596</v>
      </c>
      <c r="G96">
        <f t="shared" si="6"/>
        <v>23.975675675675681</v>
      </c>
      <c r="H96">
        <f t="shared" si="4"/>
        <v>2.111088694753591E-2</v>
      </c>
    </row>
    <row r="97" spans="1:8" x14ac:dyDescent="0.3">
      <c r="A97" t="s">
        <v>16869</v>
      </c>
      <c r="B97" s="20">
        <v>38.799999999999997</v>
      </c>
      <c r="C97" s="23">
        <v>48</v>
      </c>
      <c r="D97" s="24">
        <v>29.7</v>
      </c>
      <c r="E97">
        <f t="shared" si="3"/>
        <v>0.38125000000000003</v>
      </c>
      <c r="F97">
        <f t="shared" si="5"/>
        <v>1.5681756756756808</v>
      </c>
      <c r="G97">
        <f t="shared" si="6"/>
        <v>25.575675675675676</v>
      </c>
      <c r="H97">
        <f t="shared" si="4"/>
        <v>6.1315122054317016E-2</v>
      </c>
    </row>
    <row r="98" spans="1:8" x14ac:dyDescent="0.3">
      <c r="A98" t="s">
        <v>16870</v>
      </c>
      <c r="B98" s="20">
        <v>39.9</v>
      </c>
      <c r="C98" s="23">
        <v>49</v>
      </c>
      <c r="D98" s="24">
        <v>29.5</v>
      </c>
      <c r="E98">
        <f t="shared" si="3"/>
        <v>0.39795918367346939</v>
      </c>
      <c r="F98">
        <f t="shared" si="5"/>
        <v>2.6542471042471085</v>
      </c>
      <c r="G98">
        <f t="shared" si="6"/>
        <v>26.675675675675677</v>
      </c>
      <c r="H98">
        <f t="shared" si="4"/>
        <v>9.9500651324359687E-2</v>
      </c>
    </row>
    <row r="99" spans="1:8" x14ac:dyDescent="0.3">
      <c r="A99" t="s">
        <v>16871</v>
      </c>
      <c r="B99" s="20">
        <v>40.299999999999997</v>
      </c>
      <c r="C99" s="23">
        <v>49.2</v>
      </c>
      <c r="D99" s="24">
        <v>29.5</v>
      </c>
      <c r="E99">
        <f t="shared" si="3"/>
        <v>0.40040650406504069</v>
      </c>
      <c r="F99">
        <f t="shared" si="5"/>
        <v>2.9120577894968189</v>
      </c>
      <c r="G99">
        <f t="shared" si="6"/>
        <v>27.075675675675676</v>
      </c>
      <c r="H99">
        <f t="shared" si="4"/>
        <v>0.10755254363284318</v>
      </c>
    </row>
    <row r="100" spans="1:8" x14ac:dyDescent="0.3">
      <c r="A100" t="s">
        <v>16872</v>
      </c>
      <c r="B100" s="20">
        <v>39.700000000000003</v>
      </c>
      <c r="C100" s="23">
        <v>47.9</v>
      </c>
      <c r="D100" s="24">
        <v>27.9</v>
      </c>
      <c r="E100">
        <f t="shared" si="3"/>
        <v>0.41753653444676408</v>
      </c>
      <c r="F100">
        <f t="shared" si="5"/>
        <v>3.3518760932122174</v>
      </c>
      <c r="G100">
        <f t="shared" si="6"/>
        <v>26.475675675675681</v>
      </c>
      <c r="H100">
        <f t="shared" si="4"/>
        <v>0.12660209825321767</v>
      </c>
    </row>
    <row r="101" spans="1:8" x14ac:dyDescent="0.3">
      <c r="A101" t="s">
        <v>16873</v>
      </c>
      <c r="B101" s="20">
        <v>39.799999999999997</v>
      </c>
      <c r="C101" s="23">
        <v>47.4</v>
      </c>
      <c r="D101" s="24">
        <v>26.3</v>
      </c>
      <c r="E101">
        <f t="shared" si="3"/>
        <v>0.44514767932489446</v>
      </c>
      <c r="F101">
        <f t="shared" si="5"/>
        <v>4.4925533128064803</v>
      </c>
      <c r="G101">
        <f t="shared" si="6"/>
        <v>26.575675675675676</v>
      </c>
      <c r="H101">
        <f t="shared" si="4"/>
        <v>0.16904756694176729</v>
      </c>
    </row>
    <row r="102" spans="1:8" x14ac:dyDescent="0.3">
      <c r="A102" t="s">
        <v>16874</v>
      </c>
      <c r="B102" s="20">
        <v>40.1</v>
      </c>
      <c r="C102" s="23">
        <v>47.2</v>
      </c>
      <c r="D102" s="24">
        <v>25.7</v>
      </c>
      <c r="E102">
        <f t="shared" si="3"/>
        <v>0.45550847457627125</v>
      </c>
      <c r="F102">
        <f t="shared" si="5"/>
        <v>5.041565506184158</v>
      </c>
      <c r="G102">
        <f t="shared" si="6"/>
        <v>26.87567567567568</v>
      </c>
      <c r="H102">
        <f t="shared" si="4"/>
        <v>0.18758841887451108</v>
      </c>
    </row>
    <row r="103" spans="1:8" x14ac:dyDescent="0.3">
      <c r="A103" t="s">
        <v>16875</v>
      </c>
      <c r="B103" s="20">
        <v>38.4</v>
      </c>
      <c r="C103" s="23">
        <v>45</v>
      </c>
      <c r="D103" s="24">
        <v>24.3</v>
      </c>
      <c r="E103">
        <f t="shared" si="3"/>
        <v>0.45999999999999996</v>
      </c>
      <c r="F103">
        <f t="shared" si="5"/>
        <v>4.4396756756756783</v>
      </c>
      <c r="G103">
        <f t="shared" si="6"/>
        <v>25.175675675675677</v>
      </c>
      <c r="H103">
        <f t="shared" si="4"/>
        <v>0.17634782608695662</v>
      </c>
    </row>
    <row r="104" spans="1:8" x14ac:dyDescent="0.3">
      <c r="A104" t="s">
        <v>16876</v>
      </c>
      <c r="B104" s="20">
        <v>37.700000000000003</v>
      </c>
      <c r="C104" s="23">
        <v>43.8</v>
      </c>
      <c r="D104" s="24">
        <v>22.3</v>
      </c>
      <c r="E104">
        <f t="shared" si="3"/>
        <v>0.49086757990867574</v>
      </c>
      <c r="F104">
        <f t="shared" si="5"/>
        <v>5.2813834382327567</v>
      </c>
      <c r="G104">
        <f t="shared" si="6"/>
        <v>24.475675675675681</v>
      </c>
      <c r="H104">
        <f t="shared" si="4"/>
        <v>0.21578090460977467</v>
      </c>
    </row>
    <row r="105" spans="1:8" x14ac:dyDescent="0.3">
      <c r="A105" t="s">
        <v>16877</v>
      </c>
      <c r="B105" s="20">
        <v>38.1</v>
      </c>
      <c r="C105" s="23">
        <v>43.9</v>
      </c>
      <c r="D105" s="24">
        <v>21.3</v>
      </c>
      <c r="E105">
        <f t="shared" si="3"/>
        <v>0.51480637813211838</v>
      </c>
      <c r="F105">
        <f t="shared" si="5"/>
        <v>6.389798682509392</v>
      </c>
      <c r="G105">
        <f t="shared" si="6"/>
        <v>24.87567567567568</v>
      </c>
      <c r="H105">
        <f t="shared" si="4"/>
        <v>0.2568693516436848</v>
      </c>
    </row>
    <row r="106" spans="1:8" x14ac:dyDescent="0.3">
      <c r="A106" t="s">
        <v>16878</v>
      </c>
      <c r="B106" s="20">
        <v>39.299999999999997</v>
      </c>
      <c r="C106" s="23">
        <v>44.8</v>
      </c>
      <c r="D106" s="24">
        <v>21.7</v>
      </c>
      <c r="E106">
        <f t="shared" si="3"/>
        <v>0.515625</v>
      </c>
      <c r="F106">
        <f t="shared" si="5"/>
        <v>7.0397381756756783</v>
      </c>
      <c r="G106">
        <f t="shared" si="6"/>
        <v>26.075675675675676</v>
      </c>
      <c r="H106">
        <f t="shared" si="4"/>
        <v>0.2699733753109454</v>
      </c>
    </row>
    <row r="107" spans="1:8" x14ac:dyDescent="0.3">
      <c r="A107" t="s">
        <v>16879</v>
      </c>
      <c r="B107" s="20">
        <v>43.1</v>
      </c>
      <c r="C107" s="23">
        <v>48.3</v>
      </c>
      <c r="D107" s="24">
        <v>23</v>
      </c>
      <c r="E107">
        <f t="shared" si="3"/>
        <v>0.52380952380952384</v>
      </c>
      <c r="F107">
        <f t="shared" si="5"/>
        <v>9.3518661518661599</v>
      </c>
      <c r="G107">
        <f t="shared" si="6"/>
        <v>29.87567567567568</v>
      </c>
      <c r="H107">
        <f t="shared" si="4"/>
        <v>0.313026096995701</v>
      </c>
    </row>
    <row r="108" spans="1:8" x14ac:dyDescent="0.3">
      <c r="A108" t="s">
        <v>16880</v>
      </c>
      <c r="B108" s="20">
        <v>42.7</v>
      </c>
      <c r="C108" s="23">
        <v>47.5</v>
      </c>
      <c r="D108" s="24">
        <v>22.9</v>
      </c>
      <c r="E108">
        <f t="shared" si="3"/>
        <v>0.5178947368421053</v>
      </c>
      <c r="F108">
        <f t="shared" si="5"/>
        <v>8.8897809388335798</v>
      </c>
      <c r="G108">
        <f t="shared" si="6"/>
        <v>29.475675675675681</v>
      </c>
      <c r="H108">
        <f t="shared" si="4"/>
        <v>0.30159718937909624</v>
      </c>
    </row>
    <row r="109" spans="1:8" x14ac:dyDescent="0.3">
      <c r="A109" t="s">
        <v>16881</v>
      </c>
      <c r="B109" s="20">
        <v>43.9</v>
      </c>
      <c r="C109" s="23">
        <v>48.6</v>
      </c>
      <c r="D109" s="24">
        <v>23.3</v>
      </c>
      <c r="E109">
        <f t="shared" si="3"/>
        <v>0.52057613168724282</v>
      </c>
      <c r="F109">
        <f t="shared" si="5"/>
        <v>9.6289678567456409</v>
      </c>
      <c r="G109">
        <f t="shared" si="6"/>
        <v>30.675675675675677</v>
      </c>
      <c r="H109">
        <f t="shared" si="4"/>
        <v>0.31389586845778739</v>
      </c>
    </row>
    <row r="110" spans="1:8" x14ac:dyDescent="0.3">
      <c r="A110" t="s">
        <v>16882</v>
      </c>
      <c r="B110" s="20">
        <v>44.3</v>
      </c>
      <c r="C110" s="23">
        <v>48.9</v>
      </c>
      <c r="D110" s="24">
        <v>23.6</v>
      </c>
      <c r="E110">
        <f t="shared" si="3"/>
        <v>0.51738241308793453</v>
      </c>
      <c r="F110">
        <f t="shared" si="5"/>
        <v>9.6957165754711792</v>
      </c>
      <c r="G110">
        <f t="shared" si="6"/>
        <v>31.075675675675676</v>
      </c>
      <c r="H110">
        <f t="shared" si="4"/>
        <v>0.31200340345489097</v>
      </c>
    </row>
    <row r="111" spans="1:8" x14ac:dyDescent="0.3">
      <c r="A111" t="s">
        <v>16883</v>
      </c>
      <c r="B111" s="20">
        <v>45.3</v>
      </c>
      <c r="C111" s="23">
        <v>50.1</v>
      </c>
      <c r="D111" s="24">
        <v>24.3</v>
      </c>
      <c r="E111">
        <f t="shared" si="3"/>
        <v>0.51497005988023947</v>
      </c>
      <c r="F111">
        <f t="shared" si="5"/>
        <v>10.103819388250527</v>
      </c>
      <c r="G111">
        <f t="shared" si="6"/>
        <v>32.075675675675676</v>
      </c>
      <c r="H111">
        <f t="shared" si="4"/>
        <v>0.31499942481064164</v>
      </c>
    </row>
    <row r="112" spans="1:8" x14ac:dyDescent="0.3">
      <c r="A112" t="s">
        <v>16884</v>
      </c>
      <c r="B112" s="20">
        <v>45</v>
      </c>
      <c r="C112" s="23">
        <v>49.6</v>
      </c>
      <c r="D112" s="24">
        <v>23.8</v>
      </c>
      <c r="E112">
        <f t="shared" si="3"/>
        <v>0.52016129032258063</v>
      </c>
      <c r="F112">
        <f t="shared" si="5"/>
        <v>10.182933740191809</v>
      </c>
      <c r="G112">
        <f t="shared" si="6"/>
        <v>31.775675675675679</v>
      </c>
      <c r="H112">
        <f t="shared" si="4"/>
        <v>0.32046316950505815</v>
      </c>
    </row>
    <row r="113" spans="1:8" x14ac:dyDescent="0.3">
      <c r="A113" t="s">
        <v>16885</v>
      </c>
      <c r="B113" s="20">
        <v>46.3</v>
      </c>
      <c r="C113" s="23">
        <v>50.9</v>
      </c>
      <c r="D113" s="24">
        <v>24.3</v>
      </c>
      <c r="E113">
        <f t="shared" si="3"/>
        <v>0.52259332023575633</v>
      </c>
      <c r="F113">
        <f t="shared" si="5"/>
        <v>10.971746402591195</v>
      </c>
      <c r="G113">
        <f t="shared" si="6"/>
        <v>33.075675675675676</v>
      </c>
      <c r="H113">
        <f t="shared" si="4"/>
        <v>0.33171647074348276</v>
      </c>
    </row>
    <row r="114" spans="1:8" x14ac:dyDescent="0.3">
      <c r="A114" t="s">
        <v>16886</v>
      </c>
      <c r="B114" s="20">
        <v>46.8</v>
      </c>
      <c r="C114" s="23">
        <v>51.3</v>
      </c>
      <c r="D114" s="24">
        <v>24.7</v>
      </c>
      <c r="E114">
        <f t="shared" si="3"/>
        <v>0.51851851851851849</v>
      </c>
      <c r="F114">
        <f t="shared" si="5"/>
        <v>11.042342342342343</v>
      </c>
      <c r="G114">
        <f t="shared" si="6"/>
        <v>33.575675675675676</v>
      </c>
      <c r="H114">
        <f t="shared" si="4"/>
        <v>0.32887922938635328</v>
      </c>
    </row>
    <row r="115" spans="1:8" x14ac:dyDescent="0.3">
      <c r="A115" t="s">
        <v>16887</v>
      </c>
      <c r="B115" s="20">
        <v>45.2</v>
      </c>
      <c r="C115" s="23">
        <v>49.6</v>
      </c>
      <c r="D115" s="24">
        <v>23.8</v>
      </c>
      <c r="E115">
        <f t="shared" si="3"/>
        <v>0.52016129032258063</v>
      </c>
      <c r="F115">
        <f t="shared" si="5"/>
        <v>10.286965998256326</v>
      </c>
      <c r="G115">
        <f t="shared" si="6"/>
        <v>31.975675675675681</v>
      </c>
      <c r="H115">
        <f t="shared" si="4"/>
        <v>0.32171223221662071</v>
      </c>
    </row>
    <row r="116" spans="1:8" x14ac:dyDescent="0.3">
      <c r="A116" t="s">
        <v>16888</v>
      </c>
      <c r="B116" s="20">
        <v>46.3</v>
      </c>
      <c r="C116" s="23">
        <v>50.6</v>
      </c>
      <c r="D116" s="24">
        <v>24</v>
      </c>
      <c r="E116">
        <f t="shared" si="3"/>
        <v>0.52569169960474305</v>
      </c>
      <c r="F116">
        <f t="shared" si="5"/>
        <v>11.115201367375283</v>
      </c>
      <c r="G116">
        <f t="shared" si="6"/>
        <v>33.075675675675676</v>
      </c>
      <c r="H116">
        <f t="shared" si="4"/>
        <v>0.33605364487080036</v>
      </c>
    </row>
    <row r="117" spans="1:8" x14ac:dyDescent="0.3">
      <c r="A117" t="s">
        <v>16889</v>
      </c>
      <c r="B117" s="20">
        <v>47.4</v>
      </c>
      <c r="C117" s="23">
        <v>51.9</v>
      </c>
      <c r="D117" s="24">
        <v>24.1</v>
      </c>
      <c r="E117">
        <f t="shared" si="3"/>
        <v>0.53564547206165702</v>
      </c>
      <c r="F117">
        <f t="shared" si="5"/>
        <v>12.165271051398223</v>
      </c>
      <c r="G117">
        <f t="shared" si="6"/>
        <v>34.175675675675677</v>
      </c>
      <c r="H117">
        <f t="shared" si="4"/>
        <v>0.35596285401481553</v>
      </c>
    </row>
    <row r="118" spans="1:8" x14ac:dyDescent="0.3">
      <c r="A118" t="s">
        <v>16890</v>
      </c>
      <c r="B118" s="20">
        <v>47.8</v>
      </c>
      <c r="C118" s="23">
        <v>52.5</v>
      </c>
      <c r="D118" s="24">
        <v>24.5</v>
      </c>
      <c r="E118">
        <f t="shared" si="3"/>
        <v>0.53333333333333333</v>
      </c>
      <c r="F118">
        <f t="shared" si="5"/>
        <v>12.269009009009013</v>
      </c>
      <c r="G118">
        <f t="shared" si="6"/>
        <v>34.575675675675676</v>
      </c>
      <c r="H118">
        <f t="shared" si="4"/>
        <v>0.35484509757940552</v>
      </c>
    </row>
    <row r="119" spans="1:8" x14ac:dyDescent="0.3">
      <c r="A119" t="s">
        <v>16891</v>
      </c>
      <c r="B119" s="20">
        <v>48.3</v>
      </c>
      <c r="C119" s="23">
        <v>53.3</v>
      </c>
      <c r="D119" s="24">
        <v>25.3</v>
      </c>
      <c r="E119">
        <f t="shared" si="3"/>
        <v>0.52532833020637892</v>
      </c>
      <c r="F119">
        <f t="shared" si="5"/>
        <v>12.149034024643781</v>
      </c>
      <c r="G119">
        <f t="shared" si="6"/>
        <v>35.075675675675676</v>
      </c>
      <c r="H119">
        <f t="shared" si="4"/>
        <v>0.34636635761428564</v>
      </c>
    </row>
    <row r="120" spans="1:8" x14ac:dyDescent="0.3">
      <c r="A120" t="s">
        <v>16892</v>
      </c>
      <c r="B120" s="20">
        <v>49.2</v>
      </c>
      <c r="C120" s="23">
        <v>54.4</v>
      </c>
      <c r="D120" s="24">
        <v>25.1</v>
      </c>
      <c r="E120">
        <f t="shared" si="3"/>
        <v>0.53860294117647056</v>
      </c>
      <c r="F120">
        <f t="shared" si="5"/>
        <v>13.274940381558034</v>
      </c>
      <c r="G120">
        <f t="shared" si="6"/>
        <v>35.975675675675681</v>
      </c>
      <c r="H120">
        <f t="shared" si="4"/>
        <v>0.36899766667992429</v>
      </c>
    </row>
    <row r="121" spans="1:8" x14ac:dyDescent="0.3">
      <c r="A121" t="s">
        <v>16893</v>
      </c>
      <c r="B121" s="20">
        <v>51.2</v>
      </c>
      <c r="C121" s="23">
        <v>56.8</v>
      </c>
      <c r="D121" s="24">
        <v>26.1</v>
      </c>
      <c r="E121">
        <f t="shared" si="3"/>
        <v>0.54049295774647887</v>
      </c>
      <c r="F121">
        <f t="shared" si="5"/>
        <v>14.448915112295401</v>
      </c>
      <c r="G121">
        <f t="shared" si="6"/>
        <v>37.975675675675681</v>
      </c>
      <c r="H121">
        <f t="shared" si="4"/>
        <v>0.3804781575367801</v>
      </c>
    </row>
    <row r="122" spans="1:8" x14ac:dyDescent="0.3">
      <c r="A122" t="s">
        <v>16894</v>
      </c>
      <c r="B122" s="20">
        <v>52.5</v>
      </c>
      <c r="C122" s="23">
        <v>58.4</v>
      </c>
      <c r="D122" s="24">
        <v>27.6</v>
      </c>
      <c r="E122">
        <f t="shared" si="3"/>
        <v>0.5273972602739726</v>
      </c>
      <c r="F122">
        <f t="shared" si="5"/>
        <v>14.46403184005924</v>
      </c>
      <c r="G122">
        <f t="shared" si="6"/>
        <v>39.275675675675679</v>
      </c>
      <c r="H122">
        <f t="shared" si="4"/>
        <v>0.36826945918124954</v>
      </c>
    </row>
    <row r="123" spans="1:8" x14ac:dyDescent="0.3">
      <c r="A123" t="s">
        <v>16895</v>
      </c>
      <c r="B123" s="20">
        <v>53.6</v>
      </c>
      <c r="C123" s="23">
        <v>60.1</v>
      </c>
      <c r="D123" s="24">
        <v>28.5</v>
      </c>
      <c r="E123">
        <f t="shared" si="3"/>
        <v>0.52579034941763725</v>
      </c>
      <c r="F123">
        <f t="shared" si="5"/>
        <v>14.958038404461037</v>
      </c>
      <c r="G123">
        <f t="shared" si="6"/>
        <v>40.37567567567568</v>
      </c>
      <c r="H123">
        <f t="shared" si="4"/>
        <v>0.3704715315382946</v>
      </c>
    </row>
    <row r="124" spans="1:8" x14ac:dyDescent="0.3">
      <c r="A124" t="s">
        <v>16896</v>
      </c>
      <c r="B124" s="20">
        <v>54.8</v>
      </c>
      <c r="C124" s="23">
        <v>61.5</v>
      </c>
      <c r="D124" s="24">
        <v>28.7</v>
      </c>
      <c r="E124">
        <f t="shared" si="3"/>
        <v>0.53333333333333333</v>
      </c>
      <c r="F124">
        <f t="shared" si="5"/>
        <v>16.002342342342345</v>
      </c>
      <c r="G124">
        <f t="shared" si="6"/>
        <v>41.575675675675676</v>
      </c>
      <c r="H124">
        <f t="shared" si="4"/>
        <v>0.38489674749182007</v>
      </c>
    </row>
    <row r="125" spans="1:8" x14ac:dyDescent="0.3">
      <c r="A125" t="s">
        <v>16897</v>
      </c>
      <c r="B125" s="20">
        <v>53.1</v>
      </c>
      <c r="C125" s="23">
        <v>60.3</v>
      </c>
      <c r="D125" s="24">
        <v>27.8</v>
      </c>
      <c r="E125">
        <f t="shared" si="3"/>
        <v>0.53897180762852404</v>
      </c>
      <c r="F125">
        <f t="shared" si="5"/>
        <v>15.395078660750306</v>
      </c>
      <c r="G125">
        <f t="shared" si="6"/>
        <v>39.87567567567568</v>
      </c>
      <c r="H125">
        <f t="shared" si="4"/>
        <v>0.38607693537194065</v>
      </c>
    </row>
    <row r="126" spans="1:8" x14ac:dyDescent="0.3">
      <c r="A126" t="s">
        <v>16898</v>
      </c>
      <c r="B126" s="20">
        <v>54</v>
      </c>
      <c r="C126" s="23">
        <v>61.6</v>
      </c>
      <c r="D126" s="24">
        <v>28.4</v>
      </c>
      <c r="E126">
        <f t="shared" si="3"/>
        <v>0.53896103896103897</v>
      </c>
      <c r="F126">
        <f t="shared" si="5"/>
        <v>15.879571779571785</v>
      </c>
      <c r="G126">
        <f t="shared" si="6"/>
        <v>40.775675675675679</v>
      </c>
      <c r="H126">
        <f t="shared" si="4"/>
        <v>0.3894373671665381</v>
      </c>
    </row>
    <row r="127" spans="1:8" x14ac:dyDescent="0.3">
      <c r="A127" t="s">
        <v>16899</v>
      </c>
      <c r="B127" s="20">
        <v>53.7</v>
      </c>
      <c r="C127" s="23">
        <v>62</v>
      </c>
      <c r="D127" s="24">
        <v>28.5</v>
      </c>
      <c r="E127">
        <f t="shared" si="3"/>
        <v>0.54032258064516125</v>
      </c>
      <c r="F127">
        <f t="shared" si="5"/>
        <v>15.790998256320842</v>
      </c>
      <c r="G127">
        <f t="shared" si="6"/>
        <v>40.475675675675681</v>
      </c>
      <c r="H127">
        <f t="shared" si="4"/>
        <v>0.39013550713399509</v>
      </c>
    </row>
    <row r="128" spans="1:8" x14ac:dyDescent="0.3">
      <c r="A128" t="s">
        <v>16900</v>
      </c>
      <c r="B128" s="20">
        <v>51.8</v>
      </c>
      <c r="C128" s="23">
        <v>60.3</v>
      </c>
      <c r="D128" s="24">
        <v>28.2</v>
      </c>
      <c r="E128">
        <f t="shared" si="3"/>
        <v>0.53233830845771135</v>
      </c>
      <c r="F128">
        <f t="shared" si="5"/>
        <v>14.350800053785127</v>
      </c>
      <c r="G128">
        <f t="shared" si="6"/>
        <v>38.575675675675676</v>
      </c>
      <c r="H128">
        <f t="shared" si="4"/>
        <v>0.37201681635959483</v>
      </c>
    </row>
    <row r="129" spans="1:8" x14ac:dyDescent="0.3">
      <c r="A129" t="s">
        <v>16901</v>
      </c>
      <c r="B129" s="20">
        <v>52.8</v>
      </c>
      <c r="C129" s="23">
        <v>62.4</v>
      </c>
      <c r="D129" s="24">
        <v>29.2</v>
      </c>
      <c r="E129">
        <f t="shared" si="3"/>
        <v>0.53205128205128216</v>
      </c>
      <c r="F129">
        <f t="shared" si="5"/>
        <v>14.867983367983376</v>
      </c>
      <c r="G129">
        <f t="shared" si="6"/>
        <v>39.575675675675676</v>
      </c>
      <c r="H129">
        <f t="shared" si="4"/>
        <v>0.37568489012865186</v>
      </c>
    </row>
    <row r="130" spans="1:8" x14ac:dyDescent="0.3">
      <c r="A130" t="s">
        <v>16902</v>
      </c>
      <c r="B130" s="20">
        <v>51.7</v>
      </c>
      <c r="C130" s="23">
        <v>62.6</v>
      </c>
      <c r="D130" s="24">
        <v>30.6</v>
      </c>
      <c r="E130">
        <f t="shared" si="3"/>
        <v>0.51118210862619806</v>
      </c>
      <c r="F130">
        <f t="shared" si="5"/>
        <v>13.203790691650122</v>
      </c>
      <c r="G130">
        <f t="shared" si="6"/>
        <v>38.475675675675681</v>
      </c>
      <c r="H130">
        <f t="shared" si="4"/>
        <v>0.34317241893162015</v>
      </c>
    </row>
    <row r="131" spans="1:8" x14ac:dyDescent="0.3">
      <c r="A131" t="s">
        <v>16903</v>
      </c>
      <c r="B131" s="20">
        <v>49.7</v>
      </c>
      <c r="C131" s="23">
        <v>61.5</v>
      </c>
      <c r="D131" s="24">
        <v>29.7</v>
      </c>
      <c r="E131">
        <f t="shared" si="3"/>
        <v>0.51707317073170733</v>
      </c>
      <c r="F131">
        <f t="shared" si="5"/>
        <v>12.474212261041535</v>
      </c>
      <c r="G131">
        <f t="shared" si="6"/>
        <v>36.475675675675681</v>
      </c>
      <c r="H131">
        <f t="shared" si="4"/>
        <v>0.3419871470498938</v>
      </c>
    </row>
    <row r="132" spans="1:8" x14ac:dyDescent="0.3">
      <c r="A132" t="s">
        <v>16904</v>
      </c>
      <c r="B132" s="20">
        <v>50.4</v>
      </c>
      <c r="C132" s="23">
        <v>63.2</v>
      </c>
      <c r="D132" s="24">
        <v>30.8</v>
      </c>
      <c r="E132">
        <f t="shared" ref="E132:E195" si="7">(C132-D132)/C132</f>
        <v>0.51265822784810133</v>
      </c>
      <c r="F132">
        <f t="shared" si="5"/>
        <v>12.613650359219987</v>
      </c>
      <c r="G132">
        <f t="shared" si="6"/>
        <v>37.175675675675677</v>
      </c>
      <c r="H132">
        <f t="shared" ref="H132:H195" si="8">F132/G132</f>
        <v>0.33929848294521231</v>
      </c>
    </row>
    <row r="133" spans="1:8" x14ac:dyDescent="0.3">
      <c r="A133" t="s">
        <v>16905</v>
      </c>
      <c r="B133" s="20">
        <v>53.2</v>
      </c>
      <c r="C133" s="23">
        <v>67.599999999999994</v>
      </c>
      <c r="D133" s="24">
        <v>33.1</v>
      </c>
      <c r="E133">
        <f t="shared" si="7"/>
        <v>0.5103550295857987</v>
      </c>
      <c r="F133">
        <f t="shared" ref="F133:F196" si="9">B133*E133-$E$67*$B$67</f>
        <v>13.926563249640173</v>
      </c>
      <c r="G133">
        <f t="shared" ref="G133:G196" si="10">B133-$E$67*$B$67</f>
        <v>39.975675675675681</v>
      </c>
      <c r="H133">
        <f t="shared" si="8"/>
        <v>0.34837593146960066</v>
      </c>
    </row>
    <row r="134" spans="1:8" x14ac:dyDescent="0.3">
      <c r="A134" t="s">
        <v>16906</v>
      </c>
      <c r="B134" s="20">
        <v>51.3</v>
      </c>
      <c r="C134" s="23">
        <v>67.2</v>
      </c>
      <c r="D134" s="24">
        <v>34.5</v>
      </c>
      <c r="E134">
        <f t="shared" si="7"/>
        <v>0.4866071428571429</v>
      </c>
      <c r="F134">
        <f t="shared" si="9"/>
        <v>11.738622104247112</v>
      </c>
      <c r="G134">
        <f t="shared" si="10"/>
        <v>38.075675675675676</v>
      </c>
      <c r="H134">
        <f t="shared" si="8"/>
        <v>0.30829714498661492</v>
      </c>
    </row>
    <row r="135" spans="1:8" x14ac:dyDescent="0.3">
      <c r="A135" t="s">
        <v>16907</v>
      </c>
      <c r="B135" s="20">
        <v>54.9</v>
      </c>
      <c r="C135" s="23">
        <v>72</v>
      </c>
      <c r="D135" s="24">
        <v>35.700000000000003</v>
      </c>
      <c r="E135">
        <f t="shared" si="7"/>
        <v>0.50416666666666665</v>
      </c>
      <c r="F135">
        <f t="shared" si="9"/>
        <v>14.454425675675678</v>
      </c>
      <c r="G135">
        <f t="shared" si="10"/>
        <v>41.675675675675677</v>
      </c>
      <c r="H135">
        <f t="shared" si="8"/>
        <v>0.34683122568093389</v>
      </c>
    </row>
    <row r="136" spans="1:8" x14ac:dyDescent="0.3">
      <c r="A136" t="s">
        <v>16908</v>
      </c>
      <c r="B136" s="20">
        <v>54.5</v>
      </c>
      <c r="C136" s="23">
        <v>72</v>
      </c>
      <c r="D136" s="24">
        <v>35.799999999999997</v>
      </c>
      <c r="E136">
        <f t="shared" si="7"/>
        <v>0.50277777777777777</v>
      </c>
      <c r="F136">
        <f t="shared" si="9"/>
        <v>14.177064564564569</v>
      </c>
      <c r="G136">
        <f t="shared" si="10"/>
        <v>41.275675675675679</v>
      </c>
      <c r="H136">
        <f t="shared" si="8"/>
        <v>0.34347262237355225</v>
      </c>
    </row>
    <row r="137" spans="1:8" x14ac:dyDescent="0.3">
      <c r="A137" t="s">
        <v>16909</v>
      </c>
      <c r="B137" s="20">
        <v>56.6</v>
      </c>
      <c r="C137" s="23">
        <v>74.900000000000006</v>
      </c>
      <c r="D137" s="24">
        <v>36.200000000000003</v>
      </c>
      <c r="E137">
        <f t="shared" si="7"/>
        <v>0.51668891855807741</v>
      </c>
      <c r="F137">
        <f t="shared" si="9"/>
        <v>16.020268466062866</v>
      </c>
      <c r="G137">
        <f t="shared" si="10"/>
        <v>43.37567567567568</v>
      </c>
      <c r="H137">
        <f t="shared" si="8"/>
        <v>0.36933761184143932</v>
      </c>
    </row>
    <row r="138" spans="1:8" x14ac:dyDescent="0.3">
      <c r="A138" t="s">
        <v>16910</v>
      </c>
      <c r="B138" s="20">
        <v>56.3</v>
      </c>
      <c r="C138" s="23">
        <v>75.400000000000006</v>
      </c>
      <c r="D138" s="24">
        <v>36.9</v>
      </c>
      <c r="E138">
        <f t="shared" si="7"/>
        <v>0.5106100795755969</v>
      </c>
      <c r="F138">
        <f t="shared" si="9"/>
        <v>15.523023155781784</v>
      </c>
      <c r="G138">
        <f t="shared" si="10"/>
        <v>43.075675675675676</v>
      </c>
      <c r="H138">
        <f t="shared" si="8"/>
        <v>0.36036633000622786</v>
      </c>
    </row>
    <row r="139" spans="1:8" x14ac:dyDescent="0.3">
      <c r="A139" t="s">
        <v>16911</v>
      </c>
      <c r="B139" s="20">
        <v>57.4</v>
      </c>
      <c r="C139" s="23">
        <v>77.400000000000006</v>
      </c>
      <c r="D139" s="24">
        <v>38.1</v>
      </c>
      <c r="E139">
        <f t="shared" si="7"/>
        <v>0.50775193798449614</v>
      </c>
      <c r="F139">
        <f t="shared" si="9"/>
        <v>15.920636915985758</v>
      </c>
      <c r="G139">
        <f t="shared" si="10"/>
        <v>44.175675675675677</v>
      </c>
      <c r="H139">
        <f t="shared" si="8"/>
        <v>0.36039373869163233</v>
      </c>
    </row>
    <row r="140" spans="1:8" x14ac:dyDescent="0.3">
      <c r="A140" t="s">
        <v>16912</v>
      </c>
      <c r="B140" s="20">
        <v>59.7</v>
      </c>
      <c r="C140" s="23">
        <v>80.3</v>
      </c>
      <c r="D140" s="24">
        <v>39</v>
      </c>
      <c r="E140">
        <f t="shared" si="7"/>
        <v>0.5143212951432129</v>
      </c>
      <c r="F140">
        <f t="shared" si="9"/>
        <v>17.480656995725489</v>
      </c>
      <c r="G140">
        <f t="shared" si="10"/>
        <v>46.475675675675681</v>
      </c>
      <c r="H140">
        <f t="shared" si="8"/>
        <v>0.37612485975915505</v>
      </c>
    </row>
    <row r="141" spans="1:8" x14ac:dyDescent="0.3">
      <c r="A141" t="s">
        <v>16913</v>
      </c>
      <c r="B141" s="20">
        <v>62.4</v>
      </c>
      <c r="C141" s="23">
        <v>84</v>
      </c>
      <c r="D141" s="24">
        <v>39.4</v>
      </c>
      <c r="E141">
        <f t="shared" si="7"/>
        <v>0.53095238095238095</v>
      </c>
      <c r="F141">
        <f t="shared" si="9"/>
        <v>19.90710424710425</v>
      </c>
      <c r="G141">
        <f t="shared" si="10"/>
        <v>49.175675675675677</v>
      </c>
      <c r="H141">
        <f t="shared" si="8"/>
        <v>0.40481607977073769</v>
      </c>
    </row>
    <row r="142" spans="1:8" x14ac:dyDescent="0.3">
      <c r="A142" t="s">
        <v>16914</v>
      </c>
      <c r="B142" s="20">
        <v>63.5</v>
      </c>
      <c r="C142" s="23">
        <v>86.1</v>
      </c>
      <c r="D142" s="24">
        <v>40.700000000000003</v>
      </c>
      <c r="E142">
        <f t="shared" si="7"/>
        <v>0.52729384436701499</v>
      </c>
      <c r="F142">
        <f t="shared" si="9"/>
        <v>20.258834792981133</v>
      </c>
      <c r="G142">
        <f t="shared" si="10"/>
        <v>50.275675675675679</v>
      </c>
      <c r="H142">
        <f t="shared" si="8"/>
        <v>0.40295499803263191</v>
      </c>
    </row>
    <row r="143" spans="1:8" x14ac:dyDescent="0.3">
      <c r="A143" t="s">
        <v>16915</v>
      </c>
      <c r="B143" s="20">
        <v>64.599999999999994</v>
      </c>
      <c r="C143" s="23">
        <v>88.2</v>
      </c>
      <c r="D143" s="24">
        <v>42.4</v>
      </c>
      <c r="E143">
        <f t="shared" si="7"/>
        <v>0.51927437641723362</v>
      </c>
      <c r="F143">
        <f t="shared" si="9"/>
        <v>20.320800392228968</v>
      </c>
      <c r="G143">
        <f t="shared" si="10"/>
        <v>51.375675675675673</v>
      </c>
      <c r="H143">
        <f t="shared" si="8"/>
        <v>0.39553349177361874</v>
      </c>
    </row>
    <row r="144" spans="1:8" x14ac:dyDescent="0.3">
      <c r="A144" t="s">
        <v>16916</v>
      </c>
      <c r="B144" s="20">
        <v>64.099999999999994</v>
      </c>
      <c r="C144" s="23">
        <v>88.3</v>
      </c>
      <c r="D144" s="24">
        <v>43.3</v>
      </c>
      <c r="E144">
        <f t="shared" si="7"/>
        <v>0.50962627406568517</v>
      </c>
      <c r="F144">
        <f t="shared" si="9"/>
        <v>19.442719843286092</v>
      </c>
      <c r="G144">
        <f t="shared" si="10"/>
        <v>50.875675675675673</v>
      </c>
      <c r="H144">
        <f t="shared" si="8"/>
        <v>0.38216140788439518</v>
      </c>
    </row>
    <row r="145" spans="1:9" x14ac:dyDescent="0.3">
      <c r="A145" t="s">
        <v>16917</v>
      </c>
      <c r="B145" s="20">
        <v>68.5</v>
      </c>
      <c r="C145" s="23">
        <v>94.5</v>
      </c>
      <c r="D145" s="24">
        <v>45.6</v>
      </c>
      <c r="E145">
        <f t="shared" si="7"/>
        <v>0.5174603174603174</v>
      </c>
      <c r="F145">
        <f t="shared" si="9"/>
        <v>22.221707421707421</v>
      </c>
      <c r="G145">
        <f t="shared" si="10"/>
        <v>55.275675675675679</v>
      </c>
      <c r="H145">
        <f t="shared" si="8"/>
        <v>0.4020160251335686</v>
      </c>
    </row>
    <row r="146" spans="1:9" x14ac:dyDescent="0.3">
      <c r="A146" t="s">
        <v>16918</v>
      </c>
      <c r="B146" s="20">
        <v>67.8</v>
      </c>
      <c r="C146" s="23">
        <v>94.3</v>
      </c>
      <c r="D146" s="24">
        <v>46.8</v>
      </c>
      <c r="E146">
        <f t="shared" si="7"/>
        <v>0.50371155885471897</v>
      </c>
      <c r="F146">
        <f t="shared" si="9"/>
        <v>20.927319366025621</v>
      </c>
      <c r="G146">
        <f t="shared" si="10"/>
        <v>54.575675675675676</v>
      </c>
      <c r="H146">
        <f t="shared" si="8"/>
        <v>0.38345506687611941</v>
      </c>
    </row>
    <row r="147" spans="1:9" x14ac:dyDescent="0.3">
      <c r="A147" t="s">
        <v>16919</v>
      </c>
      <c r="B147" s="20">
        <v>67.400000000000006</v>
      </c>
      <c r="C147" s="23">
        <v>93.6</v>
      </c>
      <c r="D147" s="24">
        <v>46.5</v>
      </c>
      <c r="E147">
        <f t="shared" si="7"/>
        <v>0.50320512820512819</v>
      </c>
      <c r="F147">
        <f t="shared" si="9"/>
        <v>20.69170131670132</v>
      </c>
      <c r="G147">
        <f t="shared" si="10"/>
        <v>54.175675675675684</v>
      </c>
      <c r="H147">
        <f t="shared" si="8"/>
        <v>0.38193711584831563</v>
      </c>
    </row>
    <row r="148" spans="1:9" x14ac:dyDescent="0.3">
      <c r="A148" t="s">
        <v>16920</v>
      </c>
      <c r="B148" s="20">
        <v>67.099999999999994</v>
      </c>
      <c r="C148" s="23">
        <v>93.5</v>
      </c>
      <c r="D148" s="24">
        <v>45.8</v>
      </c>
      <c r="E148">
        <f t="shared" si="7"/>
        <v>0.51016042780748672</v>
      </c>
      <c r="F148">
        <f t="shared" si="9"/>
        <v>21.007440381558034</v>
      </c>
      <c r="G148">
        <f t="shared" si="10"/>
        <v>53.875675675675673</v>
      </c>
      <c r="H148">
        <f t="shared" si="8"/>
        <v>0.38992439757080732</v>
      </c>
    </row>
    <row r="149" spans="1:9" x14ac:dyDescent="0.3">
      <c r="A149" t="s">
        <v>16921</v>
      </c>
      <c r="B149" s="20">
        <v>70.8</v>
      </c>
      <c r="C149" s="23">
        <v>98.1</v>
      </c>
      <c r="D149" s="24">
        <v>47.1</v>
      </c>
      <c r="E149">
        <f t="shared" si="7"/>
        <v>0.51987767584097855</v>
      </c>
      <c r="F149">
        <f t="shared" si="9"/>
        <v>23.58301512521696</v>
      </c>
      <c r="G149">
        <f t="shared" si="10"/>
        <v>57.575675675675676</v>
      </c>
      <c r="H149">
        <f t="shared" si="8"/>
        <v>0.40960031903160471</v>
      </c>
    </row>
    <row r="150" spans="1:9" x14ac:dyDescent="0.3">
      <c r="A150" t="s">
        <v>16922</v>
      </c>
      <c r="B150" s="20">
        <v>73.099999999999994</v>
      </c>
      <c r="C150" s="23">
        <v>102</v>
      </c>
      <c r="D150" s="24">
        <v>49.4</v>
      </c>
      <c r="E150">
        <f t="shared" si="7"/>
        <v>0.51568627450980398</v>
      </c>
      <c r="F150">
        <f t="shared" si="9"/>
        <v>24.472342342342344</v>
      </c>
      <c r="G150">
        <f t="shared" si="10"/>
        <v>59.875675675675673</v>
      </c>
      <c r="H150">
        <f t="shared" si="8"/>
        <v>0.40871926815323045</v>
      </c>
    </row>
    <row r="151" spans="1:9" x14ac:dyDescent="0.3">
      <c r="A151" t="s">
        <v>16923</v>
      </c>
      <c r="B151" s="20">
        <v>78.599999999999994</v>
      </c>
      <c r="C151" s="23">
        <v>108.7</v>
      </c>
      <c r="D151" s="24">
        <v>51.6</v>
      </c>
      <c r="E151" s="11">
        <f t="shared" si="7"/>
        <v>0.52529898804047837</v>
      </c>
      <c r="F151">
        <f t="shared" si="9"/>
        <v>28.064176135657277</v>
      </c>
      <c r="G151">
        <f t="shared" si="10"/>
        <v>65.37567567567568</v>
      </c>
      <c r="H151">
        <f t="shared" si="8"/>
        <v>0.42927550416276788</v>
      </c>
    </row>
    <row r="152" spans="1:9" x14ac:dyDescent="0.3">
      <c r="A152" t="s">
        <v>16924</v>
      </c>
      <c r="B152" s="20">
        <v>78.599999999999994</v>
      </c>
      <c r="C152" s="23">
        <v>110.8</v>
      </c>
      <c r="D152" s="24">
        <v>53.8</v>
      </c>
      <c r="E152">
        <f t="shared" si="7"/>
        <v>0.51444043321299637</v>
      </c>
      <c r="F152">
        <f t="shared" si="9"/>
        <v>27.210693726217194</v>
      </c>
      <c r="G152">
        <f t="shared" si="10"/>
        <v>65.37567567567568</v>
      </c>
      <c r="H152">
        <f t="shared" si="8"/>
        <v>0.41622045883254211</v>
      </c>
    </row>
    <row r="153" spans="1:9" x14ac:dyDescent="0.3">
      <c r="A153" t="s">
        <v>16925</v>
      </c>
      <c r="B153" s="20">
        <v>74.5</v>
      </c>
      <c r="C153" s="23">
        <v>105.4</v>
      </c>
      <c r="D153" s="24">
        <v>51.2</v>
      </c>
      <c r="E153" s="22">
        <f t="shared" si="7"/>
        <v>0.51423149905123344</v>
      </c>
      <c r="F153">
        <f t="shared" si="9"/>
        <v>25.085922354992569</v>
      </c>
      <c r="G153" s="22">
        <f t="shared" si="10"/>
        <v>61.275675675675679</v>
      </c>
      <c r="H153">
        <f t="shared" si="8"/>
        <v>0.40939446327396128</v>
      </c>
      <c r="I153" t="s">
        <v>17020</v>
      </c>
    </row>
    <row r="154" spans="1:9" x14ac:dyDescent="0.3">
      <c r="A154" t="s">
        <v>16926</v>
      </c>
      <c r="B154" s="20">
        <v>77.8</v>
      </c>
      <c r="C154" s="23">
        <v>110.8</v>
      </c>
      <c r="D154" s="24">
        <v>54.3</v>
      </c>
      <c r="E154">
        <f t="shared" si="7"/>
        <v>0.50992779783393505</v>
      </c>
      <c r="F154">
        <f t="shared" si="9"/>
        <v>26.448058347155822</v>
      </c>
      <c r="G154">
        <f t="shared" si="10"/>
        <v>64.575675675675683</v>
      </c>
      <c r="H154">
        <f t="shared" si="8"/>
        <v>0.40956688521523682</v>
      </c>
    </row>
    <row r="155" spans="1:9" x14ac:dyDescent="0.3">
      <c r="A155" t="s">
        <v>16927</v>
      </c>
      <c r="B155" s="20">
        <v>81</v>
      </c>
      <c r="C155" s="23">
        <v>117.6</v>
      </c>
      <c r="D155" s="24">
        <v>58.1</v>
      </c>
      <c r="E155">
        <f t="shared" si="7"/>
        <v>0.50595238095238093</v>
      </c>
      <c r="F155">
        <f t="shared" si="9"/>
        <v>27.757818532818533</v>
      </c>
      <c r="G155">
        <f t="shared" si="10"/>
        <v>67.775675675675686</v>
      </c>
      <c r="H155">
        <f t="shared" si="8"/>
        <v>0.40955428708150321</v>
      </c>
    </row>
    <row r="156" spans="1:9" x14ac:dyDescent="0.3">
      <c r="A156" t="s">
        <v>16928</v>
      </c>
      <c r="B156" s="20">
        <v>94.9</v>
      </c>
      <c r="C156" s="23">
        <v>135.6</v>
      </c>
      <c r="D156" s="24">
        <v>64.400000000000006</v>
      </c>
      <c r="E156">
        <f t="shared" si="7"/>
        <v>0.52507374631268433</v>
      </c>
      <c r="F156">
        <f t="shared" si="9"/>
        <v>36.605174200749424</v>
      </c>
      <c r="G156">
        <f t="shared" si="10"/>
        <v>81.675675675675691</v>
      </c>
      <c r="H156">
        <f t="shared" si="8"/>
        <v>0.44817718247112126</v>
      </c>
    </row>
    <row r="157" spans="1:9" x14ac:dyDescent="0.3">
      <c r="A157" t="s">
        <v>16929</v>
      </c>
      <c r="B157" s="20">
        <v>88.7</v>
      </c>
      <c r="C157" s="23">
        <v>126.3</v>
      </c>
      <c r="D157" s="24">
        <v>59.5</v>
      </c>
      <c r="E157">
        <f t="shared" si="7"/>
        <v>0.52889944576405379</v>
      </c>
      <c r="F157">
        <f t="shared" si="9"/>
        <v>33.689056514947254</v>
      </c>
      <c r="G157">
        <f t="shared" si="10"/>
        <v>75.475675675675689</v>
      </c>
      <c r="H157">
        <f t="shared" si="8"/>
        <v>0.44635647463046918</v>
      </c>
    </row>
    <row r="158" spans="1:9" x14ac:dyDescent="0.3">
      <c r="A158" t="s">
        <v>16930</v>
      </c>
      <c r="B158" s="20">
        <v>87.5</v>
      </c>
      <c r="C158" s="23">
        <v>125.2</v>
      </c>
      <c r="D158" s="24">
        <v>59.3</v>
      </c>
      <c r="E158">
        <f t="shared" si="7"/>
        <v>0.52635782747603832</v>
      </c>
      <c r="F158">
        <f t="shared" si="9"/>
        <v>32.831985579829031</v>
      </c>
      <c r="G158">
        <f t="shared" si="10"/>
        <v>74.275675675675686</v>
      </c>
      <c r="H158">
        <f t="shared" si="8"/>
        <v>0.4420287702691485</v>
      </c>
    </row>
    <row r="159" spans="1:9" x14ac:dyDescent="0.3">
      <c r="A159" t="s">
        <v>16931</v>
      </c>
      <c r="B159" s="20">
        <v>91.5</v>
      </c>
      <c r="C159" s="23">
        <v>129.4</v>
      </c>
      <c r="D159" s="24">
        <v>58.9</v>
      </c>
      <c r="E159">
        <f t="shared" si="7"/>
        <v>0.54482225656877892</v>
      </c>
      <c r="F159">
        <f t="shared" si="9"/>
        <v>36.626912151718948</v>
      </c>
      <c r="G159">
        <f t="shared" si="10"/>
        <v>78.275675675675686</v>
      </c>
      <c r="H159">
        <f t="shared" si="8"/>
        <v>0.46792201837359326</v>
      </c>
    </row>
    <row r="160" spans="1:9" x14ac:dyDescent="0.3">
      <c r="A160" t="s">
        <v>16932</v>
      </c>
      <c r="B160" s="20">
        <v>90.7</v>
      </c>
      <c r="C160" s="23">
        <v>128.69999999999999</v>
      </c>
      <c r="D160" s="24">
        <v>58.5</v>
      </c>
      <c r="E160">
        <f t="shared" si="7"/>
        <v>0.54545454545454541</v>
      </c>
      <c r="F160">
        <f t="shared" si="9"/>
        <v>36.248402948402948</v>
      </c>
      <c r="G160">
        <f t="shared" si="10"/>
        <v>77.475675675675689</v>
      </c>
      <c r="H160">
        <f t="shared" si="8"/>
        <v>0.4678681745241432</v>
      </c>
    </row>
    <row r="161" spans="1:8" x14ac:dyDescent="0.3">
      <c r="A161" t="s">
        <v>16933</v>
      </c>
      <c r="B161" s="20">
        <v>94.2</v>
      </c>
      <c r="C161" s="23">
        <v>135.4</v>
      </c>
      <c r="D161" s="24">
        <v>61.8</v>
      </c>
      <c r="E161">
        <f t="shared" si="7"/>
        <v>0.54357459379615958</v>
      </c>
      <c r="F161">
        <f t="shared" si="9"/>
        <v>37.980402411273914</v>
      </c>
      <c r="G161">
        <f t="shared" si="10"/>
        <v>80.975675675675689</v>
      </c>
      <c r="H161">
        <f t="shared" si="8"/>
        <v>0.46903470819302912</v>
      </c>
    </row>
    <row r="162" spans="1:8" x14ac:dyDescent="0.3">
      <c r="A162" t="s">
        <v>16934</v>
      </c>
      <c r="B162" s="20">
        <v>88.4</v>
      </c>
      <c r="C162" s="23">
        <v>127.6</v>
      </c>
      <c r="D162" s="24">
        <v>59.3</v>
      </c>
      <c r="E162">
        <f t="shared" si="7"/>
        <v>0.53526645768025083</v>
      </c>
      <c r="F162">
        <f t="shared" si="9"/>
        <v>34.093230534609852</v>
      </c>
      <c r="G162">
        <f t="shared" si="10"/>
        <v>75.175675675675691</v>
      </c>
      <c r="H162">
        <f t="shared" si="8"/>
        <v>0.4535141217977941</v>
      </c>
    </row>
    <row r="163" spans="1:8" x14ac:dyDescent="0.3">
      <c r="A163" t="s">
        <v>16935</v>
      </c>
      <c r="B163" s="20">
        <v>86.5</v>
      </c>
      <c r="C163" s="23">
        <v>126.3</v>
      </c>
      <c r="D163" s="24">
        <v>59.4</v>
      </c>
      <c r="E163">
        <f t="shared" si="7"/>
        <v>0.52969121140142528</v>
      </c>
      <c r="F163">
        <f t="shared" si="9"/>
        <v>32.593965461898968</v>
      </c>
      <c r="G163">
        <f t="shared" si="10"/>
        <v>73.275675675675686</v>
      </c>
      <c r="H163">
        <f t="shared" si="8"/>
        <v>0.44481289543016439</v>
      </c>
    </row>
    <row r="164" spans="1:8" x14ac:dyDescent="0.3">
      <c r="A164" t="s">
        <v>16936</v>
      </c>
      <c r="B164" s="20">
        <v>83</v>
      </c>
      <c r="C164" s="23">
        <v>119.8</v>
      </c>
      <c r="D164" s="24">
        <v>55.5</v>
      </c>
      <c r="E164">
        <f t="shared" si="7"/>
        <v>0.53672787979966607</v>
      </c>
      <c r="F164">
        <f t="shared" si="9"/>
        <v>31.32408969904796</v>
      </c>
      <c r="G164">
        <f t="shared" si="10"/>
        <v>69.775675675675686</v>
      </c>
      <c r="H164">
        <f t="shared" si="8"/>
        <v>0.44892563770568789</v>
      </c>
    </row>
    <row r="165" spans="1:8" x14ac:dyDescent="0.3">
      <c r="A165" t="s">
        <v>16937</v>
      </c>
      <c r="B165" s="20">
        <v>82.6</v>
      </c>
      <c r="C165" s="23">
        <v>120.3</v>
      </c>
      <c r="D165" s="24">
        <v>55.9</v>
      </c>
      <c r="E165">
        <f t="shared" si="7"/>
        <v>0.53532834580216138</v>
      </c>
      <c r="F165">
        <f t="shared" si="9"/>
        <v>30.993797038934204</v>
      </c>
      <c r="G165">
        <f t="shared" si="10"/>
        <v>69.37567567567568</v>
      </c>
      <c r="H165">
        <f t="shared" si="8"/>
        <v>0.44675308365755018</v>
      </c>
    </row>
    <row r="166" spans="1:8" x14ac:dyDescent="0.3">
      <c r="A166" t="s">
        <v>16938</v>
      </c>
      <c r="B166" s="20">
        <v>86.1</v>
      </c>
      <c r="C166" s="23">
        <v>125.1</v>
      </c>
      <c r="D166" s="24">
        <v>58.3</v>
      </c>
      <c r="E166">
        <f t="shared" si="7"/>
        <v>0.53397282174260596</v>
      </c>
      <c r="F166">
        <f t="shared" si="9"/>
        <v>32.75073562771405</v>
      </c>
      <c r="G166">
        <f t="shared" si="10"/>
        <v>72.87567567567568</v>
      </c>
      <c r="H166">
        <f t="shared" si="8"/>
        <v>0.44940558456661467</v>
      </c>
    </row>
    <row r="167" spans="1:8" x14ac:dyDescent="0.3">
      <c r="A167" t="s">
        <v>16939</v>
      </c>
      <c r="B167" s="20">
        <v>88.7</v>
      </c>
      <c r="C167" s="23">
        <v>126.5</v>
      </c>
      <c r="D167" s="24">
        <v>57.6</v>
      </c>
      <c r="E167">
        <f t="shared" si="7"/>
        <v>0.54466403162055343</v>
      </c>
      <c r="F167">
        <f t="shared" si="9"/>
        <v>35.087375280418769</v>
      </c>
      <c r="G167">
        <f t="shared" si="10"/>
        <v>75.475675675675689</v>
      </c>
      <c r="H167">
        <f t="shared" si="8"/>
        <v>0.46488322186331527</v>
      </c>
    </row>
    <row r="168" spans="1:8" x14ac:dyDescent="0.3">
      <c r="A168" t="s">
        <v>16940</v>
      </c>
      <c r="B168" s="20">
        <v>86.2</v>
      </c>
      <c r="C168" s="23">
        <v>120.5</v>
      </c>
      <c r="D168" s="24">
        <v>53</v>
      </c>
      <c r="E168">
        <f t="shared" si="7"/>
        <v>0.56016597510373445</v>
      </c>
      <c r="F168">
        <f t="shared" si="9"/>
        <v>35.06198272961759</v>
      </c>
      <c r="G168">
        <f t="shared" si="10"/>
        <v>72.975675675675689</v>
      </c>
      <c r="H168">
        <f t="shared" si="8"/>
        <v>0.48046122773076944</v>
      </c>
    </row>
    <row r="169" spans="1:8" x14ac:dyDescent="0.3">
      <c r="A169" t="s">
        <v>16941</v>
      </c>
      <c r="B169" s="20">
        <v>86</v>
      </c>
      <c r="C169" s="23">
        <v>119.4</v>
      </c>
      <c r="D169" s="24">
        <v>51.3</v>
      </c>
      <c r="E169">
        <f t="shared" si="7"/>
        <v>0.57035175879396993</v>
      </c>
      <c r="F169">
        <f t="shared" si="9"/>
        <v>35.825926931957092</v>
      </c>
      <c r="G169">
        <f t="shared" si="10"/>
        <v>72.775675675675686</v>
      </c>
      <c r="H169">
        <f t="shared" si="8"/>
        <v>0.49227886377331759</v>
      </c>
    </row>
    <row r="170" spans="1:8" x14ac:dyDescent="0.3">
      <c r="A170" t="s">
        <v>16942</v>
      </c>
      <c r="B170" s="20">
        <v>82.5</v>
      </c>
      <c r="C170" s="23">
        <v>114.8</v>
      </c>
      <c r="D170" s="24">
        <v>49.9</v>
      </c>
      <c r="E170">
        <f t="shared" si="7"/>
        <v>0.56533101045296175</v>
      </c>
      <c r="F170">
        <f t="shared" si="9"/>
        <v>33.415484038045022</v>
      </c>
      <c r="G170">
        <f t="shared" si="10"/>
        <v>69.275675675675686</v>
      </c>
      <c r="H170">
        <f t="shared" si="8"/>
        <v>0.4823552237077347</v>
      </c>
    </row>
    <row r="171" spans="1:8" x14ac:dyDescent="0.3">
      <c r="A171" t="s">
        <v>16943</v>
      </c>
      <c r="B171" s="20">
        <v>84.1</v>
      </c>
      <c r="C171" s="23">
        <v>116</v>
      </c>
      <c r="D171" s="24">
        <v>49.4</v>
      </c>
      <c r="E171">
        <f t="shared" si="7"/>
        <v>0.57413793103448274</v>
      </c>
      <c r="F171">
        <f t="shared" si="9"/>
        <v>35.060675675675675</v>
      </c>
      <c r="G171">
        <f t="shared" si="10"/>
        <v>70.87567567567568</v>
      </c>
      <c r="H171">
        <f t="shared" si="8"/>
        <v>0.494678538743136</v>
      </c>
    </row>
    <row r="172" spans="1:8" x14ac:dyDescent="0.3">
      <c r="A172" t="s">
        <v>16944</v>
      </c>
      <c r="B172" s="20">
        <v>86.7</v>
      </c>
      <c r="C172" s="23">
        <v>118.5</v>
      </c>
      <c r="D172" s="24">
        <v>49.7</v>
      </c>
      <c r="E172">
        <f t="shared" si="7"/>
        <v>0.58059071729957801</v>
      </c>
      <c r="F172">
        <f t="shared" si="9"/>
        <v>37.11289086554909</v>
      </c>
      <c r="G172">
        <f t="shared" si="10"/>
        <v>73.475675675675689</v>
      </c>
      <c r="H172">
        <f t="shared" si="8"/>
        <v>0.50510445156526007</v>
      </c>
    </row>
    <row r="173" spans="1:8" x14ac:dyDescent="0.3">
      <c r="A173" t="s">
        <v>16945</v>
      </c>
      <c r="B173" s="20">
        <v>84.6</v>
      </c>
      <c r="C173" s="23">
        <v>114.8</v>
      </c>
      <c r="D173" s="24">
        <v>47.3</v>
      </c>
      <c r="E173">
        <f t="shared" si="7"/>
        <v>0.58797909407665505</v>
      </c>
      <c r="F173">
        <f t="shared" si="9"/>
        <v>36.518707034560691</v>
      </c>
      <c r="G173">
        <f t="shared" si="10"/>
        <v>71.37567567567568</v>
      </c>
      <c r="H173">
        <f t="shared" si="8"/>
        <v>0.51164078923046896</v>
      </c>
    </row>
    <row r="174" spans="1:8" x14ac:dyDescent="0.3">
      <c r="A174" t="s">
        <v>16946</v>
      </c>
      <c r="B174" s="20">
        <v>82.4</v>
      </c>
      <c r="C174" s="23">
        <v>112</v>
      </c>
      <c r="D174" s="24">
        <v>47.3</v>
      </c>
      <c r="E174">
        <f t="shared" si="7"/>
        <v>0.57767857142857149</v>
      </c>
      <c r="F174">
        <f t="shared" si="9"/>
        <v>34.376389961389975</v>
      </c>
      <c r="G174">
        <f t="shared" si="10"/>
        <v>69.175675675675691</v>
      </c>
      <c r="H174">
        <f t="shared" si="8"/>
        <v>0.49694332040298056</v>
      </c>
    </row>
    <row r="175" spans="1:8" x14ac:dyDescent="0.3">
      <c r="A175" t="s">
        <v>16947</v>
      </c>
      <c r="B175" s="20">
        <v>79.900000000000006</v>
      </c>
      <c r="C175" s="23">
        <v>108.4</v>
      </c>
      <c r="D175" s="24">
        <v>45</v>
      </c>
      <c r="E175">
        <f t="shared" si="7"/>
        <v>0.58487084870848716</v>
      </c>
      <c r="F175">
        <f t="shared" si="9"/>
        <v>33.506856487483809</v>
      </c>
      <c r="G175">
        <f t="shared" si="10"/>
        <v>66.675675675675691</v>
      </c>
      <c r="H175">
        <f t="shared" si="8"/>
        <v>0.50253493718561026</v>
      </c>
    </row>
    <row r="176" spans="1:8" x14ac:dyDescent="0.3">
      <c r="A176" t="s">
        <v>16948</v>
      </c>
      <c r="B176" s="20">
        <v>79.7</v>
      </c>
      <c r="C176" s="23">
        <v>107.7</v>
      </c>
      <c r="D176" s="24">
        <v>44.1</v>
      </c>
      <c r="E176">
        <f t="shared" si="7"/>
        <v>0.59052924791086348</v>
      </c>
      <c r="F176">
        <f t="shared" si="9"/>
        <v>33.840856734171503</v>
      </c>
      <c r="G176">
        <f t="shared" si="10"/>
        <v>66.475675675675689</v>
      </c>
      <c r="H176">
        <f t="shared" si="8"/>
        <v>0.50907127141175201</v>
      </c>
    </row>
    <row r="177" spans="1:8" x14ac:dyDescent="0.3">
      <c r="A177" t="s">
        <v>16949</v>
      </c>
      <c r="B177" s="20">
        <v>80.099999999999994</v>
      </c>
      <c r="C177" s="23">
        <v>107.4</v>
      </c>
      <c r="D177" s="24">
        <v>43.1</v>
      </c>
      <c r="E177">
        <f t="shared" si="7"/>
        <v>0.59869646182495351</v>
      </c>
      <c r="F177">
        <f t="shared" si="9"/>
        <v>34.731262267854454</v>
      </c>
      <c r="G177">
        <f t="shared" si="10"/>
        <v>66.87567567567568</v>
      </c>
      <c r="H177">
        <f t="shared" si="8"/>
        <v>0.51934073064606157</v>
      </c>
    </row>
    <row r="178" spans="1:8" x14ac:dyDescent="0.3">
      <c r="A178" t="s">
        <v>16950</v>
      </c>
      <c r="B178" s="20">
        <v>79.400000000000006</v>
      </c>
      <c r="C178" s="23">
        <v>106</v>
      </c>
      <c r="D178" s="24">
        <v>42.2</v>
      </c>
      <c r="E178">
        <f t="shared" si="7"/>
        <v>0.60188679245283017</v>
      </c>
      <c r="F178">
        <f t="shared" si="9"/>
        <v>34.565486996430394</v>
      </c>
      <c r="G178">
        <f t="shared" si="10"/>
        <v>66.175675675675691</v>
      </c>
      <c r="H178">
        <f t="shared" si="8"/>
        <v>0.52232918883721635</v>
      </c>
    </row>
    <row r="179" spans="1:8" x14ac:dyDescent="0.3">
      <c r="A179" t="s">
        <v>16951</v>
      </c>
      <c r="B179" s="20">
        <v>79.099999999999994</v>
      </c>
      <c r="C179" s="23">
        <v>105</v>
      </c>
      <c r="D179" s="24">
        <v>41.4</v>
      </c>
      <c r="E179">
        <f t="shared" si="7"/>
        <v>0.60571428571428576</v>
      </c>
      <c r="F179">
        <f t="shared" si="9"/>
        <v>34.687675675675678</v>
      </c>
      <c r="G179">
        <f t="shared" si="10"/>
        <v>65.87567567567568</v>
      </c>
      <c r="H179">
        <f t="shared" si="8"/>
        <v>0.52656273077869864</v>
      </c>
    </row>
    <row r="180" spans="1:8" x14ac:dyDescent="0.3">
      <c r="A180" t="s">
        <v>16952</v>
      </c>
      <c r="B180" s="20">
        <v>76.099999999999994</v>
      </c>
      <c r="C180" s="23">
        <v>99.9</v>
      </c>
      <c r="D180" s="24">
        <v>38.1</v>
      </c>
      <c r="E180">
        <f t="shared" si="7"/>
        <v>0.61861861861861867</v>
      </c>
      <c r="F180">
        <f t="shared" si="9"/>
        <v>33.852552552552552</v>
      </c>
      <c r="G180">
        <f t="shared" si="10"/>
        <v>62.875675675675673</v>
      </c>
      <c r="H180">
        <f t="shared" si="8"/>
        <v>0.53840459269448271</v>
      </c>
    </row>
    <row r="181" spans="1:8" x14ac:dyDescent="0.3">
      <c r="A181" t="s">
        <v>16953</v>
      </c>
      <c r="B181" s="20">
        <v>77.2</v>
      </c>
      <c r="C181" s="23">
        <v>100.3</v>
      </c>
      <c r="D181" s="24">
        <v>37</v>
      </c>
      <c r="E181">
        <f t="shared" si="7"/>
        <v>0.6311066799601196</v>
      </c>
      <c r="F181">
        <f t="shared" si="9"/>
        <v>35.497111368596912</v>
      </c>
      <c r="G181">
        <f t="shared" si="10"/>
        <v>63.975675675675681</v>
      </c>
      <c r="H181">
        <f t="shared" si="8"/>
        <v>0.55485324685821702</v>
      </c>
    </row>
    <row r="182" spans="1:8" x14ac:dyDescent="0.3">
      <c r="A182" t="s">
        <v>16954</v>
      </c>
      <c r="B182" s="20">
        <v>73.8</v>
      </c>
      <c r="C182" s="23">
        <v>96.2</v>
      </c>
      <c r="D182" s="24">
        <v>36</v>
      </c>
      <c r="E182">
        <f t="shared" si="7"/>
        <v>0.62577962577962576</v>
      </c>
      <c r="F182">
        <f t="shared" si="9"/>
        <v>32.958212058212055</v>
      </c>
      <c r="G182">
        <f t="shared" si="10"/>
        <v>60.575675675675676</v>
      </c>
      <c r="H182">
        <f t="shared" si="8"/>
        <v>0.54408327584609206</v>
      </c>
    </row>
    <row r="183" spans="1:8" x14ac:dyDescent="0.3">
      <c r="A183" t="s">
        <v>16955</v>
      </c>
      <c r="B183" s="20">
        <v>73.599999999999994</v>
      </c>
      <c r="C183" s="23">
        <v>95</v>
      </c>
      <c r="D183" s="24">
        <v>34</v>
      </c>
      <c r="E183">
        <f t="shared" si="7"/>
        <v>0.64210526315789473</v>
      </c>
      <c r="F183">
        <f t="shared" si="9"/>
        <v>34.034623044096726</v>
      </c>
      <c r="G183">
        <f t="shared" si="10"/>
        <v>60.375675675675673</v>
      </c>
      <c r="H183">
        <f t="shared" si="8"/>
        <v>0.5637141557955051</v>
      </c>
    </row>
    <row r="184" spans="1:8" x14ac:dyDescent="0.3">
      <c r="A184" t="s">
        <v>16956</v>
      </c>
      <c r="B184" s="20">
        <v>73</v>
      </c>
      <c r="C184" s="23">
        <v>93.9</v>
      </c>
      <c r="D184" s="24">
        <v>33.6</v>
      </c>
      <c r="E184">
        <f t="shared" si="7"/>
        <v>0.64217252396166136</v>
      </c>
      <c r="F184">
        <f t="shared" si="9"/>
        <v>33.654269924876957</v>
      </c>
      <c r="G184">
        <f t="shared" si="10"/>
        <v>59.775675675675679</v>
      </c>
      <c r="H184">
        <f t="shared" si="8"/>
        <v>0.56300944396638208</v>
      </c>
    </row>
    <row r="185" spans="1:8" x14ac:dyDescent="0.3">
      <c r="A185" t="s">
        <v>16957</v>
      </c>
      <c r="B185" s="20">
        <v>74</v>
      </c>
      <c r="C185" s="23">
        <v>94.6</v>
      </c>
      <c r="D185" s="24">
        <v>32.9</v>
      </c>
      <c r="E185">
        <f t="shared" si="7"/>
        <v>0.65221987315010566</v>
      </c>
      <c r="F185">
        <f t="shared" si="9"/>
        <v>35.039946288783497</v>
      </c>
      <c r="G185">
        <f t="shared" si="10"/>
        <v>60.775675675675679</v>
      </c>
      <c r="H185">
        <f t="shared" si="8"/>
        <v>0.57654556529772283</v>
      </c>
    </row>
    <row r="186" spans="1:8" x14ac:dyDescent="0.3">
      <c r="A186" t="s">
        <v>16958</v>
      </c>
      <c r="B186" s="20">
        <v>69.5</v>
      </c>
      <c r="C186" s="23">
        <v>89.9</v>
      </c>
      <c r="D186" s="24">
        <v>32.6</v>
      </c>
      <c r="E186">
        <f t="shared" si="7"/>
        <v>0.63737486095661844</v>
      </c>
      <c r="F186">
        <f t="shared" si="9"/>
        <v>31.073228512160661</v>
      </c>
      <c r="G186">
        <f t="shared" si="10"/>
        <v>56.275675675675679</v>
      </c>
      <c r="H186">
        <f t="shared" si="8"/>
        <v>0.55216091391314204</v>
      </c>
    </row>
    <row r="187" spans="1:8" x14ac:dyDescent="0.3">
      <c r="A187" t="s">
        <v>16959</v>
      </c>
      <c r="B187" s="20">
        <v>69.5</v>
      </c>
      <c r="C187" s="23">
        <v>89.8</v>
      </c>
      <c r="D187" s="24">
        <v>32.5</v>
      </c>
      <c r="E187">
        <f t="shared" si="7"/>
        <v>0.63808463251670378</v>
      </c>
      <c r="F187">
        <f t="shared" si="9"/>
        <v>31.122557635586588</v>
      </c>
      <c r="G187">
        <f t="shared" si="10"/>
        <v>56.275675675675679</v>
      </c>
      <c r="H187">
        <f t="shared" si="8"/>
        <v>0.553037475994959</v>
      </c>
    </row>
    <row r="188" spans="1:8" x14ac:dyDescent="0.3">
      <c r="A188" t="s">
        <v>16960</v>
      </c>
      <c r="B188" s="20">
        <v>68.3</v>
      </c>
      <c r="C188" s="23">
        <v>88.1</v>
      </c>
      <c r="D188" s="24">
        <v>32.299999999999997</v>
      </c>
      <c r="E188">
        <f t="shared" si="7"/>
        <v>0.63337116912599323</v>
      </c>
      <c r="F188">
        <f t="shared" si="9"/>
        <v>30.034926526981018</v>
      </c>
      <c r="G188">
        <f t="shared" si="10"/>
        <v>55.075675675675676</v>
      </c>
      <c r="H188">
        <f t="shared" si="8"/>
        <v>0.5453392293150936</v>
      </c>
    </row>
    <row r="189" spans="1:8" x14ac:dyDescent="0.3">
      <c r="A189" t="s">
        <v>16961</v>
      </c>
      <c r="B189" s="20">
        <v>67.099999999999994</v>
      </c>
      <c r="C189" s="23">
        <v>86.8</v>
      </c>
      <c r="D189" s="24">
        <v>32</v>
      </c>
      <c r="E189">
        <f t="shared" si="7"/>
        <v>0.63133640552995396</v>
      </c>
      <c r="F189">
        <f t="shared" si="9"/>
        <v>29.138348486735588</v>
      </c>
      <c r="G189">
        <f t="shared" si="10"/>
        <v>53.875675675675673</v>
      </c>
      <c r="H189">
        <f t="shared" si="8"/>
        <v>0.54084423297342066</v>
      </c>
    </row>
    <row r="190" spans="1:8" x14ac:dyDescent="0.3">
      <c r="A190" t="s">
        <v>16962</v>
      </c>
      <c r="B190" s="20">
        <v>66.3</v>
      </c>
      <c r="C190" s="23">
        <v>85.8</v>
      </c>
      <c r="D190" s="24">
        <v>32.1</v>
      </c>
      <c r="E190">
        <f t="shared" si="7"/>
        <v>0.62587412587412583</v>
      </c>
      <c r="F190">
        <f t="shared" si="9"/>
        <v>28.271130221130221</v>
      </c>
      <c r="G190">
        <f t="shared" si="10"/>
        <v>53.075675675675676</v>
      </c>
      <c r="H190">
        <f t="shared" si="8"/>
        <v>0.53265700080548839</v>
      </c>
    </row>
    <row r="191" spans="1:8" x14ac:dyDescent="0.3">
      <c r="A191" t="s">
        <v>16963</v>
      </c>
      <c r="B191" s="20">
        <v>64.8</v>
      </c>
      <c r="C191" s="23">
        <v>83.6</v>
      </c>
      <c r="D191" s="24">
        <v>31.6</v>
      </c>
      <c r="E191">
        <f t="shared" si="7"/>
        <v>0.62200956937799035</v>
      </c>
      <c r="F191">
        <f t="shared" si="9"/>
        <v>27.081895771369453</v>
      </c>
      <c r="G191">
        <f t="shared" si="10"/>
        <v>51.575675675675676</v>
      </c>
      <c r="H191">
        <f t="shared" si="8"/>
        <v>0.52509046981117735</v>
      </c>
    </row>
    <row r="192" spans="1:8" x14ac:dyDescent="0.3">
      <c r="A192" t="s">
        <v>16964</v>
      </c>
      <c r="B192" s="20">
        <v>64.2</v>
      </c>
      <c r="C192" s="23">
        <v>82.6</v>
      </c>
      <c r="D192" s="24">
        <v>31.1</v>
      </c>
      <c r="E192">
        <f t="shared" si="7"/>
        <v>0.62348668280871666</v>
      </c>
      <c r="F192">
        <f t="shared" si="9"/>
        <v>26.80352071199529</v>
      </c>
      <c r="G192">
        <f t="shared" si="10"/>
        <v>50.975675675675681</v>
      </c>
      <c r="H192">
        <f t="shared" si="8"/>
        <v>0.52581001343715905</v>
      </c>
    </row>
    <row r="193" spans="1:8" x14ac:dyDescent="0.3">
      <c r="A193" t="s">
        <v>16965</v>
      </c>
      <c r="B193" s="20">
        <v>67.099999999999994</v>
      </c>
      <c r="C193" s="23">
        <v>85.3</v>
      </c>
      <c r="D193" s="24">
        <v>31.7</v>
      </c>
      <c r="E193">
        <f t="shared" si="7"/>
        <v>0.62837045720984752</v>
      </c>
      <c r="F193">
        <f t="shared" si="9"/>
        <v>28.939333354456444</v>
      </c>
      <c r="G193">
        <f t="shared" si="10"/>
        <v>53.875675675675673</v>
      </c>
      <c r="H193">
        <f t="shared" si="8"/>
        <v>0.53715026292509704</v>
      </c>
    </row>
    <row r="194" spans="1:8" x14ac:dyDescent="0.3">
      <c r="A194" t="s">
        <v>16966</v>
      </c>
      <c r="B194" s="20">
        <v>65.400000000000006</v>
      </c>
      <c r="C194" s="23">
        <v>83.5</v>
      </c>
      <c r="D194" s="24">
        <v>31.8</v>
      </c>
      <c r="E194">
        <f t="shared" si="7"/>
        <v>0.61916167664670663</v>
      </c>
      <c r="F194">
        <f t="shared" si="9"/>
        <v>27.268849328370294</v>
      </c>
      <c r="G194">
        <f t="shared" si="10"/>
        <v>52.175675675675684</v>
      </c>
      <c r="H194">
        <f t="shared" si="8"/>
        <v>0.52263528886283384</v>
      </c>
    </row>
    <row r="195" spans="1:8" x14ac:dyDescent="0.3">
      <c r="A195" t="s">
        <v>16967</v>
      </c>
      <c r="B195" s="20">
        <v>64.3</v>
      </c>
      <c r="C195" s="23">
        <v>82.1</v>
      </c>
      <c r="D195" s="24">
        <v>31.5</v>
      </c>
      <c r="E195">
        <f t="shared" si="7"/>
        <v>0.61632155907429964</v>
      </c>
      <c r="F195">
        <f t="shared" si="9"/>
        <v>26.405151924153145</v>
      </c>
      <c r="G195">
        <f t="shared" si="10"/>
        <v>51.075675675675676</v>
      </c>
      <c r="H195">
        <f t="shared" si="8"/>
        <v>0.51698096157988482</v>
      </c>
    </row>
    <row r="196" spans="1:8" x14ac:dyDescent="0.3">
      <c r="A196" t="s">
        <v>16968</v>
      </c>
      <c r="B196" s="20">
        <v>63.6</v>
      </c>
      <c r="C196" s="23">
        <v>81.099999999999994</v>
      </c>
      <c r="D196" s="24">
        <v>31.2</v>
      </c>
      <c r="E196">
        <f t="shared" ref="E196:E218" si="11">(C196-D196)/C196</f>
        <v>0.61528976572133165</v>
      </c>
      <c r="F196">
        <f t="shared" si="9"/>
        <v>25.908104775552374</v>
      </c>
      <c r="G196">
        <f t="shared" si="10"/>
        <v>50.37567567567568</v>
      </c>
      <c r="H196">
        <f t="shared" ref="H196:H218" si="12">F196/G196</f>
        <v>0.51429791120523516</v>
      </c>
    </row>
    <row r="197" spans="1:8" x14ac:dyDescent="0.3">
      <c r="A197" t="s">
        <v>16969</v>
      </c>
      <c r="B197" s="20">
        <v>64.2</v>
      </c>
      <c r="C197" s="23">
        <v>81.599999999999994</v>
      </c>
      <c r="D197" s="24">
        <v>31.8</v>
      </c>
      <c r="E197">
        <f t="shared" si="11"/>
        <v>0.61029411764705888</v>
      </c>
      <c r="F197">
        <f t="shared" ref="F197:F218" si="13">B197*E197-$E$67*$B$67</f>
        <v>25.956558028616861</v>
      </c>
      <c r="G197">
        <f t="shared" ref="G197:G218" si="14">B197-$E$67*$B$67</f>
        <v>50.975675675675681</v>
      </c>
      <c r="H197">
        <f t="shared" si="12"/>
        <v>0.50919497749791831</v>
      </c>
    </row>
    <row r="198" spans="1:8" x14ac:dyDescent="0.3">
      <c r="A198" t="s">
        <v>16970</v>
      </c>
      <c r="B198" s="20">
        <v>62.4</v>
      </c>
      <c r="C198" s="23">
        <v>80.5</v>
      </c>
      <c r="D198" s="24">
        <v>32.6</v>
      </c>
      <c r="E198">
        <f t="shared" si="11"/>
        <v>0.59503105590062111</v>
      </c>
      <c r="F198">
        <f t="shared" si="13"/>
        <v>23.905613563874432</v>
      </c>
      <c r="G198">
        <f t="shared" si="14"/>
        <v>49.175675675675677</v>
      </c>
      <c r="H198">
        <f t="shared" si="12"/>
        <v>0.48612679409912279</v>
      </c>
    </row>
    <row r="199" spans="1:8" x14ac:dyDescent="0.3">
      <c r="A199" t="s">
        <v>16971</v>
      </c>
      <c r="B199" s="20">
        <v>63.9</v>
      </c>
      <c r="C199" s="23">
        <v>82.3</v>
      </c>
      <c r="D199" s="24">
        <v>32.5</v>
      </c>
      <c r="E199">
        <f t="shared" si="11"/>
        <v>0.60510328068043739</v>
      </c>
      <c r="F199">
        <f t="shared" si="13"/>
        <v>25.441775311155624</v>
      </c>
      <c r="G199">
        <f t="shared" si="14"/>
        <v>50.675675675675677</v>
      </c>
      <c r="H199">
        <f t="shared" si="12"/>
        <v>0.5020510328068043</v>
      </c>
    </row>
    <row r="200" spans="1:8" x14ac:dyDescent="0.3">
      <c r="A200" t="s">
        <v>16972</v>
      </c>
      <c r="B200" s="20">
        <v>66.900000000000006</v>
      </c>
      <c r="C200" s="23">
        <v>85.5</v>
      </c>
      <c r="D200" s="24">
        <v>34</v>
      </c>
      <c r="E200">
        <f t="shared" si="11"/>
        <v>0.60233918128654973</v>
      </c>
      <c r="F200">
        <f t="shared" si="13"/>
        <v>27.07216690374586</v>
      </c>
      <c r="G200">
        <f t="shared" si="14"/>
        <v>53.675675675675684</v>
      </c>
      <c r="H200">
        <f t="shared" si="12"/>
        <v>0.50436564725004862</v>
      </c>
    </row>
    <row r="201" spans="1:8" x14ac:dyDescent="0.3">
      <c r="A201" t="s">
        <v>16973</v>
      </c>
      <c r="B201" s="20">
        <v>67.900000000000006</v>
      </c>
      <c r="C201" s="23">
        <v>87.5</v>
      </c>
      <c r="D201" s="24">
        <v>34.799999999999997</v>
      </c>
      <c r="E201">
        <f t="shared" si="11"/>
        <v>0.60228571428571431</v>
      </c>
      <c r="F201">
        <f t="shared" si="13"/>
        <v>27.670875675675681</v>
      </c>
      <c r="G201">
        <f t="shared" si="14"/>
        <v>54.675675675675684</v>
      </c>
      <c r="H201">
        <f t="shared" si="12"/>
        <v>0.50609115175481956</v>
      </c>
    </row>
    <row r="202" spans="1:8" x14ac:dyDescent="0.3">
      <c r="A202" t="s">
        <v>16974</v>
      </c>
      <c r="B202" s="20">
        <v>69.599999999999994</v>
      </c>
      <c r="C202" s="23">
        <v>89.9</v>
      </c>
      <c r="D202" s="24">
        <v>36</v>
      </c>
      <c r="E202">
        <f t="shared" si="11"/>
        <v>0.59955506117908786</v>
      </c>
      <c r="F202">
        <f t="shared" si="13"/>
        <v>28.504707933740193</v>
      </c>
      <c r="G202">
        <f t="shared" si="14"/>
        <v>56.375675675675673</v>
      </c>
      <c r="H202">
        <f t="shared" si="12"/>
        <v>0.50562068821534456</v>
      </c>
    </row>
    <row r="203" spans="1:8" x14ac:dyDescent="0.3">
      <c r="A203" t="s">
        <v>16975</v>
      </c>
      <c r="B203" s="20">
        <v>70.5</v>
      </c>
      <c r="C203" s="23">
        <v>91.2</v>
      </c>
      <c r="D203" s="24">
        <v>36.700000000000003</v>
      </c>
      <c r="E203">
        <f t="shared" si="11"/>
        <v>0.59758771929824561</v>
      </c>
      <c r="F203">
        <f t="shared" si="13"/>
        <v>28.905609886201994</v>
      </c>
      <c r="G203">
        <f t="shared" si="14"/>
        <v>57.275675675675679</v>
      </c>
      <c r="H203">
        <f t="shared" si="12"/>
        <v>0.50467514429476867</v>
      </c>
    </row>
    <row r="204" spans="1:8" x14ac:dyDescent="0.3">
      <c r="A204" t="s">
        <v>16976</v>
      </c>
      <c r="B204" s="20">
        <v>76</v>
      </c>
      <c r="C204" s="23">
        <v>97.1</v>
      </c>
      <c r="D204" s="24">
        <v>37.299999999999997</v>
      </c>
      <c r="E204">
        <f t="shared" si="11"/>
        <v>0.61585993820803298</v>
      </c>
      <c r="F204">
        <f t="shared" si="13"/>
        <v>33.581030979486187</v>
      </c>
      <c r="G204">
        <f t="shared" si="14"/>
        <v>62.775675675675679</v>
      </c>
      <c r="H204">
        <f t="shared" si="12"/>
        <v>0.53493698981400473</v>
      </c>
    </row>
    <row r="205" spans="1:8" x14ac:dyDescent="0.3">
      <c r="A205" t="s">
        <v>16977</v>
      </c>
      <c r="B205" s="20">
        <v>74</v>
      </c>
      <c r="C205" s="23">
        <v>95</v>
      </c>
      <c r="D205" s="24">
        <v>36.299999999999997</v>
      </c>
      <c r="E205">
        <f t="shared" si="11"/>
        <v>0.61789473684210527</v>
      </c>
      <c r="F205">
        <f t="shared" si="13"/>
        <v>32.499886201991465</v>
      </c>
      <c r="G205">
        <f t="shared" si="14"/>
        <v>60.775675675675679</v>
      </c>
      <c r="H205">
        <f t="shared" si="12"/>
        <v>0.53475154065623876</v>
      </c>
    </row>
    <row r="206" spans="1:8" x14ac:dyDescent="0.3">
      <c r="A206" t="s">
        <v>16978</v>
      </c>
      <c r="B206" s="20">
        <v>77.599999999999994</v>
      </c>
      <c r="C206" s="23">
        <v>98.9</v>
      </c>
      <c r="D206" s="24">
        <v>37.299999999999997</v>
      </c>
      <c r="E206">
        <f t="shared" si="11"/>
        <v>0.62285136501516691</v>
      </c>
      <c r="F206">
        <f t="shared" si="13"/>
        <v>35.108941600852624</v>
      </c>
      <c r="G206">
        <f t="shared" si="14"/>
        <v>64.37567567567568</v>
      </c>
      <c r="H206">
        <f t="shared" si="12"/>
        <v>0.5453758928718867</v>
      </c>
    </row>
    <row r="207" spans="1:8" x14ac:dyDescent="0.3">
      <c r="A207" t="s">
        <v>16979</v>
      </c>
      <c r="B207" s="20">
        <v>81.099999999999994</v>
      </c>
      <c r="C207" s="23">
        <v>102</v>
      </c>
      <c r="D207" s="24">
        <v>37.6</v>
      </c>
      <c r="E207">
        <f t="shared" si="11"/>
        <v>0.63137254901960793</v>
      </c>
      <c r="F207">
        <f t="shared" si="13"/>
        <v>37.979989401165881</v>
      </c>
      <c r="G207">
        <f t="shared" si="14"/>
        <v>67.87567567567568</v>
      </c>
      <c r="H207">
        <f t="shared" si="12"/>
        <v>0.5595522847189367</v>
      </c>
    </row>
    <row r="208" spans="1:8" x14ac:dyDescent="0.3">
      <c r="A208" t="s">
        <v>16980</v>
      </c>
      <c r="B208" s="20">
        <v>80.599999999999994</v>
      </c>
      <c r="C208" s="23">
        <v>100.7</v>
      </c>
      <c r="D208" s="24">
        <v>35.700000000000003</v>
      </c>
      <c r="E208">
        <f t="shared" si="11"/>
        <v>0.6454816285998014</v>
      </c>
      <c r="F208">
        <f t="shared" si="13"/>
        <v>38.801494940819666</v>
      </c>
      <c r="G208">
        <f t="shared" si="14"/>
        <v>67.37567567567568</v>
      </c>
      <c r="H208">
        <f t="shared" si="12"/>
        <v>0.57589767451976714</v>
      </c>
    </row>
    <row r="209" spans="1:8" x14ac:dyDescent="0.3">
      <c r="A209" t="s">
        <v>16981</v>
      </c>
      <c r="B209" s="20">
        <v>83.5</v>
      </c>
      <c r="C209" s="23">
        <v>103.3</v>
      </c>
      <c r="D209" s="24">
        <v>35.9</v>
      </c>
      <c r="E209">
        <f t="shared" si="11"/>
        <v>0.65246853823814144</v>
      </c>
      <c r="F209">
        <f t="shared" si="13"/>
        <v>41.256798618560488</v>
      </c>
      <c r="G209">
        <f t="shared" si="14"/>
        <v>70.275675675675686</v>
      </c>
      <c r="H209">
        <f t="shared" si="12"/>
        <v>0.58707082104712627</v>
      </c>
    </row>
    <row r="210" spans="1:8" x14ac:dyDescent="0.3">
      <c r="A210" t="s">
        <v>16982</v>
      </c>
      <c r="B210" s="20">
        <v>89.4</v>
      </c>
      <c r="C210" s="23">
        <v>108.6</v>
      </c>
      <c r="D210" s="24">
        <v>36.299999999999997</v>
      </c>
      <c r="E210">
        <f t="shared" si="11"/>
        <v>0.66574585635359118</v>
      </c>
      <c r="F210">
        <f t="shared" si="13"/>
        <v>46.293355233686732</v>
      </c>
      <c r="G210">
        <f t="shared" si="14"/>
        <v>76.175675675675691</v>
      </c>
      <c r="H210">
        <f t="shared" si="12"/>
        <v>0.6077183408360507</v>
      </c>
    </row>
    <row r="211" spans="1:8" x14ac:dyDescent="0.3">
      <c r="A211" t="s">
        <v>16983</v>
      </c>
      <c r="B211" s="20">
        <v>83</v>
      </c>
      <c r="C211" s="23">
        <v>101.7</v>
      </c>
      <c r="D211" s="24">
        <v>35.200000000000003</v>
      </c>
      <c r="E211">
        <f t="shared" si="11"/>
        <v>0.6538839724680432</v>
      </c>
      <c r="F211">
        <f t="shared" si="13"/>
        <v>41.048045390523264</v>
      </c>
      <c r="G211">
        <f t="shared" si="14"/>
        <v>69.775675675675686</v>
      </c>
      <c r="H211">
        <f t="shared" si="12"/>
        <v>0.58828588892952727</v>
      </c>
    </row>
    <row r="212" spans="1:8" x14ac:dyDescent="0.3">
      <c r="A212" t="s">
        <v>16984</v>
      </c>
      <c r="B212" s="20">
        <v>79.2</v>
      </c>
      <c r="C212" s="23">
        <v>97.2</v>
      </c>
      <c r="D212" s="24">
        <v>33.799999999999997</v>
      </c>
      <c r="E212">
        <f t="shared" si="11"/>
        <v>0.65226337448559679</v>
      </c>
      <c r="F212">
        <f t="shared" si="13"/>
        <v>38.434934934934944</v>
      </c>
      <c r="G212">
        <f t="shared" si="14"/>
        <v>65.975675675675689</v>
      </c>
      <c r="H212">
        <f t="shared" si="12"/>
        <v>0.58256220252861113</v>
      </c>
    </row>
    <row r="213" spans="1:8" x14ac:dyDescent="0.3">
      <c r="A213" t="s">
        <v>16985</v>
      </c>
      <c r="B213" s="20">
        <v>76.099999999999994</v>
      </c>
      <c r="C213" s="23">
        <v>93.7</v>
      </c>
      <c r="D213" s="24">
        <v>32.799999999999997</v>
      </c>
      <c r="E213">
        <f t="shared" si="11"/>
        <v>0.64994663820704379</v>
      </c>
      <c r="F213">
        <f t="shared" si="13"/>
        <v>36.236614843231706</v>
      </c>
      <c r="G213">
        <f t="shared" si="14"/>
        <v>62.875675675675673</v>
      </c>
      <c r="H213">
        <f t="shared" si="12"/>
        <v>0.57632167692553871</v>
      </c>
    </row>
    <row r="214" spans="1:8" x14ac:dyDescent="0.3">
      <c r="A214" t="s">
        <v>16986</v>
      </c>
      <c r="B214" s="20">
        <v>75.900000000000006</v>
      </c>
      <c r="C214" s="23">
        <v>93.2</v>
      </c>
      <c r="D214" s="24">
        <v>32.4</v>
      </c>
      <c r="E214">
        <f t="shared" si="11"/>
        <v>0.65236051502145931</v>
      </c>
      <c r="F214">
        <f t="shared" si="13"/>
        <v>36.289838765804447</v>
      </c>
      <c r="G214">
        <f t="shared" si="14"/>
        <v>62.675675675675684</v>
      </c>
      <c r="H214">
        <f t="shared" si="12"/>
        <v>0.57900993287398206</v>
      </c>
    </row>
    <row r="215" spans="1:8" x14ac:dyDescent="0.3">
      <c r="A215" t="s">
        <v>16987</v>
      </c>
      <c r="B215" s="20">
        <v>74</v>
      </c>
      <c r="C215" s="23">
        <v>90.9</v>
      </c>
      <c r="D215" s="24">
        <v>31.9</v>
      </c>
      <c r="E215">
        <f t="shared" si="11"/>
        <v>0.64906490649064907</v>
      </c>
      <c r="F215">
        <f t="shared" si="13"/>
        <v>34.806478755983711</v>
      </c>
      <c r="G215">
        <f t="shared" si="14"/>
        <v>60.775675675675679</v>
      </c>
      <c r="H215">
        <f t="shared" si="12"/>
        <v>0.57270410191283727</v>
      </c>
    </row>
    <row r="216" spans="1:8" x14ac:dyDescent="0.3">
      <c r="A216" t="s">
        <v>16988</v>
      </c>
      <c r="B216" s="20">
        <v>74.400000000000006</v>
      </c>
      <c r="C216" s="23">
        <v>91.2</v>
      </c>
      <c r="D216" s="24">
        <v>31.5</v>
      </c>
      <c r="E216">
        <f t="shared" si="11"/>
        <v>0.6546052631578948</v>
      </c>
      <c r="F216">
        <f t="shared" si="13"/>
        <v>35.478307254623054</v>
      </c>
      <c r="G216">
        <f t="shared" si="14"/>
        <v>61.175675675675684</v>
      </c>
      <c r="H216">
        <f t="shared" si="12"/>
        <v>0.57994140420634099</v>
      </c>
    </row>
    <row r="217" spans="1:8" x14ac:dyDescent="0.3">
      <c r="A217" t="s">
        <v>16989</v>
      </c>
      <c r="B217" s="20">
        <v>74.900000000000006</v>
      </c>
      <c r="C217" s="23">
        <v>91.8</v>
      </c>
      <c r="D217" s="24">
        <v>31.5</v>
      </c>
      <c r="E217">
        <f t="shared" si="11"/>
        <v>0.65686274509803921</v>
      </c>
      <c r="F217">
        <f t="shared" si="13"/>
        <v>35.97469528351882</v>
      </c>
      <c r="G217">
        <f t="shared" si="14"/>
        <v>61.675675675675684</v>
      </c>
      <c r="H217">
        <f t="shared" si="12"/>
        <v>0.58328822326476604</v>
      </c>
    </row>
    <row r="218" spans="1:8" x14ac:dyDescent="0.3">
      <c r="A218" t="s">
        <v>16990</v>
      </c>
      <c r="B218" s="20">
        <v>73.5</v>
      </c>
      <c r="C218" s="23">
        <v>90.5</v>
      </c>
      <c r="D218" s="24">
        <v>31.2</v>
      </c>
      <c r="E218">
        <f t="shared" si="11"/>
        <v>0.65524861878453033</v>
      </c>
      <c r="F218">
        <f t="shared" si="13"/>
        <v>34.936449156338661</v>
      </c>
      <c r="G218">
        <f t="shared" si="14"/>
        <v>60.275675675675679</v>
      </c>
      <c r="H218">
        <f t="shared" si="12"/>
        <v>0.57961107469488404</v>
      </c>
    </row>
    <row r="219" spans="1:8" x14ac:dyDescent="0.3">
      <c r="B219" s="20"/>
      <c r="C219" s="23"/>
      <c r="D219" s="24">
        <v>31.5</v>
      </c>
    </row>
    <row r="220" spans="1:8" x14ac:dyDescent="0.3">
      <c r="B220" s="20"/>
      <c r="C220" s="23"/>
      <c r="D220" s="24">
        <v>30.6</v>
      </c>
    </row>
    <row r="221" spans="1:8" x14ac:dyDescent="0.3">
      <c r="B221" s="20"/>
      <c r="C221" s="23"/>
      <c r="D221" s="24">
        <v>31</v>
      </c>
    </row>
    <row r="222" spans="1:8" x14ac:dyDescent="0.3">
      <c r="B222" s="20"/>
      <c r="C222" s="23"/>
      <c r="D222" s="24">
        <v>31.1</v>
      </c>
    </row>
  </sheetData>
  <hyperlinks>
    <hyperlink ref="B1" r:id="rId1" xr:uid="{8F77970C-93C4-48AF-B7C2-6A0F83583D4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B485C-FC13-48A4-9B5D-D2587D489D9D}">
  <dimension ref="B1:G377"/>
  <sheetViews>
    <sheetView workbookViewId="0">
      <selection activeCell="E173" sqref="E173"/>
    </sheetView>
  </sheetViews>
  <sheetFormatPr defaultRowHeight="14.4" x14ac:dyDescent="0.3"/>
  <cols>
    <col min="1" max="1" width="9.109375" customWidth="1"/>
    <col min="2" max="2" width="15.6640625" customWidth="1"/>
  </cols>
  <sheetData>
    <row r="1" spans="2:7" x14ac:dyDescent="0.3">
      <c r="C1" t="s">
        <v>16995</v>
      </c>
      <c r="E1" t="s">
        <v>16997</v>
      </c>
      <c r="G1" t="s">
        <v>16996</v>
      </c>
    </row>
    <row r="2" spans="2:7" x14ac:dyDescent="0.3">
      <c r="B2" s="16">
        <v>34335</v>
      </c>
      <c r="C2" s="15">
        <v>85.3</v>
      </c>
      <c r="E2">
        <f>C2/$C$89</f>
        <v>0.97352202693448975</v>
      </c>
    </row>
    <row r="3" spans="2:7" x14ac:dyDescent="0.3">
      <c r="B3" s="16">
        <v>34366</v>
      </c>
      <c r="C3" s="15">
        <v>84.33</v>
      </c>
      <c r="E3">
        <f t="shared" ref="E3:E66" si="0">C3/$C$89</f>
        <v>0.96245149509244454</v>
      </c>
    </row>
    <row r="4" spans="2:7" x14ac:dyDescent="0.3">
      <c r="B4" s="16">
        <v>34394</v>
      </c>
      <c r="C4" s="15">
        <v>83.69</v>
      </c>
      <c r="E4">
        <f t="shared" si="0"/>
        <v>0.95514722666057972</v>
      </c>
    </row>
    <row r="5" spans="2:7" x14ac:dyDescent="0.3">
      <c r="B5" s="16">
        <v>34425</v>
      </c>
      <c r="C5" s="15">
        <v>84.46</v>
      </c>
      <c r="E5">
        <f t="shared" si="0"/>
        <v>0.96393517461766709</v>
      </c>
    </row>
    <row r="6" spans="2:7" x14ac:dyDescent="0.3">
      <c r="B6" s="16">
        <v>34455</v>
      </c>
      <c r="C6" s="15">
        <v>84.32</v>
      </c>
      <c r="E6">
        <f t="shared" si="0"/>
        <v>0.96233736589819663</v>
      </c>
    </row>
    <row r="7" spans="2:7" x14ac:dyDescent="0.3">
      <c r="B7" s="16">
        <v>34486</v>
      </c>
      <c r="C7" s="15">
        <v>83.67</v>
      </c>
      <c r="E7">
        <f t="shared" si="0"/>
        <v>0.954918968272084</v>
      </c>
    </row>
    <row r="8" spans="2:7" x14ac:dyDescent="0.3">
      <c r="B8" s="16">
        <v>34516</v>
      </c>
      <c r="C8" s="15">
        <v>83.92</v>
      </c>
      <c r="E8">
        <f t="shared" si="0"/>
        <v>0.95777219812828118</v>
      </c>
    </row>
    <row r="9" spans="2:7" x14ac:dyDescent="0.3">
      <c r="B9" s="16">
        <v>34547</v>
      </c>
      <c r="C9" s="15">
        <v>79.55</v>
      </c>
      <c r="E9">
        <f t="shared" si="0"/>
        <v>0.9078977402419538</v>
      </c>
    </row>
    <row r="10" spans="2:7" x14ac:dyDescent="0.3">
      <c r="B10" s="16">
        <v>34578</v>
      </c>
      <c r="C10" s="15">
        <v>79.94</v>
      </c>
      <c r="E10">
        <f t="shared" si="0"/>
        <v>0.91234877881762144</v>
      </c>
    </row>
    <row r="11" spans="2:7" x14ac:dyDescent="0.3">
      <c r="B11" s="16">
        <v>34608</v>
      </c>
      <c r="C11" s="15">
        <v>81.010000000000005</v>
      </c>
      <c r="E11">
        <f t="shared" si="0"/>
        <v>0.92456060260214568</v>
      </c>
    </row>
    <row r="12" spans="2:7" x14ac:dyDescent="0.3">
      <c r="B12" s="16">
        <v>34639</v>
      </c>
      <c r="C12" s="15">
        <v>81.62</v>
      </c>
      <c r="E12">
        <f t="shared" si="0"/>
        <v>0.93152248345126687</v>
      </c>
    </row>
    <row r="13" spans="2:7" x14ac:dyDescent="0.3">
      <c r="B13" s="16">
        <v>34669</v>
      </c>
      <c r="C13" s="15">
        <v>82.05</v>
      </c>
      <c r="E13">
        <f t="shared" si="0"/>
        <v>0.93643003880392595</v>
      </c>
    </row>
    <row r="14" spans="2:7" x14ac:dyDescent="0.3">
      <c r="B14" s="16">
        <v>34700</v>
      </c>
      <c r="C14" s="15">
        <v>83.53</v>
      </c>
      <c r="E14">
        <f t="shared" si="0"/>
        <v>0.95332115955261354</v>
      </c>
    </row>
    <row r="15" spans="2:7" x14ac:dyDescent="0.3">
      <c r="B15" s="16">
        <v>34731</v>
      </c>
      <c r="C15" s="15">
        <v>84.29</v>
      </c>
      <c r="E15">
        <f t="shared" si="0"/>
        <v>0.96199497831545311</v>
      </c>
    </row>
    <row r="16" spans="2:7" x14ac:dyDescent="0.3">
      <c r="B16" s="16">
        <v>34759</v>
      </c>
      <c r="C16" s="15">
        <v>80.900000000000006</v>
      </c>
      <c r="E16">
        <f t="shared" si="0"/>
        <v>0.92330518146541884</v>
      </c>
    </row>
    <row r="17" spans="2:5" x14ac:dyDescent="0.3">
      <c r="B17" s="16">
        <v>34790</v>
      </c>
      <c r="C17" s="15">
        <v>78.760000000000005</v>
      </c>
      <c r="E17">
        <f t="shared" si="0"/>
        <v>0.89888153389637071</v>
      </c>
    </row>
    <row r="18" spans="2:5" x14ac:dyDescent="0.3">
      <c r="B18" s="16">
        <v>34820</v>
      </c>
      <c r="C18" s="15">
        <v>78.900000000000006</v>
      </c>
      <c r="E18">
        <f t="shared" si="0"/>
        <v>0.90047934261584117</v>
      </c>
    </row>
    <row r="19" spans="2:5" x14ac:dyDescent="0.3">
      <c r="B19" s="16">
        <v>34851</v>
      </c>
      <c r="C19" s="15">
        <v>77.569999999999993</v>
      </c>
      <c r="E19">
        <f t="shared" si="0"/>
        <v>0.88530015978087184</v>
      </c>
    </row>
    <row r="20" spans="2:5" x14ac:dyDescent="0.3">
      <c r="B20" s="16">
        <v>34881</v>
      </c>
      <c r="C20" s="15">
        <v>76.89</v>
      </c>
      <c r="E20">
        <f t="shared" si="0"/>
        <v>0.87753937457201547</v>
      </c>
    </row>
    <row r="21" spans="2:5" x14ac:dyDescent="0.3">
      <c r="B21" s="16">
        <v>34912</v>
      </c>
      <c r="C21" s="15">
        <v>76.37</v>
      </c>
      <c r="E21">
        <f t="shared" si="0"/>
        <v>0.87160465647112528</v>
      </c>
    </row>
    <row r="22" spans="2:5" x14ac:dyDescent="0.3">
      <c r="B22" s="16">
        <v>34943</v>
      </c>
      <c r="C22" s="15">
        <v>76.5</v>
      </c>
      <c r="E22">
        <f t="shared" si="0"/>
        <v>0.87308833599634783</v>
      </c>
    </row>
    <row r="23" spans="2:5" x14ac:dyDescent="0.3">
      <c r="B23" s="16">
        <v>34973</v>
      </c>
      <c r="C23" s="15">
        <v>76.3</v>
      </c>
      <c r="E23">
        <f t="shared" si="0"/>
        <v>0.87080575211139</v>
      </c>
    </row>
    <row r="24" spans="2:5" x14ac:dyDescent="0.3">
      <c r="B24" s="16">
        <v>35004</v>
      </c>
      <c r="C24" s="15">
        <v>76.3</v>
      </c>
      <c r="E24">
        <f t="shared" si="0"/>
        <v>0.87080575211139</v>
      </c>
    </row>
    <row r="25" spans="2:5" x14ac:dyDescent="0.3">
      <c r="B25" s="16">
        <v>35034</v>
      </c>
      <c r="C25" s="15">
        <v>76.36</v>
      </c>
      <c r="E25">
        <f t="shared" si="0"/>
        <v>0.87149052727687737</v>
      </c>
    </row>
    <row r="26" spans="2:5" x14ac:dyDescent="0.3">
      <c r="B26" s="16">
        <v>35065</v>
      </c>
      <c r="C26" s="15">
        <v>78.55</v>
      </c>
      <c r="E26">
        <f t="shared" si="0"/>
        <v>0.89648482081716496</v>
      </c>
    </row>
    <row r="27" spans="2:5" x14ac:dyDescent="0.3">
      <c r="B27" s="16">
        <v>35096</v>
      </c>
      <c r="C27" s="15">
        <v>78.87</v>
      </c>
      <c r="E27">
        <f t="shared" si="0"/>
        <v>0.90013695503309743</v>
      </c>
    </row>
    <row r="28" spans="2:5" x14ac:dyDescent="0.3">
      <c r="B28" s="16">
        <v>35125</v>
      </c>
      <c r="C28" s="15">
        <v>79.430000000000007</v>
      </c>
      <c r="E28">
        <f t="shared" si="0"/>
        <v>0.90652818991097928</v>
      </c>
    </row>
    <row r="29" spans="2:5" x14ac:dyDescent="0.3">
      <c r="B29" s="16">
        <v>35156</v>
      </c>
      <c r="C29" s="15">
        <v>79.77</v>
      </c>
      <c r="E29">
        <f t="shared" si="0"/>
        <v>0.91040858251540735</v>
      </c>
    </row>
    <row r="30" spans="2:5" x14ac:dyDescent="0.3">
      <c r="B30" s="16">
        <v>35186</v>
      </c>
      <c r="C30" s="15">
        <v>80.39</v>
      </c>
      <c r="E30">
        <f t="shared" si="0"/>
        <v>0.91748459255877646</v>
      </c>
    </row>
    <row r="31" spans="2:5" x14ac:dyDescent="0.3">
      <c r="B31" s="16">
        <v>35217</v>
      </c>
      <c r="C31" s="15">
        <v>80.36</v>
      </c>
      <c r="E31">
        <f t="shared" si="0"/>
        <v>0.91714220497603283</v>
      </c>
    </row>
    <row r="32" spans="2:5" x14ac:dyDescent="0.3">
      <c r="B32" s="16">
        <v>35247</v>
      </c>
      <c r="C32" s="15">
        <v>79.650000000000006</v>
      </c>
      <c r="E32">
        <f t="shared" si="0"/>
        <v>0.90903903218443283</v>
      </c>
    </row>
    <row r="33" spans="2:5" x14ac:dyDescent="0.3">
      <c r="B33" s="16">
        <v>35278</v>
      </c>
      <c r="C33" s="15">
        <v>78.819999999999993</v>
      </c>
      <c r="E33">
        <f t="shared" si="0"/>
        <v>0.89956630906185786</v>
      </c>
    </row>
    <row r="34" spans="2:5" x14ac:dyDescent="0.3">
      <c r="B34" s="16">
        <v>35309</v>
      </c>
      <c r="C34" s="15">
        <v>78.98</v>
      </c>
      <c r="E34">
        <f t="shared" si="0"/>
        <v>0.90139237616982426</v>
      </c>
    </row>
    <row r="35" spans="2:5" x14ac:dyDescent="0.3">
      <c r="B35" s="16">
        <v>35339</v>
      </c>
      <c r="C35" s="15">
        <v>79.260000000000005</v>
      </c>
      <c r="E35">
        <f t="shared" si="0"/>
        <v>0.90458799360876518</v>
      </c>
    </row>
    <row r="36" spans="2:5" x14ac:dyDescent="0.3">
      <c r="B36" s="16">
        <v>35370</v>
      </c>
      <c r="C36" s="15">
        <v>78.69</v>
      </c>
      <c r="E36">
        <f t="shared" si="0"/>
        <v>0.89808262953663542</v>
      </c>
    </row>
    <row r="37" spans="2:5" x14ac:dyDescent="0.3">
      <c r="B37" s="16">
        <v>35400</v>
      </c>
      <c r="C37" s="15">
        <v>78.41</v>
      </c>
      <c r="E37">
        <f t="shared" si="0"/>
        <v>0.8948870120976945</v>
      </c>
    </row>
    <row r="38" spans="2:5" x14ac:dyDescent="0.3">
      <c r="B38" s="16">
        <v>35431</v>
      </c>
      <c r="C38" s="15">
        <v>81.790000000000006</v>
      </c>
      <c r="E38">
        <f t="shared" si="0"/>
        <v>0.93346267975348096</v>
      </c>
    </row>
    <row r="39" spans="2:5" x14ac:dyDescent="0.3">
      <c r="B39" s="16">
        <v>35462</v>
      </c>
      <c r="C39" s="15">
        <v>82.69</v>
      </c>
      <c r="E39">
        <f t="shared" si="0"/>
        <v>0.94373430723579088</v>
      </c>
    </row>
    <row r="40" spans="2:5" x14ac:dyDescent="0.3">
      <c r="B40" s="16">
        <v>35490</v>
      </c>
      <c r="C40" s="15">
        <v>83.29</v>
      </c>
      <c r="E40">
        <f t="shared" si="0"/>
        <v>0.95058205889066427</v>
      </c>
    </row>
    <row r="41" spans="2:5" x14ac:dyDescent="0.3">
      <c r="B41" s="16">
        <v>35521</v>
      </c>
      <c r="C41" s="15">
        <v>83.15</v>
      </c>
      <c r="E41">
        <f t="shared" si="0"/>
        <v>0.94898425017119381</v>
      </c>
    </row>
    <row r="42" spans="2:5" x14ac:dyDescent="0.3">
      <c r="B42" s="16">
        <v>35551</v>
      </c>
      <c r="C42" s="15">
        <v>82.86</v>
      </c>
      <c r="E42">
        <f t="shared" si="0"/>
        <v>0.94567450353800497</v>
      </c>
    </row>
    <row r="43" spans="2:5" x14ac:dyDescent="0.3">
      <c r="B43" s="16">
        <v>35582</v>
      </c>
      <c r="C43" s="15">
        <v>83.13</v>
      </c>
      <c r="E43">
        <f t="shared" si="0"/>
        <v>0.94875599178269787</v>
      </c>
    </row>
    <row r="44" spans="2:5" x14ac:dyDescent="0.3">
      <c r="B44" s="16">
        <v>35612</v>
      </c>
      <c r="C44" s="15">
        <v>81.75</v>
      </c>
      <c r="E44">
        <f t="shared" si="0"/>
        <v>0.93300616297648931</v>
      </c>
    </row>
    <row r="45" spans="2:5" x14ac:dyDescent="0.3">
      <c r="B45" s="16">
        <v>35643</v>
      </c>
      <c r="C45" s="15">
        <v>81.36</v>
      </c>
      <c r="E45">
        <f t="shared" si="0"/>
        <v>0.92855512440082166</v>
      </c>
    </row>
    <row r="46" spans="2:5" x14ac:dyDescent="0.3">
      <c r="B46" s="16">
        <v>35674</v>
      </c>
      <c r="C46" s="15">
        <v>81.8</v>
      </c>
      <c r="E46">
        <f t="shared" si="0"/>
        <v>0.93357680894772876</v>
      </c>
    </row>
    <row r="47" spans="2:5" x14ac:dyDescent="0.3">
      <c r="B47" s="16">
        <v>35704</v>
      </c>
      <c r="C47" s="15">
        <v>81.61</v>
      </c>
      <c r="E47">
        <f t="shared" si="0"/>
        <v>0.93140835425701884</v>
      </c>
    </row>
    <row r="48" spans="2:5" x14ac:dyDescent="0.3">
      <c r="B48" s="16">
        <v>35735</v>
      </c>
      <c r="C48" s="15">
        <v>81.569999999999993</v>
      </c>
      <c r="E48">
        <f t="shared" si="0"/>
        <v>0.9309518374800273</v>
      </c>
    </row>
    <row r="49" spans="2:5" x14ac:dyDescent="0.3">
      <c r="B49" s="16">
        <v>35765</v>
      </c>
      <c r="C49" s="15">
        <v>82.32</v>
      </c>
      <c r="E49">
        <f t="shared" si="0"/>
        <v>0.93951152704861896</v>
      </c>
    </row>
    <row r="50" spans="2:5" x14ac:dyDescent="0.3">
      <c r="B50" s="16">
        <v>35796</v>
      </c>
      <c r="C50" s="15">
        <v>84.64</v>
      </c>
      <c r="E50">
        <f t="shared" si="0"/>
        <v>0.9659895001141291</v>
      </c>
    </row>
    <row r="51" spans="2:5" x14ac:dyDescent="0.3">
      <c r="B51" s="16">
        <v>35827</v>
      </c>
      <c r="C51" s="15">
        <v>84.67</v>
      </c>
      <c r="E51">
        <f t="shared" si="0"/>
        <v>0.96633188769687284</v>
      </c>
    </row>
    <row r="52" spans="2:5" x14ac:dyDescent="0.3">
      <c r="B52" s="16">
        <v>35855</v>
      </c>
      <c r="C52" s="15">
        <v>84.54</v>
      </c>
      <c r="E52">
        <f t="shared" si="0"/>
        <v>0.96484820817165029</v>
      </c>
    </row>
    <row r="53" spans="2:5" x14ac:dyDescent="0.3">
      <c r="B53" s="16">
        <v>35886</v>
      </c>
      <c r="C53" s="15">
        <v>84.47</v>
      </c>
      <c r="E53">
        <f t="shared" si="0"/>
        <v>0.964049303811915</v>
      </c>
    </row>
    <row r="54" spans="2:5" x14ac:dyDescent="0.3">
      <c r="B54" s="16">
        <v>35916</v>
      </c>
      <c r="C54" s="15">
        <v>84.82</v>
      </c>
      <c r="E54">
        <f t="shared" si="0"/>
        <v>0.9680438256105911</v>
      </c>
    </row>
    <row r="55" spans="2:5" x14ac:dyDescent="0.3">
      <c r="B55" s="16">
        <v>35947</v>
      </c>
      <c r="C55" s="15">
        <v>83.75</v>
      </c>
      <c r="E55">
        <f t="shared" si="0"/>
        <v>0.95583200182606709</v>
      </c>
    </row>
    <row r="56" spans="2:5" x14ac:dyDescent="0.3">
      <c r="B56" s="16">
        <v>35977</v>
      </c>
      <c r="C56" s="15">
        <v>83.08</v>
      </c>
      <c r="E56">
        <f t="shared" si="0"/>
        <v>0.94818534581145852</v>
      </c>
    </row>
    <row r="57" spans="2:5" x14ac:dyDescent="0.3">
      <c r="B57" s="16">
        <v>36008</v>
      </c>
      <c r="C57" s="15">
        <v>81.41</v>
      </c>
      <c r="E57">
        <f t="shared" si="0"/>
        <v>0.92912577037206112</v>
      </c>
    </row>
    <row r="58" spans="2:5" x14ac:dyDescent="0.3">
      <c r="B58" s="16">
        <v>36039</v>
      </c>
      <c r="C58" s="15">
        <v>79.989999999999995</v>
      </c>
      <c r="E58">
        <f t="shared" si="0"/>
        <v>0.9129194247888609</v>
      </c>
    </row>
    <row r="59" spans="2:5" x14ac:dyDescent="0.3">
      <c r="B59" s="16">
        <v>36069</v>
      </c>
      <c r="C59" s="15">
        <v>79.91</v>
      </c>
      <c r="E59">
        <f t="shared" si="0"/>
        <v>0.91200639123487781</v>
      </c>
    </row>
    <row r="60" spans="2:5" x14ac:dyDescent="0.3">
      <c r="B60" s="16">
        <v>36100</v>
      </c>
      <c r="C60" s="15">
        <v>80.81</v>
      </c>
      <c r="E60">
        <f t="shared" si="0"/>
        <v>0.92227801871718784</v>
      </c>
    </row>
    <row r="61" spans="2:5" x14ac:dyDescent="0.3">
      <c r="B61" s="16">
        <v>36130</v>
      </c>
      <c r="C61" s="15">
        <v>81</v>
      </c>
      <c r="E61">
        <f t="shared" si="0"/>
        <v>0.92444647340789765</v>
      </c>
    </row>
    <row r="62" spans="2:5" x14ac:dyDescent="0.3">
      <c r="B62" s="16">
        <v>36161</v>
      </c>
      <c r="C62" s="15">
        <v>84.01</v>
      </c>
      <c r="E62">
        <f t="shared" si="0"/>
        <v>0.95879936087651219</v>
      </c>
    </row>
    <row r="63" spans="2:5" x14ac:dyDescent="0.3">
      <c r="B63" s="16">
        <v>36192</v>
      </c>
      <c r="C63" s="15">
        <v>84.56</v>
      </c>
      <c r="E63">
        <f t="shared" si="0"/>
        <v>0.96507646656014601</v>
      </c>
    </row>
    <row r="64" spans="2:5" x14ac:dyDescent="0.3">
      <c r="B64" s="16">
        <v>36220</v>
      </c>
      <c r="C64" s="15">
        <v>83.78</v>
      </c>
      <c r="E64">
        <f t="shared" si="0"/>
        <v>0.95617438940881072</v>
      </c>
    </row>
    <row r="65" spans="2:5" x14ac:dyDescent="0.3">
      <c r="B65" s="16">
        <v>36251</v>
      </c>
      <c r="C65" s="15">
        <v>84.38</v>
      </c>
      <c r="E65">
        <f t="shared" si="0"/>
        <v>0.963022141063684</v>
      </c>
    </row>
    <row r="66" spans="2:5" x14ac:dyDescent="0.3">
      <c r="B66" s="16">
        <v>36281</v>
      </c>
      <c r="C66" s="15">
        <v>85.35</v>
      </c>
      <c r="E66">
        <f t="shared" si="0"/>
        <v>0.97409267290572921</v>
      </c>
    </row>
    <row r="67" spans="2:5" x14ac:dyDescent="0.3">
      <c r="B67" s="16">
        <v>36312</v>
      </c>
      <c r="C67" s="15">
        <v>85.26</v>
      </c>
      <c r="E67">
        <f t="shared" ref="E67:E130" si="1">C67/$C$89</f>
        <v>0.97306551015749831</v>
      </c>
    </row>
    <row r="68" spans="2:5" x14ac:dyDescent="0.3">
      <c r="B68" s="16">
        <v>36342</v>
      </c>
      <c r="C68" s="15">
        <v>85.31</v>
      </c>
      <c r="E68">
        <f t="shared" si="1"/>
        <v>0.97363615612873766</v>
      </c>
    </row>
    <row r="69" spans="2:5" x14ac:dyDescent="0.3">
      <c r="B69" s="16">
        <v>36373</v>
      </c>
      <c r="C69" s="15">
        <v>84.91</v>
      </c>
      <c r="E69">
        <f t="shared" si="1"/>
        <v>0.96907098835882211</v>
      </c>
    </row>
    <row r="70" spans="2:5" x14ac:dyDescent="0.3">
      <c r="B70" s="16">
        <v>36404</v>
      </c>
      <c r="C70" s="15">
        <v>84.12</v>
      </c>
      <c r="E70">
        <f t="shared" si="1"/>
        <v>0.96005478201323902</v>
      </c>
    </row>
    <row r="71" spans="2:5" x14ac:dyDescent="0.3">
      <c r="B71" s="16">
        <v>36434</v>
      </c>
      <c r="C71" s="15">
        <v>84.12</v>
      </c>
      <c r="E71">
        <f t="shared" si="1"/>
        <v>0.96005478201323902</v>
      </c>
    </row>
    <row r="72" spans="2:5" x14ac:dyDescent="0.3">
      <c r="B72" s="16">
        <v>36465</v>
      </c>
      <c r="C72" s="15">
        <v>84.33</v>
      </c>
      <c r="E72">
        <f t="shared" si="1"/>
        <v>0.96245149509244454</v>
      </c>
    </row>
    <row r="73" spans="2:5" x14ac:dyDescent="0.3">
      <c r="B73" s="16">
        <v>36495</v>
      </c>
      <c r="C73" s="15">
        <v>84.2</v>
      </c>
      <c r="E73">
        <f t="shared" si="1"/>
        <v>0.96096781556722211</v>
      </c>
    </row>
    <row r="74" spans="2:5" x14ac:dyDescent="0.3">
      <c r="B74" s="16">
        <v>36526</v>
      </c>
      <c r="C74" s="15">
        <v>85.13</v>
      </c>
      <c r="E74">
        <f t="shared" si="1"/>
        <v>0.97158183063227566</v>
      </c>
    </row>
    <row r="75" spans="2:5" x14ac:dyDescent="0.3">
      <c r="B75" s="16">
        <v>36557</v>
      </c>
      <c r="C75" s="15">
        <v>84.8</v>
      </c>
      <c r="E75">
        <f t="shared" si="1"/>
        <v>0.96781556722209527</v>
      </c>
    </row>
    <row r="76" spans="2:5" x14ac:dyDescent="0.3">
      <c r="B76" s="16">
        <v>36586</v>
      </c>
      <c r="C76" s="15">
        <v>84.42</v>
      </c>
      <c r="E76">
        <f t="shared" si="1"/>
        <v>0.96347865784067566</v>
      </c>
    </row>
    <row r="77" spans="2:5" x14ac:dyDescent="0.3">
      <c r="B77" s="16">
        <v>36617</v>
      </c>
      <c r="C77" s="15">
        <v>84.05</v>
      </c>
      <c r="E77">
        <f t="shared" si="1"/>
        <v>0.95925587765350373</v>
      </c>
    </row>
    <row r="78" spans="2:5" x14ac:dyDescent="0.3">
      <c r="B78" s="16">
        <v>36647</v>
      </c>
      <c r="C78" s="15">
        <v>83.49</v>
      </c>
      <c r="E78">
        <f t="shared" si="1"/>
        <v>0.95286464277562188</v>
      </c>
    </row>
    <row r="79" spans="2:5" x14ac:dyDescent="0.3">
      <c r="B79" s="16">
        <v>36678</v>
      </c>
      <c r="C79" s="15">
        <v>84.61</v>
      </c>
      <c r="E79">
        <f t="shared" si="1"/>
        <v>0.96564711253138547</v>
      </c>
    </row>
    <row r="80" spans="2:5" x14ac:dyDescent="0.3">
      <c r="B80" s="16">
        <v>36708</v>
      </c>
      <c r="C80" s="15">
        <v>85.01</v>
      </c>
      <c r="E80">
        <f t="shared" si="1"/>
        <v>0.97021228030130113</v>
      </c>
    </row>
    <row r="81" spans="2:5" x14ac:dyDescent="0.3">
      <c r="B81" s="16">
        <v>36739</v>
      </c>
      <c r="C81" s="15">
        <v>84.1</v>
      </c>
      <c r="E81">
        <f t="shared" si="1"/>
        <v>0.95982652362474308</v>
      </c>
    </row>
    <row r="82" spans="2:5" x14ac:dyDescent="0.3">
      <c r="B82" s="16">
        <v>36770</v>
      </c>
      <c r="C82" s="15">
        <v>83.4</v>
      </c>
      <c r="E82">
        <f t="shared" si="1"/>
        <v>0.95183748002739099</v>
      </c>
    </row>
    <row r="83" spans="2:5" x14ac:dyDescent="0.3">
      <c r="B83" s="16">
        <v>36800</v>
      </c>
      <c r="C83" s="15">
        <v>83.28</v>
      </c>
      <c r="E83">
        <f t="shared" si="1"/>
        <v>0.95046792969641636</v>
      </c>
    </row>
    <row r="84" spans="2:5" x14ac:dyDescent="0.3">
      <c r="B84" s="16">
        <v>36831</v>
      </c>
      <c r="C84" s="15">
        <v>83.32</v>
      </c>
      <c r="E84">
        <f t="shared" si="1"/>
        <v>0.95092444647340779</v>
      </c>
    </row>
    <row r="85" spans="2:5" x14ac:dyDescent="0.3">
      <c r="B85" s="16">
        <v>36861</v>
      </c>
      <c r="C85" s="15">
        <v>84.53</v>
      </c>
      <c r="E85">
        <f t="shared" si="1"/>
        <v>0.96473407897740238</v>
      </c>
    </row>
    <row r="86" spans="2:5" x14ac:dyDescent="0.3">
      <c r="B86" s="16">
        <v>36892</v>
      </c>
      <c r="C86" s="15">
        <v>87.32</v>
      </c>
      <c r="E86">
        <f t="shared" si="1"/>
        <v>0.99657612417256325</v>
      </c>
    </row>
    <row r="87" spans="2:5" x14ac:dyDescent="0.3">
      <c r="B87" s="16">
        <v>36923</v>
      </c>
      <c r="C87" s="15">
        <v>87.68</v>
      </c>
      <c r="E87">
        <f t="shared" si="1"/>
        <v>1.0006847751654873</v>
      </c>
    </row>
    <row r="88" spans="2:5" x14ac:dyDescent="0.3">
      <c r="B88" s="16">
        <v>36951</v>
      </c>
      <c r="C88" s="15">
        <v>87.94</v>
      </c>
      <c r="E88">
        <f t="shared" si="1"/>
        <v>1.0036521342159324</v>
      </c>
    </row>
    <row r="89" spans="2:5" x14ac:dyDescent="0.3">
      <c r="B89" s="16">
        <v>36982</v>
      </c>
      <c r="C89" s="15">
        <v>87.62</v>
      </c>
      <c r="E89">
        <f t="shared" si="1"/>
        <v>1</v>
      </c>
    </row>
    <row r="90" spans="2:5" x14ac:dyDescent="0.3">
      <c r="B90" s="16">
        <v>37012</v>
      </c>
      <c r="C90" s="15">
        <v>90.27</v>
      </c>
      <c r="E90">
        <f t="shared" si="1"/>
        <v>1.0302442364756903</v>
      </c>
    </row>
    <row r="91" spans="2:5" x14ac:dyDescent="0.3">
      <c r="B91" s="16">
        <v>37043</v>
      </c>
      <c r="C91" s="15">
        <v>93.83</v>
      </c>
      <c r="E91">
        <f t="shared" si="1"/>
        <v>1.0708742296279388</v>
      </c>
    </row>
    <row r="92" spans="2:5" x14ac:dyDescent="0.3">
      <c r="B92" s="16">
        <v>37073</v>
      </c>
      <c r="C92" s="15">
        <v>93.99</v>
      </c>
      <c r="E92">
        <f t="shared" si="1"/>
        <v>1.0727002967359049</v>
      </c>
    </row>
    <row r="93" spans="2:5" x14ac:dyDescent="0.3">
      <c r="B93" s="16">
        <v>37104</v>
      </c>
      <c r="C93" s="15">
        <v>94.25</v>
      </c>
      <c r="E93">
        <f t="shared" si="1"/>
        <v>1.07566765578635</v>
      </c>
    </row>
    <row r="94" spans="2:5" x14ac:dyDescent="0.3">
      <c r="B94" s="16">
        <v>37135</v>
      </c>
      <c r="C94" s="15">
        <v>92.89</v>
      </c>
      <c r="E94">
        <f t="shared" si="1"/>
        <v>1.0601460853686373</v>
      </c>
    </row>
    <row r="95" spans="2:5" x14ac:dyDescent="0.3">
      <c r="B95" s="16">
        <v>37165</v>
      </c>
      <c r="C95" s="15">
        <v>93.31</v>
      </c>
      <c r="E95">
        <f t="shared" si="1"/>
        <v>1.0649395115270486</v>
      </c>
    </row>
    <row r="96" spans="2:5" x14ac:dyDescent="0.3">
      <c r="B96" s="16">
        <v>37196</v>
      </c>
      <c r="C96" s="15">
        <v>94.18</v>
      </c>
      <c r="E96">
        <f t="shared" si="1"/>
        <v>1.0748687514266149</v>
      </c>
    </row>
    <row r="97" spans="2:5" x14ac:dyDescent="0.3">
      <c r="B97" s="16">
        <v>37226</v>
      </c>
      <c r="C97" s="15">
        <v>95.69</v>
      </c>
      <c r="E97">
        <f t="shared" si="1"/>
        <v>1.0921022597580461</v>
      </c>
    </row>
    <row r="98" spans="2:5" x14ac:dyDescent="0.3">
      <c r="B98" s="16">
        <v>37257</v>
      </c>
      <c r="C98" s="15">
        <v>97.9</v>
      </c>
      <c r="E98">
        <f t="shared" si="1"/>
        <v>1.1173248116868295</v>
      </c>
    </row>
    <row r="99" spans="2:5" x14ac:dyDescent="0.3">
      <c r="B99" s="16">
        <v>37288</v>
      </c>
      <c r="C99" s="15">
        <v>98.35</v>
      </c>
      <c r="E99">
        <f t="shared" si="1"/>
        <v>1.1224606254279843</v>
      </c>
    </row>
    <row r="100" spans="2:5" x14ac:dyDescent="0.3">
      <c r="B100" s="16">
        <v>37316</v>
      </c>
      <c r="C100" s="15">
        <v>98.25</v>
      </c>
      <c r="E100">
        <f t="shared" si="1"/>
        <v>1.1213193334855056</v>
      </c>
    </row>
    <row r="101" spans="2:5" x14ac:dyDescent="0.3">
      <c r="B101" s="16">
        <v>37347</v>
      </c>
      <c r="C101" s="15">
        <v>99.79</v>
      </c>
      <c r="E101">
        <f t="shared" si="1"/>
        <v>1.1388952293996804</v>
      </c>
    </row>
    <row r="102" spans="2:5" x14ac:dyDescent="0.3">
      <c r="B102" s="16">
        <v>37377</v>
      </c>
      <c r="C102" s="15">
        <v>100.44</v>
      </c>
      <c r="E102">
        <f t="shared" si="1"/>
        <v>1.1463136270257932</v>
      </c>
    </row>
    <row r="103" spans="2:5" x14ac:dyDescent="0.3">
      <c r="B103" s="16">
        <v>37408</v>
      </c>
      <c r="C103" s="15">
        <v>101.72</v>
      </c>
      <c r="E103">
        <f t="shared" si="1"/>
        <v>1.1609221638895229</v>
      </c>
    </row>
    <row r="104" spans="2:5" x14ac:dyDescent="0.3">
      <c r="B104" s="16">
        <v>37438</v>
      </c>
      <c r="C104" s="15">
        <v>100.99</v>
      </c>
      <c r="E104">
        <f t="shared" si="1"/>
        <v>1.1525907327094269</v>
      </c>
    </row>
    <row r="105" spans="2:5" x14ac:dyDescent="0.3">
      <c r="B105" s="16">
        <v>37469</v>
      </c>
      <c r="C105" s="15">
        <v>100.99</v>
      </c>
      <c r="E105">
        <f t="shared" si="1"/>
        <v>1.1525907327094269</v>
      </c>
    </row>
    <row r="106" spans="2:5" x14ac:dyDescent="0.3">
      <c r="B106" s="16">
        <v>37500</v>
      </c>
      <c r="C106" s="15">
        <v>101.97</v>
      </c>
      <c r="E106">
        <f t="shared" si="1"/>
        <v>1.16377539374572</v>
      </c>
    </row>
    <row r="107" spans="2:5" x14ac:dyDescent="0.3">
      <c r="B107" s="16">
        <v>37530</v>
      </c>
      <c r="C107" s="15">
        <v>102.61</v>
      </c>
      <c r="E107">
        <f t="shared" si="1"/>
        <v>1.171079662177585</v>
      </c>
    </row>
    <row r="108" spans="2:5" x14ac:dyDescent="0.3">
      <c r="B108" s="16">
        <v>37561</v>
      </c>
      <c r="C108" s="15">
        <v>105.13</v>
      </c>
      <c r="E108">
        <f t="shared" si="1"/>
        <v>1.1998402191280528</v>
      </c>
    </row>
    <row r="109" spans="2:5" x14ac:dyDescent="0.3">
      <c r="B109" s="16">
        <v>37591</v>
      </c>
      <c r="C109" s="15">
        <v>106.36</v>
      </c>
      <c r="E109">
        <f t="shared" si="1"/>
        <v>1.2138781100205431</v>
      </c>
    </row>
    <row r="110" spans="2:5" x14ac:dyDescent="0.3">
      <c r="B110" s="16">
        <v>37622</v>
      </c>
      <c r="C110" s="15">
        <v>106.85</v>
      </c>
      <c r="E110">
        <f t="shared" si="1"/>
        <v>1.2194704405386896</v>
      </c>
    </row>
    <row r="111" spans="2:5" x14ac:dyDescent="0.3">
      <c r="B111" s="16">
        <v>37653</v>
      </c>
      <c r="C111" s="15">
        <v>105.73</v>
      </c>
      <c r="E111">
        <f t="shared" si="1"/>
        <v>1.2066879707829263</v>
      </c>
    </row>
    <row r="112" spans="2:5" x14ac:dyDescent="0.3">
      <c r="B112" s="16">
        <v>37681</v>
      </c>
      <c r="C112" s="15">
        <v>106.33</v>
      </c>
      <c r="E112">
        <f t="shared" si="1"/>
        <v>1.2135357224377996</v>
      </c>
    </row>
    <row r="113" spans="2:5" x14ac:dyDescent="0.3">
      <c r="B113" s="16">
        <v>37712</v>
      </c>
      <c r="C113" s="15">
        <v>106.31</v>
      </c>
      <c r="E113">
        <f t="shared" si="1"/>
        <v>1.2133074640493038</v>
      </c>
    </row>
    <row r="114" spans="2:5" x14ac:dyDescent="0.3">
      <c r="B114" s="16">
        <v>37742</v>
      </c>
      <c r="C114" s="15">
        <v>108.23</v>
      </c>
      <c r="E114">
        <f t="shared" si="1"/>
        <v>1.2352202693448984</v>
      </c>
    </row>
    <row r="115" spans="2:5" x14ac:dyDescent="0.3">
      <c r="B115" s="16">
        <v>37773</v>
      </c>
      <c r="C115" s="15">
        <v>102.22</v>
      </c>
      <c r="E115">
        <f t="shared" si="1"/>
        <v>1.1666286236019172</v>
      </c>
    </row>
    <row r="116" spans="2:5" x14ac:dyDescent="0.3">
      <c r="B116" s="16">
        <v>37803</v>
      </c>
      <c r="C116" s="15">
        <v>101</v>
      </c>
      <c r="E116">
        <f t="shared" si="1"/>
        <v>1.1527048619036748</v>
      </c>
    </row>
    <row r="117" spans="2:5" x14ac:dyDescent="0.3">
      <c r="B117" s="16">
        <v>37834</v>
      </c>
      <c r="C117" s="15">
        <v>101.66</v>
      </c>
      <c r="E117">
        <f t="shared" si="1"/>
        <v>1.1602373887240356</v>
      </c>
    </row>
    <row r="118" spans="2:5" x14ac:dyDescent="0.3">
      <c r="B118" s="16">
        <v>37865</v>
      </c>
      <c r="C118" s="15">
        <v>103.49</v>
      </c>
      <c r="E118">
        <f t="shared" si="1"/>
        <v>1.1811230312713992</v>
      </c>
    </row>
    <row r="119" spans="2:5" x14ac:dyDescent="0.3">
      <c r="B119" s="16">
        <v>37895</v>
      </c>
      <c r="C119" s="15">
        <v>104.88</v>
      </c>
      <c r="E119">
        <f t="shared" si="1"/>
        <v>1.1969869892718557</v>
      </c>
    </row>
    <row r="120" spans="2:5" x14ac:dyDescent="0.3">
      <c r="B120" s="16">
        <v>37926</v>
      </c>
      <c r="C120" s="15">
        <v>104.04</v>
      </c>
      <c r="E120">
        <f t="shared" si="1"/>
        <v>1.1874001369550331</v>
      </c>
    </row>
    <row r="121" spans="2:5" x14ac:dyDescent="0.3">
      <c r="B121" s="16">
        <v>37956</v>
      </c>
      <c r="C121" s="15">
        <v>103.04</v>
      </c>
      <c r="E121">
        <f t="shared" si="1"/>
        <v>1.1759872175302442</v>
      </c>
    </row>
    <row r="122" spans="2:5" x14ac:dyDescent="0.3">
      <c r="B122" s="16">
        <v>37987</v>
      </c>
      <c r="C122" s="15">
        <v>105.93</v>
      </c>
      <c r="E122">
        <f t="shared" si="1"/>
        <v>1.2089705546678842</v>
      </c>
    </row>
    <row r="123" spans="2:5" x14ac:dyDescent="0.3">
      <c r="B123" s="16">
        <v>38018</v>
      </c>
      <c r="C123" s="15">
        <v>107.48</v>
      </c>
      <c r="E123">
        <f t="shared" si="1"/>
        <v>1.2266605797763068</v>
      </c>
    </row>
    <row r="124" spans="2:5" x14ac:dyDescent="0.3">
      <c r="B124" s="16">
        <v>38047</v>
      </c>
      <c r="C124" s="15">
        <v>110.75</v>
      </c>
      <c r="E124">
        <f t="shared" si="1"/>
        <v>1.2639808262953662</v>
      </c>
    </row>
    <row r="125" spans="2:5" x14ac:dyDescent="0.3">
      <c r="B125" s="16">
        <v>38078</v>
      </c>
      <c r="C125" s="15">
        <v>111.06</v>
      </c>
      <c r="E125">
        <f t="shared" si="1"/>
        <v>1.2675188313170509</v>
      </c>
    </row>
    <row r="126" spans="2:5" x14ac:dyDescent="0.3">
      <c r="B126" s="16">
        <v>38108</v>
      </c>
      <c r="C126" s="15">
        <v>111.08</v>
      </c>
      <c r="E126">
        <f t="shared" si="1"/>
        <v>1.2677470897055465</v>
      </c>
    </row>
    <row r="127" spans="2:5" x14ac:dyDescent="0.3">
      <c r="B127" s="16">
        <v>38139</v>
      </c>
      <c r="C127" s="15">
        <v>111</v>
      </c>
      <c r="E127">
        <f t="shared" si="1"/>
        <v>1.2668340561515634</v>
      </c>
    </row>
    <row r="128" spans="2:5" x14ac:dyDescent="0.3">
      <c r="B128" s="16">
        <v>38169</v>
      </c>
      <c r="C128" s="15">
        <v>112.73</v>
      </c>
      <c r="E128">
        <f t="shared" si="1"/>
        <v>1.2865784067564483</v>
      </c>
    </row>
    <row r="129" spans="2:5" x14ac:dyDescent="0.3">
      <c r="B129" s="16">
        <v>38200</v>
      </c>
      <c r="C129" s="15">
        <v>112.54</v>
      </c>
      <c r="E129">
        <f t="shared" si="1"/>
        <v>1.2844099520657384</v>
      </c>
    </row>
    <row r="130" spans="2:5" x14ac:dyDescent="0.3">
      <c r="B130" s="16">
        <v>38231</v>
      </c>
      <c r="C130" s="15">
        <v>113.05</v>
      </c>
      <c r="E130">
        <f t="shared" si="1"/>
        <v>1.2902305409723807</v>
      </c>
    </row>
    <row r="131" spans="2:5" x14ac:dyDescent="0.3">
      <c r="B131" s="16">
        <v>38261</v>
      </c>
      <c r="C131" s="15">
        <v>114.07</v>
      </c>
      <c r="E131">
        <f t="shared" ref="E131:E194" si="2">C131/$C$89</f>
        <v>1.3018717187856652</v>
      </c>
    </row>
    <row r="132" spans="2:5" x14ac:dyDescent="0.3">
      <c r="B132" s="16">
        <v>38292</v>
      </c>
      <c r="C132" s="15">
        <v>115.41</v>
      </c>
      <c r="E132">
        <f t="shared" si="2"/>
        <v>1.3171650308148823</v>
      </c>
    </row>
    <row r="133" spans="2:5" x14ac:dyDescent="0.3">
      <c r="B133" s="16">
        <v>38322</v>
      </c>
      <c r="C133" s="15">
        <v>115.31</v>
      </c>
      <c r="E133">
        <f t="shared" si="2"/>
        <v>1.3160237388724034</v>
      </c>
    </row>
    <row r="134" spans="2:5" x14ac:dyDescent="0.3">
      <c r="B134" s="16">
        <v>38353</v>
      </c>
      <c r="C134" s="15">
        <v>115.24</v>
      </c>
      <c r="E134">
        <f t="shared" si="2"/>
        <v>1.3152248345126683</v>
      </c>
    </row>
    <row r="135" spans="2:5" x14ac:dyDescent="0.3">
      <c r="B135" s="16">
        <v>38384</v>
      </c>
      <c r="C135" s="15">
        <v>115.93</v>
      </c>
      <c r="E135">
        <f t="shared" si="2"/>
        <v>1.3230997489157728</v>
      </c>
    </row>
    <row r="136" spans="2:5" x14ac:dyDescent="0.3">
      <c r="B136" s="16">
        <v>38412</v>
      </c>
      <c r="C136" s="15">
        <v>116</v>
      </c>
      <c r="E136">
        <f t="shared" si="2"/>
        <v>1.3238986532755077</v>
      </c>
    </row>
    <row r="137" spans="2:5" x14ac:dyDescent="0.3">
      <c r="B137" s="16">
        <v>38443</v>
      </c>
      <c r="C137" s="15">
        <v>114.55</v>
      </c>
      <c r="E137">
        <f t="shared" si="2"/>
        <v>1.307349920109564</v>
      </c>
    </row>
    <row r="138" spans="2:5" x14ac:dyDescent="0.3">
      <c r="B138" s="16">
        <v>38473</v>
      </c>
      <c r="C138" s="15">
        <v>112.7</v>
      </c>
      <c r="E138">
        <f t="shared" si="2"/>
        <v>1.2862360191737046</v>
      </c>
    </row>
    <row r="139" spans="2:5" x14ac:dyDescent="0.3">
      <c r="B139" s="16">
        <v>38504</v>
      </c>
      <c r="C139" s="15">
        <v>112.98</v>
      </c>
      <c r="E139">
        <f t="shared" si="2"/>
        <v>1.2894316366126455</v>
      </c>
    </row>
    <row r="140" spans="2:5" x14ac:dyDescent="0.3">
      <c r="B140" s="16">
        <v>38534</v>
      </c>
      <c r="C140" s="15">
        <v>114.1</v>
      </c>
      <c r="E140">
        <f t="shared" si="2"/>
        <v>1.302214106368409</v>
      </c>
    </row>
    <row r="141" spans="2:5" x14ac:dyDescent="0.3">
      <c r="B141" s="16">
        <v>38565</v>
      </c>
      <c r="C141" s="15">
        <v>114.41</v>
      </c>
      <c r="E141">
        <f t="shared" si="2"/>
        <v>1.3057521113900934</v>
      </c>
    </row>
    <row r="142" spans="2:5" x14ac:dyDescent="0.3">
      <c r="B142" s="16">
        <v>38596</v>
      </c>
      <c r="C142" s="15">
        <v>113.16</v>
      </c>
      <c r="E142">
        <f t="shared" si="2"/>
        <v>1.2914859621091075</v>
      </c>
    </row>
    <row r="143" spans="2:5" x14ac:dyDescent="0.3">
      <c r="B143" s="16">
        <v>38626</v>
      </c>
      <c r="C143" s="15">
        <v>109.98</v>
      </c>
      <c r="E143">
        <f t="shared" si="2"/>
        <v>1.2551928783382789</v>
      </c>
    </row>
    <row r="144" spans="2:5" x14ac:dyDescent="0.3">
      <c r="B144" s="16">
        <v>38657</v>
      </c>
      <c r="C144" s="15">
        <v>110.34</v>
      </c>
      <c r="E144">
        <f t="shared" si="2"/>
        <v>1.2593015293312029</v>
      </c>
    </row>
    <row r="145" spans="2:5" x14ac:dyDescent="0.3">
      <c r="B145" s="16">
        <v>38687</v>
      </c>
      <c r="C145" s="15">
        <v>109.22</v>
      </c>
      <c r="E145">
        <f t="shared" si="2"/>
        <v>1.2465190595754394</v>
      </c>
    </row>
    <row r="146" spans="2:5" x14ac:dyDescent="0.3">
      <c r="B146" s="16">
        <v>38718</v>
      </c>
      <c r="C146" s="15">
        <v>110.36</v>
      </c>
      <c r="E146">
        <f t="shared" si="2"/>
        <v>1.2595297877196987</v>
      </c>
    </row>
    <row r="147" spans="2:5" x14ac:dyDescent="0.3">
      <c r="B147" s="16">
        <v>38749</v>
      </c>
      <c r="C147" s="15">
        <v>109.35</v>
      </c>
      <c r="E147">
        <f t="shared" si="2"/>
        <v>1.2480027391006618</v>
      </c>
    </row>
    <row r="148" spans="2:5" x14ac:dyDescent="0.3">
      <c r="B148" s="16">
        <v>38777</v>
      </c>
      <c r="C148" s="15">
        <v>106.04</v>
      </c>
      <c r="E148">
        <f t="shared" si="2"/>
        <v>1.2102259758046108</v>
      </c>
    </row>
    <row r="149" spans="2:5" x14ac:dyDescent="0.3">
      <c r="B149" s="16">
        <v>38808</v>
      </c>
      <c r="C149" s="15">
        <v>104.73</v>
      </c>
      <c r="E149">
        <f t="shared" si="2"/>
        <v>1.1952750513581374</v>
      </c>
    </row>
    <row r="150" spans="2:5" x14ac:dyDescent="0.3">
      <c r="B150" s="16">
        <v>38838</v>
      </c>
      <c r="C150" s="15">
        <v>107.46</v>
      </c>
      <c r="E150">
        <f t="shared" si="2"/>
        <v>1.2264323213878108</v>
      </c>
    </row>
    <row r="151" spans="2:5" x14ac:dyDescent="0.3">
      <c r="B151" s="16">
        <v>38869</v>
      </c>
      <c r="C151" s="15">
        <v>104.02</v>
      </c>
      <c r="E151">
        <f t="shared" si="2"/>
        <v>1.1871718785665373</v>
      </c>
    </row>
    <row r="152" spans="2:5" x14ac:dyDescent="0.3">
      <c r="B152" s="16">
        <v>38899</v>
      </c>
      <c r="C152" s="15">
        <v>102.4</v>
      </c>
      <c r="E152">
        <f t="shared" si="2"/>
        <v>1.1686829490983794</v>
      </c>
    </row>
    <row r="153" spans="2:5" x14ac:dyDescent="0.3">
      <c r="B153" s="16">
        <v>38930</v>
      </c>
      <c r="C153" s="15">
        <v>103.36</v>
      </c>
      <c r="E153">
        <f t="shared" si="2"/>
        <v>1.1796393517461765</v>
      </c>
    </row>
    <row r="154" spans="2:5" x14ac:dyDescent="0.3">
      <c r="B154" s="16">
        <v>38961</v>
      </c>
      <c r="C154" s="15">
        <v>105.78</v>
      </c>
      <c r="E154">
        <f t="shared" si="2"/>
        <v>1.2072586167541657</v>
      </c>
    </row>
    <row r="155" spans="2:5" x14ac:dyDescent="0.3">
      <c r="B155" s="16">
        <v>38991</v>
      </c>
      <c r="C155" s="15">
        <v>108.84</v>
      </c>
      <c r="E155">
        <f t="shared" si="2"/>
        <v>1.2421821501940196</v>
      </c>
    </row>
    <row r="156" spans="2:5" x14ac:dyDescent="0.3">
      <c r="B156" s="16">
        <v>39022</v>
      </c>
      <c r="C156" s="15">
        <v>112.65</v>
      </c>
      <c r="E156">
        <f t="shared" si="2"/>
        <v>1.2856653732024652</v>
      </c>
    </row>
    <row r="157" spans="2:5" x14ac:dyDescent="0.3">
      <c r="B157" s="16">
        <v>39052</v>
      </c>
      <c r="C157" s="15">
        <v>114.96</v>
      </c>
      <c r="E157">
        <f t="shared" si="2"/>
        <v>1.3120292170737273</v>
      </c>
    </row>
    <row r="158" spans="2:5" x14ac:dyDescent="0.3">
      <c r="B158" s="16">
        <v>39083</v>
      </c>
      <c r="C158" s="15">
        <v>116.32</v>
      </c>
      <c r="E158">
        <f t="shared" si="2"/>
        <v>1.3275507874914401</v>
      </c>
    </row>
    <row r="159" spans="2:5" x14ac:dyDescent="0.3">
      <c r="B159" s="16">
        <v>39114</v>
      </c>
      <c r="C159" s="15">
        <v>117.76</v>
      </c>
      <c r="E159">
        <f t="shared" si="2"/>
        <v>1.3439853914631363</v>
      </c>
    </row>
    <row r="160" spans="2:5" x14ac:dyDescent="0.3">
      <c r="B160" s="16">
        <v>39142</v>
      </c>
      <c r="C160" s="15">
        <v>120.05</v>
      </c>
      <c r="E160">
        <f t="shared" si="2"/>
        <v>1.3701209769459026</v>
      </c>
    </row>
    <row r="161" spans="2:5" x14ac:dyDescent="0.3">
      <c r="B161" s="16">
        <v>39173</v>
      </c>
      <c r="C161" s="15">
        <v>122.16</v>
      </c>
      <c r="E161">
        <f t="shared" si="2"/>
        <v>1.3942022369322071</v>
      </c>
    </row>
    <row r="162" spans="2:5" x14ac:dyDescent="0.3">
      <c r="B162" s="16">
        <v>39203</v>
      </c>
      <c r="C162" s="15">
        <v>121.4</v>
      </c>
      <c r="E162">
        <f t="shared" si="2"/>
        <v>1.3855284181693677</v>
      </c>
    </row>
    <row r="163" spans="2:5" x14ac:dyDescent="0.3">
      <c r="B163" s="16">
        <v>39234</v>
      </c>
      <c r="C163" s="15">
        <v>120.55</v>
      </c>
      <c r="E163">
        <f t="shared" si="2"/>
        <v>1.375827436658297</v>
      </c>
    </row>
    <row r="164" spans="2:5" x14ac:dyDescent="0.3">
      <c r="B164" s="16">
        <v>39264</v>
      </c>
      <c r="C164" s="15">
        <v>122.5</v>
      </c>
      <c r="E164">
        <f t="shared" si="2"/>
        <v>1.3980826295366353</v>
      </c>
    </row>
    <row r="165" spans="2:5" x14ac:dyDescent="0.3">
      <c r="B165" s="16">
        <v>39295</v>
      </c>
      <c r="C165" s="15">
        <v>118.12</v>
      </c>
      <c r="E165">
        <f t="shared" si="2"/>
        <v>1.3480940424560603</v>
      </c>
    </row>
    <row r="166" spans="2:5" x14ac:dyDescent="0.3">
      <c r="B166" s="16">
        <v>39326</v>
      </c>
      <c r="C166" s="15">
        <v>119.76</v>
      </c>
      <c r="E166">
        <f t="shared" si="2"/>
        <v>1.366811230312714</v>
      </c>
    </row>
    <row r="167" spans="2:5" x14ac:dyDescent="0.3">
      <c r="B167" s="16">
        <v>39356</v>
      </c>
      <c r="C167" s="15">
        <v>121.54</v>
      </c>
      <c r="E167">
        <f t="shared" si="2"/>
        <v>1.3871262268888382</v>
      </c>
    </row>
    <row r="168" spans="2:5" x14ac:dyDescent="0.3">
      <c r="B168" s="16">
        <v>39387</v>
      </c>
      <c r="C168" s="15">
        <v>120.59</v>
      </c>
      <c r="E168">
        <f t="shared" si="2"/>
        <v>1.3762839534352886</v>
      </c>
    </row>
    <row r="169" spans="2:5" x14ac:dyDescent="0.3">
      <c r="B169" s="16">
        <v>39417</v>
      </c>
      <c r="C169" s="15">
        <v>121.03</v>
      </c>
      <c r="E169">
        <f t="shared" si="2"/>
        <v>1.3813056379821957</v>
      </c>
    </row>
    <row r="170" spans="2:5" x14ac:dyDescent="0.3">
      <c r="B170" s="16">
        <v>39448</v>
      </c>
      <c r="C170" s="15">
        <v>120.93</v>
      </c>
      <c r="E170">
        <f t="shared" si="2"/>
        <v>1.380164346039717</v>
      </c>
    </row>
    <row r="171" spans="2:5" x14ac:dyDescent="0.3">
      <c r="B171" s="16">
        <v>39479</v>
      </c>
      <c r="C171" s="15">
        <v>118.33</v>
      </c>
      <c r="E171">
        <f t="shared" si="2"/>
        <v>1.3504907555352659</v>
      </c>
    </row>
    <row r="172" spans="2:5" x14ac:dyDescent="0.3">
      <c r="B172" s="16">
        <v>39508</v>
      </c>
      <c r="C172" s="15">
        <v>120.78</v>
      </c>
      <c r="E172">
        <f t="shared" si="2"/>
        <v>1.3784524081259986</v>
      </c>
    </row>
    <row r="173" spans="2:5" x14ac:dyDescent="0.3">
      <c r="B173" s="16">
        <v>39539</v>
      </c>
      <c r="C173" s="15">
        <v>124.02</v>
      </c>
      <c r="E173" s="11">
        <f t="shared" si="2"/>
        <v>1.4154302670623145</v>
      </c>
    </row>
    <row r="174" spans="2:5" x14ac:dyDescent="0.3">
      <c r="B174" s="16">
        <v>39569</v>
      </c>
      <c r="C174" s="15">
        <v>127.33</v>
      </c>
      <c r="E174">
        <f t="shared" si="2"/>
        <v>1.4532070303583655</v>
      </c>
    </row>
    <row r="175" spans="2:5" x14ac:dyDescent="0.3">
      <c r="B175" s="16">
        <v>39600</v>
      </c>
      <c r="C175" s="15">
        <v>129.47</v>
      </c>
      <c r="E175">
        <f t="shared" si="2"/>
        <v>1.4776306779274138</v>
      </c>
    </row>
    <row r="176" spans="2:5" x14ac:dyDescent="0.3">
      <c r="B176" s="16">
        <v>39630</v>
      </c>
      <c r="C176" s="15">
        <v>135.24</v>
      </c>
      <c r="E176">
        <f t="shared" si="2"/>
        <v>1.5434832230084456</v>
      </c>
    </row>
    <row r="177" spans="2:5" x14ac:dyDescent="0.3">
      <c r="B177" s="16">
        <v>39661</v>
      </c>
      <c r="C177" s="15">
        <v>131.24</v>
      </c>
      <c r="E177">
        <f t="shared" si="2"/>
        <v>1.4978315453092901</v>
      </c>
    </row>
    <row r="178" spans="2:5" x14ac:dyDescent="0.3">
      <c r="B178" s="16">
        <v>39692</v>
      </c>
      <c r="C178" s="15">
        <v>127.73</v>
      </c>
      <c r="E178">
        <f t="shared" si="2"/>
        <v>1.4577721981282812</v>
      </c>
    </row>
    <row r="179" spans="2:5" x14ac:dyDescent="0.3">
      <c r="B179" s="16">
        <v>39722</v>
      </c>
      <c r="C179" s="15">
        <v>117.04</v>
      </c>
      <c r="E179">
        <f t="shared" si="2"/>
        <v>1.3357680894772883</v>
      </c>
    </row>
    <row r="180" spans="2:5" x14ac:dyDescent="0.3">
      <c r="B180" s="16">
        <v>39753</v>
      </c>
      <c r="C180" s="15">
        <v>114.77</v>
      </c>
      <c r="E180">
        <f t="shared" si="2"/>
        <v>1.3098607623830174</v>
      </c>
    </row>
    <row r="181" spans="2:5" x14ac:dyDescent="0.3">
      <c r="B181" s="16">
        <v>39783</v>
      </c>
      <c r="C181" s="15">
        <v>117.55</v>
      </c>
      <c r="E181">
        <f t="shared" si="2"/>
        <v>1.3415886783839306</v>
      </c>
    </row>
    <row r="182" spans="2:5" x14ac:dyDescent="0.3">
      <c r="B182" s="16">
        <v>39814</v>
      </c>
      <c r="C182" s="15">
        <v>112.66</v>
      </c>
      <c r="E182">
        <f t="shared" si="2"/>
        <v>1.2857795023967129</v>
      </c>
    </row>
    <row r="183" spans="2:5" x14ac:dyDescent="0.3">
      <c r="B183" s="16">
        <v>39845</v>
      </c>
      <c r="C183" s="15">
        <v>106.43</v>
      </c>
      <c r="E183">
        <f t="shared" si="2"/>
        <v>1.2146770143802785</v>
      </c>
    </row>
    <row r="184" spans="2:5" x14ac:dyDescent="0.3">
      <c r="B184" s="16">
        <v>39873</v>
      </c>
      <c r="C184" s="15">
        <v>105.42</v>
      </c>
      <c r="E184">
        <f t="shared" si="2"/>
        <v>1.2031499657612417</v>
      </c>
    </row>
    <row r="185" spans="2:5" x14ac:dyDescent="0.3">
      <c r="B185" s="16">
        <v>39904</v>
      </c>
      <c r="C185" s="15">
        <v>108.49</v>
      </c>
      <c r="E185">
        <f t="shared" si="2"/>
        <v>1.2381876283953435</v>
      </c>
    </row>
    <row r="186" spans="2:5" x14ac:dyDescent="0.3">
      <c r="B186" s="16">
        <v>39934</v>
      </c>
      <c r="C186" s="15">
        <v>115.44</v>
      </c>
      <c r="E186">
        <f t="shared" si="2"/>
        <v>1.3175074183976261</v>
      </c>
    </row>
    <row r="187" spans="2:5" x14ac:dyDescent="0.3">
      <c r="B187" s="16">
        <v>39965</v>
      </c>
      <c r="C187" s="15">
        <v>116.68</v>
      </c>
      <c r="E187">
        <f t="shared" si="2"/>
        <v>1.3316594384843643</v>
      </c>
    </row>
    <row r="188" spans="2:5" x14ac:dyDescent="0.3">
      <c r="B188" s="16">
        <v>39995</v>
      </c>
      <c r="C188" s="15">
        <v>122.06</v>
      </c>
      <c r="E188">
        <f t="shared" si="2"/>
        <v>1.3930609449897284</v>
      </c>
    </row>
    <row r="189" spans="2:5" x14ac:dyDescent="0.3">
      <c r="B189" s="16">
        <v>40026</v>
      </c>
      <c r="C189" s="15">
        <v>122.27</v>
      </c>
      <c r="E189">
        <f t="shared" si="2"/>
        <v>1.395457658068934</v>
      </c>
    </row>
    <row r="190" spans="2:5" x14ac:dyDescent="0.3">
      <c r="B190" s="16">
        <v>40057</v>
      </c>
      <c r="C190" s="15">
        <v>121.7</v>
      </c>
      <c r="E190">
        <f t="shared" si="2"/>
        <v>1.3889522939968044</v>
      </c>
    </row>
    <row r="191" spans="2:5" x14ac:dyDescent="0.3">
      <c r="B191" s="16">
        <v>40087</v>
      </c>
      <c r="C191" s="15">
        <v>123.51</v>
      </c>
      <c r="E191">
        <f t="shared" si="2"/>
        <v>1.4096096781556722</v>
      </c>
    </row>
    <row r="192" spans="2:5" x14ac:dyDescent="0.3">
      <c r="B192" s="16">
        <v>40118</v>
      </c>
      <c r="C192" s="15">
        <v>122.44</v>
      </c>
      <c r="E192">
        <f t="shared" si="2"/>
        <v>1.3973978543711481</v>
      </c>
    </row>
    <row r="193" spans="2:5" x14ac:dyDescent="0.3">
      <c r="B193" s="16">
        <v>40148</v>
      </c>
      <c r="C193" s="15">
        <v>120.42</v>
      </c>
      <c r="E193">
        <f t="shared" si="2"/>
        <v>1.3743437571330746</v>
      </c>
    </row>
    <row r="194" spans="2:5" x14ac:dyDescent="0.3">
      <c r="B194" s="16">
        <v>40179</v>
      </c>
      <c r="C194" s="15">
        <v>122.73</v>
      </c>
      <c r="E194">
        <f t="shared" si="2"/>
        <v>1.4007076010043369</v>
      </c>
    </row>
    <row r="195" spans="2:5" x14ac:dyDescent="0.3">
      <c r="B195" s="16">
        <v>40210</v>
      </c>
      <c r="C195" s="15">
        <v>120.35</v>
      </c>
      <c r="E195">
        <f t="shared" ref="E195:E258" si="3">C195/$C$89</f>
        <v>1.3735448527733394</v>
      </c>
    </row>
    <row r="196" spans="2:5" x14ac:dyDescent="0.3">
      <c r="B196" s="16">
        <v>40238</v>
      </c>
      <c r="C196" s="15">
        <v>122.35</v>
      </c>
      <c r="E196">
        <f t="shared" si="3"/>
        <v>1.396370691622917</v>
      </c>
    </row>
    <row r="197" spans="2:5" x14ac:dyDescent="0.3">
      <c r="B197" s="16">
        <v>40269</v>
      </c>
      <c r="C197" s="15">
        <v>121.64</v>
      </c>
      <c r="E197">
        <f t="shared" si="3"/>
        <v>1.3882675188313169</v>
      </c>
    </row>
    <row r="198" spans="2:5" x14ac:dyDescent="0.3">
      <c r="B198" s="16">
        <v>40299</v>
      </c>
      <c r="C198" s="15">
        <v>116.03</v>
      </c>
      <c r="E198">
        <f t="shared" si="3"/>
        <v>1.3242410408582515</v>
      </c>
    </row>
    <row r="199" spans="2:5" x14ac:dyDescent="0.3">
      <c r="B199" s="16">
        <v>40330</v>
      </c>
      <c r="C199" s="15">
        <v>113.56</v>
      </c>
      <c r="E199">
        <f t="shared" si="3"/>
        <v>1.2960511298790229</v>
      </c>
    </row>
    <row r="200" spans="2:5" x14ac:dyDescent="0.3">
      <c r="B200" s="16">
        <v>40360</v>
      </c>
      <c r="C200" s="15">
        <v>113.94</v>
      </c>
      <c r="E200">
        <f t="shared" si="3"/>
        <v>1.3003880392604428</v>
      </c>
    </row>
    <row r="201" spans="2:5" x14ac:dyDescent="0.3">
      <c r="B201" s="16">
        <v>40391</v>
      </c>
      <c r="C201" s="15">
        <v>113.7</v>
      </c>
      <c r="E201">
        <f t="shared" si="3"/>
        <v>1.2976489385984935</v>
      </c>
    </row>
    <row r="202" spans="2:5" x14ac:dyDescent="0.3">
      <c r="B202" s="16">
        <v>40422</v>
      </c>
      <c r="C202" s="15">
        <v>113.06</v>
      </c>
      <c r="E202">
        <f t="shared" si="3"/>
        <v>1.2903446701666286</v>
      </c>
    </row>
    <row r="203" spans="2:5" x14ac:dyDescent="0.3">
      <c r="B203" s="16">
        <v>40452</v>
      </c>
      <c r="C203" s="15">
        <v>118.26</v>
      </c>
      <c r="E203">
        <f t="shared" si="3"/>
        <v>1.3496918511755307</v>
      </c>
    </row>
    <row r="204" spans="2:5" x14ac:dyDescent="0.3">
      <c r="B204" s="16">
        <v>40483</v>
      </c>
      <c r="C204" s="15">
        <v>117.04</v>
      </c>
      <c r="E204">
        <f t="shared" si="3"/>
        <v>1.3357680894772883</v>
      </c>
    </row>
    <row r="205" spans="2:5" x14ac:dyDescent="0.3">
      <c r="B205" s="16">
        <v>40513</v>
      </c>
      <c r="C205" s="15">
        <v>115.07</v>
      </c>
      <c r="E205">
        <f t="shared" si="3"/>
        <v>1.3132846382104542</v>
      </c>
    </row>
    <row r="206" spans="2:5" x14ac:dyDescent="0.3">
      <c r="B206" s="16">
        <v>40544</v>
      </c>
      <c r="C206" s="15">
        <v>116.69</v>
      </c>
      <c r="E206">
        <f t="shared" si="3"/>
        <v>1.331773567678612</v>
      </c>
    </row>
    <row r="207" spans="2:5" x14ac:dyDescent="0.3">
      <c r="B207" s="16">
        <v>40575</v>
      </c>
      <c r="C207" s="15">
        <v>119.07</v>
      </c>
      <c r="E207">
        <f t="shared" si="3"/>
        <v>1.3589363159096095</v>
      </c>
    </row>
    <row r="208" spans="2:5" x14ac:dyDescent="0.3">
      <c r="B208" s="16">
        <v>40603</v>
      </c>
      <c r="C208" s="15">
        <v>120.36</v>
      </c>
      <c r="E208">
        <f t="shared" si="3"/>
        <v>1.3736589819675873</v>
      </c>
    </row>
    <row r="209" spans="2:5" x14ac:dyDescent="0.3">
      <c r="B209" s="16">
        <v>40634</v>
      </c>
      <c r="C209" s="15">
        <v>123.83</v>
      </c>
      <c r="E209">
        <f t="shared" si="3"/>
        <v>1.4132618123716045</v>
      </c>
    </row>
    <row r="210" spans="2:5" x14ac:dyDescent="0.3">
      <c r="B210" s="16">
        <v>40664</v>
      </c>
      <c r="C210" s="15">
        <v>122.63</v>
      </c>
      <c r="E210">
        <f t="shared" si="3"/>
        <v>1.399566309061858</v>
      </c>
    </row>
    <row r="211" spans="2:5" x14ac:dyDescent="0.3">
      <c r="B211" s="16">
        <v>40695</v>
      </c>
      <c r="C211" s="15">
        <v>122.66</v>
      </c>
      <c r="E211">
        <f t="shared" si="3"/>
        <v>1.3999086966446015</v>
      </c>
    </row>
    <row r="212" spans="2:5" x14ac:dyDescent="0.3">
      <c r="B212" s="16">
        <v>40725</v>
      </c>
      <c r="C212" s="15">
        <v>121.82</v>
      </c>
      <c r="E212">
        <f t="shared" si="3"/>
        <v>1.3903218443277789</v>
      </c>
    </row>
    <row r="213" spans="2:5" x14ac:dyDescent="0.3">
      <c r="B213" s="16">
        <v>40756</v>
      </c>
      <c r="C213" s="15">
        <v>119.75</v>
      </c>
      <c r="E213">
        <f t="shared" si="3"/>
        <v>1.3666971011184661</v>
      </c>
    </row>
    <row r="214" spans="2:5" x14ac:dyDescent="0.3">
      <c r="B214" s="16">
        <v>40787</v>
      </c>
      <c r="C214" s="15">
        <v>113.4</v>
      </c>
      <c r="E214">
        <f t="shared" si="3"/>
        <v>1.2942250627710568</v>
      </c>
    </row>
    <row r="215" spans="2:5" x14ac:dyDescent="0.3">
      <c r="B215" s="16">
        <v>40817</v>
      </c>
      <c r="C215" s="15">
        <v>109.57</v>
      </c>
      <c r="E215">
        <f t="shared" si="3"/>
        <v>1.2505135813741153</v>
      </c>
    </row>
    <row r="216" spans="2:5" x14ac:dyDescent="0.3">
      <c r="B216" s="16">
        <v>40848</v>
      </c>
      <c r="C216" s="15">
        <v>105.55</v>
      </c>
      <c r="E216">
        <f t="shared" si="3"/>
        <v>1.2046336452864641</v>
      </c>
    </row>
    <row r="217" spans="2:5" x14ac:dyDescent="0.3">
      <c r="B217" s="16">
        <v>40878</v>
      </c>
      <c r="C217" s="15">
        <v>106.44</v>
      </c>
      <c r="E217">
        <f t="shared" si="3"/>
        <v>1.2147911435745262</v>
      </c>
    </row>
    <row r="218" spans="2:5" x14ac:dyDescent="0.3">
      <c r="B218" s="16">
        <v>40909</v>
      </c>
      <c r="C218" s="15">
        <v>106.58</v>
      </c>
      <c r="E218">
        <f t="shared" si="3"/>
        <v>1.2163889522939968</v>
      </c>
    </row>
    <row r="219" spans="2:5" x14ac:dyDescent="0.3">
      <c r="B219" s="16">
        <v>40940</v>
      </c>
      <c r="C219" s="15">
        <v>113.3</v>
      </c>
      <c r="E219">
        <f t="shared" si="3"/>
        <v>1.2930837708285778</v>
      </c>
    </row>
    <row r="220" spans="2:5" x14ac:dyDescent="0.3">
      <c r="B220" s="16">
        <v>40969</v>
      </c>
      <c r="C220" s="15">
        <v>112.71</v>
      </c>
      <c r="E220">
        <f t="shared" si="3"/>
        <v>1.2863501483679525</v>
      </c>
    </row>
    <row r="221" spans="2:5" x14ac:dyDescent="0.3">
      <c r="B221" s="16">
        <v>41000</v>
      </c>
      <c r="C221" s="15">
        <v>112.14</v>
      </c>
      <c r="E221">
        <f t="shared" si="3"/>
        <v>1.2798447842958227</v>
      </c>
    </row>
    <row r="222" spans="2:5" x14ac:dyDescent="0.3">
      <c r="B222" s="16">
        <v>41030</v>
      </c>
      <c r="C222" s="15">
        <v>111.97</v>
      </c>
      <c r="E222">
        <f t="shared" si="3"/>
        <v>1.2779045879936086</v>
      </c>
    </row>
    <row r="223" spans="2:5" x14ac:dyDescent="0.3">
      <c r="B223" s="16">
        <v>41061</v>
      </c>
      <c r="C223" s="15">
        <v>111.99</v>
      </c>
      <c r="E223">
        <f t="shared" si="3"/>
        <v>1.2781328463821044</v>
      </c>
    </row>
    <row r="224" spans="2:5" x14ac:dyDescent="0.3">
      <c r="B224" s="16">
        <v>41091</v>
      </c>
      <c r="C224" s="15">
        <v>113.96</v>
      </c>
      <c r="E224">
        <f t="shared" si="3"/>
        <v>1.3006162976489384</v>
      </c>
    </row>
    <row r="225" spans="2:5" x14ac:dyDescent="0.3">
      <c r="B225" s="16">
        <v>41122</v>
      </c>
      <c r="C225" s="15">
        <v>116.6</v>
      </c>
      <c r="E225">
        <f t="shared" si="3"/>
        <v>1.330746404930381</v>
      </c>
    </row>
    <row r="226" spans="2:5" x14ac:dyDescent="0.3">
      <c r="B226" s="16">
        <v>41153</v>
      </c>
      <c r="C226" s="15">
        <v>115.37</v>
      </c>
      <c r="E226">
        <f t="shared" si="3"/>
        <v>1.3167085140378909</v>
      </c>
    </row>
    <row r="227" spans="2:5" x14ac:dyDescent="0.3">
      <c r="B227" s="16">
        <v>41183</v>
      </c>
      <c r="C227" s="15">
        <v>116.39</v>
      </c>
      <c r="E227">
        <f t="shared" si="3"/>
        <v>1.3283496918511755</v>
      </c>
    </row>
    <row r="228" spans="2:5" x14ac:dyDescent="0.3">
      <c r="B228" s="16">
        <v>41214</v>
      </c>
      <c r="C228" s="15">
        <v>116.05</v>
      </c>
      <c r="E228">
        <f t="shared" si="3"/>
        <v>1.3244692992467473</v>
      </c>
    </row>
    <row r="229" spans="2:5" x14ac:dyDescent="0.3">
      <c r="B229" s="16">
        <v>41244</v>
      </c>
      <c r="C229" s="15">
        <v>114.97</v>
      </c>
      <c r="E229">
        <f t="shared" si="3"/>
        <v>1.3121433462679752</v>
      </c>
    </row>
    <row r="230" spans="2:5" x14ac:dyDescent="0.3">
      <c r="B230" s="16">
        <v>41275</v>
      </c>
      <c r="C230" s="15">
        <v>113.68</v>
      </c>
      <c r="E230">
        <f t="shared" si="3"/>
        <v>1.2974206802099977</v>
      </c>
    </row>
    <row r="231" spans="2:5" x14ac:dyDescent="0.3">
      <c r="B231" s="16">
        <v>41306</v>
      </c>
      <c r="C231" s="15">
        <v>114.1</v>
      </c>
      <c r="E231">
        <f t="shared" si="3"/>
        <v>1.302214106368409</v>
      </c>
    </row>
    <row r="232" spans="2:5" x14ac:dyDescent="0.3">
      <c r="B232" s="16">
        <v>41334</v>
      </c>
      <c r="C232" s="15">
        <v>109.04</v>
      </c>
      <c r="E232">
        <f t="shared" si="3"/>
        <v>1.2444647340789774</v>
      </c>
    </row>
    <row r="233" spans="2:5" x14ac:dyDescent="0.3">
      <c r="B233" s="16">
        <v>41365</v>
      </c>
      <c r="C233" s="15">
        <v>111.02</v>
      </c>
      <c r="E233">
        <f t="shared" si="3"/>
        <v>1.2670623145400592</v>
      </c>
    </row>
    <row r="234" spans="2:5" x14ac:dyDescent="0.3">
      <c r="B234" s="16">
        <v>41395</v>
      </c>
      <c r="C234" s="15">
        <v>113.28</v>
      </c>
      <c r="E234">
        <f t="shared" si="3"/>
        <v>1.292855512440082</v>
      </c>
    </row>
    <row r="235" spans="2:5" x14ac:dyDescent="0.3">
      <c r="B235" s="16">
        <v>41426</v>
      </c>
      <c r="C235" s="15">
        <v>113.23</v>
      </c>
      <c r="E235">
        <f t="shared" si="3"/>
        <v>1.2922848664688427</v>
      </c>
    </row>
    <row r="236" spans="2:5" x14ac:dyDescent="0.3">
      <c r="B236" s="16">
        <v>41456</v>
      </c>
      <c r="C236" s="15">
        <v>113.44</v>
      </c>
      <c r="E236">
        <f t="shared" si="3"/>
        <v>1.2946815795480482</v>
      </c>
    </row>
    <row r="237" spans="2:5" x14ac:dyDescent="0.3">
      <c r="B237" s="16">
        <v>41487</v>
      </c>
      <c r="C237" s="15">
        <v>111.85</v>
      </c>
      <c r="E237">
        <f t="shared" si="3"/>
        <v>1.2765350376626339</v>
      </c>
    </row>
    <row r="238" spans="2:5" x14ac:dyDescent="0.3">
      <c r="B238" s="16">
        <v>41518</v>
      </c>
      <c r="C238" s="15">
        <v>111.81</v>
      </c>
      <c r="E238">
        <f t="shared" si="3"/>
        <v>1.2760785208856424</v>
      </c>
    </row>
    <row r="239" spans="2:5" x14ac:dyDescent="0.3">
      <c r="B239" s="16">
        <v>41548</v>
      </c>
      <c r="C239" s="15">
        <v>113.69</v>
      </c>
      <c r="E239">
        <f t="shared" si="3"/>
        <v>1.2975348094042456</v>
      </c>
    </row>
    <row r="240" spans="2:5" x14ac:dyDescent="0.3">
      <c r="B240" s="16">
        <v>41579</v>
      </c>
      <c r="C240" s="15">
        <v>112.55</v>
      </c>
      <c r="E240">
        <f t="shared" si="3"/>
        <v>1.2845240812599863</v>
      </c>
    </row>
    <row r="241" spans="2:5" x14ac:dyDescent="0.3">
      <c r="B241" s="16">
        <v>41609</v>
      </c>
      <c r="C241" s="15">
        <v>111.64</v>
      </c>
      <c r="E241">
        <f t="shared" si="3"/>
        <v>1.2741383245834283</v>
      </c>
    </row>
    <row r="242" spans="2:5" x14ac:dyDescent="0.3">
      <c r="B242" s="16">
        <v>41640</v>
      </c>
      <c r="C242" s="15">
        <v>111.73</v>
      </c>
      <c r="E242">
        <f t="shared" si="3"/>
        <v>1.2751654873316594</v>
      </c>
    </row>
    <row r="243" spans="2:5" x14ac:dyDescent="0.3">
      <c r="B243" s="16">
        <v>41671</v>
      </c>
      <c r="C243" s="15">
        <v>108.71</v>
      </c>
      <c r="E243">
        <f t="shared" si="3"/>
        <v>1.2406984706687969</v>
      </c>
    </row>
    <row r="244" spans="2:5" x14ac:dyDescent="0.3">
      <c r="B244" s="16">
        <v>41699</v>
      </c>
      <c r="C244" s="15">
        <v>108.42</v>
      </c>
      <c r="E244">
        <f t="shared" si="3"/>
        <v>1.2373887240356083</v>
      </c>
    </row>
    <row r="245" spans="2:5" x14ac:dyDescent="0.3">
      <c r="B245" s="16">
        <v>41730</v>
      </c>
      <c r="C245" s="15">
        <v>109.58</v>
      </c>
      <c r="E245">
        <f t="shared" si="3"/>
        <v>1.2506277105683632</v>
      </c>
    </row>
    <row r="246" spans="2:5" x14ac:dyDescent="0.3">
      <c r="B246" s="16">
        <v>41760</v>
      </c>
      <c r="C246" s="15">
        <v>109.95</v>
      </c>
      <c r="E246">
        <f t="shared" si="3"/>
        <v>1.2548504907555353</v>
      </c>
    </row>
    <row r="247" spans="2:5" x14ac:dyDescent="0.3">
      <c r="B247" s="16">
        <v>41791</v>
      </c>
      <c r="C247" s="15">
        <v>109.12</v>
      </c>
      <c r="E247">
        <f t="shared" si="3"/>
        <v>1.2453777676329605</v>
      </c>
    </row>
    <row r="248" spans="2:5" x14ac:dyDescent="0.3">
      <c r="B248" s="16">
        <v>41821</v>
      </c>
      <c r="C248" s="15">
        <v>108.01</v>
      </c>
      <c r="E248">
        <f t="shared" si="3"/>
        <v>1.2327094270714449</v>
      </c>
    </row>
    <row r="249" spans="2:5" x14ac:dyDescent="0.3">
      <c r="B249" s="16">
        <v>41852</v>
      </c>
      <c r="C249" s="15">
        <v>106.07</v>
      </c>
      <c r="E249">
        <f t="shared" si="3"/>
        <v>1.2105683633873543</v>
      </c>
    </row>
    <row r="250" spans="2:5" x14ac:dyDescent="0.3">
      <c r="B250" s="16">
        <v>41883</v>
      </c>
      <c r="C250" s="15">
        <v>105.07</v>
      </c>
      <c r="E250">
        <f t="shared" si="3"/>
        <v>1.1991554439625656</v>
      </c>
    </row>
    <row r="251" spans="2:5" x14ac:dyDescent="0.3">
      <c r="B251" s="16">
        <v>41913</v>
      </c>
      <c r="C251" s="15">
        <v>106.36</v>
      </c>
      <c r="E251">
        <f t="shared" si="3"/>
        <v>1.2138781100205431</v>
      </c>
    </row>
    <row r="252" spans="2:5" x14ac:dyDescent="0.3">
      <c r="B252" s="16">
        <v>41944</v>
      </c>
      <c r="C252" s="15">
        <v>106.51</v>
      </c>
      <c r="E252">
        <f t="shared" si="3"/>
        <v>1.2155900479342616</v>
      </c>
    </row>
    <row r="253" spans="2:5" x14ac:dyDescent="0.3">
      <c r="B253" s="16">
        <v>41974</v>
      </c>
      <c r="C253" s="15">
        <v>104.69</v>
      </c>
      <c r="E253">
        <f t="shared" si="3"/>
        <v>1.1948185345811457</v>
      </c>
    </row>
    <row r="254" spans="2:5" x14ac:dyDescent="0.3">
      <c r="B254" s="16">
        <v>42005</v>
      </c>
      <c r="C254" s="15">
        <v>102.17</v>
      </c>
      <c r="E254">
        <f t="shared" si="3"/>
        <v>1.1660579776306779</v>
      </c>
    </row>
    <row r="255" spans="2:5" x14ac:dyDescent="0.3">
      <c r="B255" s="16">
        <v>42036</v>
      </c>
      <c r="C255" s="15">
        <v>104.39</v>
      </c>
      <c r="E255">
        <f t="shared" si="3"/>
        <v>1.1913946587537092</v>
      </c>
    </row>
    <row r="256" spans="2:5" x14ac:dyDescent="0.3">
      <c r="B256" s="16">
        <v>42064</v>
      </c>
      <c r="C256" s="15">
        <v>104.07</v>
      </c>
      <c r="E256">
        <f t="shared" si="3"/>
        <v>1.1877425245377766</v>
      </c>
    </row>
    <row r="257" spans="2:5" x14ac:dyDescent="0.3">
      <c r="B257" s="16">
        <v>42095</v>
      </c>
      <c r="C257" s="15">
        <v>104.97</v>
      </c>
      <c r="E257">
        <f t="shared" si="3"/>
        <v>1.1980141520200867</v>
      </c>
    </row>
    <row r="258" spans="2:5" x14ac:dyDescent="0.3">
      <c r="B258" s="16">
        <v>42125</v>
      </c>
      <c r="C258" s="15">
        <v>104.09</v>
      </c>
      <c r="E258">
        <f t="shared" si="3"/>
        <v>1.1879707829262725</v>
      </c>
    </row>
    <row r="259" spans="2:5" x14ac:dyDescent="0.3">
      <c r="B259" s="16">
        <v>42156</v>
      </c>
      <c r="C259" s="15">
        <v>102.93</v>
      </c>
      <c r="E259">
        <f t="shared" ref="E259:E322" si="4">C259/$C$89</f>
        <v>1.1747317963935175</v>
      </c>
    </row>
    <row r="260" spans="2:5" x14ac:dyDescent="0.3">
      <c r="B260" s="16">
        <v>42186</v>
      </c>
      <c r="C260" s="15">
        <v>102.9</v>
      </c>
      <c r="E260">
        <f t="shared" si="4"/>
        <v>1.1743894088107738</v>
      </c>
    </row>
    <row r="261" spans="2:5" x14ac:dyDescent="0.3">
      <c r="B261" s="16">
        <v>42217</v>
      </c>
      <c r="C261" s="15">
        <v>103.44</v>
      </c>
      <c r="E261">
        <f t="shared" si="4"/>
        <v>1.1805523853001596</v>
      </c>
    </row>
    <row r="262" spans="2:5" x14ac:dyDescent="0.3">
      <c r="B262" s="16">
        <v>42248</v>
      </c>
      <c r="C262" s="15">
        <v>102.8</v>
      </c>
      <c r="E262">
        <f t="shared" si="4"/>
        <v>1.1732481168682949</v>
      </c>
    </row>
    <row r="263" spans="2:5" x14ac:dyDescent="0.3">
      <c r="B263" s="16">
        <v>42278</v>
      </c>
      <c r="C263" s="15">
        <v>103.32</v>
      </c>
      <c r="E263">
        <f t="shared" si="4"/>
        <v>1.1791828349691851</v>
      </c>
    </row>
    <row r="264" spans="2:5" x14ac:dyDescent="0.3">
      <c r="B264" s="16">
        <v>42309</v>
      </c>
      <c r="C264" s="15">
        <v>101.98</v>
      </c>
      <c r="E264">
        <f t="shared" si="4"/>
        <v>1.1638895229399679</v>
      </c>
    </row>
    <row r="265" spans="2:5" x14ac:dyDescent="0.3">
      <c r="B265" s="16">
        <v>42339</v>
      </c>
      <c r="C265" s="15">
        <v>101.78</v>
      </c>
      <c r="E265">
        <f t="shared" si="4"/>
        <v>1.1616069390550103</v>
      </c>
    </row>
    <row r="266" spans="2:5" x14ac:dyDescent="0.3">
      <c r="B266" s="16">
        <v>42370</v>
      </c>
      <c r="C266" s="15">
        <v>103.11</v>
      </c>
      <c r="E266">
        <f t="shared" si="4"/>
        <v>1.1767861218899793</v>
      </c>
    </row>
    <row r="267" spans="2:5" x14ac:dyDescent="0.3">
      <c r="B267" s="16">
        <v>42401</v>
      </c>
      <c r="C267" s="15">
        <v>104.62</v>
      </c>
      <c r="E267">
        <f t="shared" si="4"/>
        <v>1.1940196302214106</v>
      </c>
    </row>
    <row r="268" spans="2:5" x14ac:dyDescent="0.3">
      <c r="B268" s="16">
        <v>42430</v>
      </c>
      <c r="C268" s="15">
        <v>103.15</v>
      </c>
      <c r="E268">
        <f t="shared" si="4"/>
        <v>1.177242638666971</v>
      </c>
    </row>
    <row r="269" spans="2:5" x14ac:dyDescent="0.3">
      <c r="B269" s="16">
        <v>42461</v>
      </c>
      <c r="C269" s="15">
        <v>104.02</v>
      </c>
      <c r="E269">
        <f t="shared" si="4"/>
        <v>1.1871718785665373</v>
      </c>
    </row>
    <row r="270" spans="2:5" x14ac:dyDescent="0.3">
      <c r="B270" s="16">
        <v>42491</v>
      </c>
      <c r="C270" s="15">
        <v>103.29</v>
      </c>
      <c r="E270">
        <f t="shared" si="4"/>
        <v>1.1788404473864416</v>
      </c>
    </row>
    <row r="271" spans="2:5" x14ac:dyDescent="0.3">
      <c r="B271" s="16">
        <v>42522</v>
      </c>
      <c r="C271" s="15">
        <v>103.36</v>
      </c>
      <c r="E271">
        <f t="shared" si="4"/>
        <v>1.1796393517461765</v>
      </c>
    </row>
    <row r="272" spans="2:5" x14ac:dyDescent="0.3">
      <c r="B272" s="16">
        <v>42552</v>
      </c>
      <c r="C272" s="15">
        <v>103.08</v>
      </c>
      <c r="E272">
        <f t="shared" si="4"/>
        <v>1.1764437343072358</v>
      </c>
    </row>
    <row r="273" spans="2:5" x14ac:dyDescent="0.3">
      <c r="B273" s="16">
        <v>42583</v>
      </c>
      <c r="C273" s="15">
        <v>104.09</v>
      </c>
      <c r="E273">
        <f t="shared" si="4"/>
        <v>1.1879707829262725</v>
      </c>
    </row>
    <row r="274" spans="2:5" x14ac:dyDescent="0.3">
      <c r="B274" s="16">
        <v>42614</v>
      </c>
      <c r="C274" s="15">
        <v>104.59</v>
      </c>
      <c r="E274">
        <f t="shared" si="4"/>
        <v>1.193677242638667</v>
      </c>
    </row>
    <row r="275" spans="2:5" x14ac:dyDescent="0.3">
      <c r="B275" s="16">
        <v>42644</v>
      </c>
      <c r="C275" s="15">
        <v>105.44</v>
      </c>
      <c r="E275">
        <f t="shared" si="4"/>
        <v>1.2033782241497375</v>
      </c>
    </row>
    <row r="276" spans="2:5" x14ac:dyDescent="0.3">
      <c r="B276" s="16">
        <v>42675</v>
      </c>
      <c r="C276" s="15">
        <v>104.98</v>
      </c>
      <c r="E276">
        <f t="shared" si="4"/>
        <v>1.1981282812143346</v>
      </c>
    </row>
    <row r="277" spans="2:5" x14ac:dyDescent="0.3">
      <c r="B277" s="16">
        <v>42705</v>
      </c>
      <c r="C277" s="15">
        <v>103.53</v>
      </c>
      <c r="E277">
        <f t="shared" si="4"/>
        <v>1.1815795480483908</v>
      </c>
    </row>
    <row r="278" spans="2:5" x14ac:dyDescent="0.3">
      <c r="B278" s="16">
        <v>42736</v>
      </c>
      <c r="C278" s="15">
        <v>105.38</v>
      </c>
      <c r="E278">
        <f t="shared" si="4"/>
        <v>1.20269344898425</v>
      </c>
    </row>
    <row r="279" spans="2:5" x14ac:dyDescent="0.3">
      <c r="B279" s="16">
        <v>42767</v>
      </c>
      <c r="C279" s="15">
        <v>105.16</v>
      </c>
      <c r="E279">
        <f t="shared" si="4"/>
        <v>1.2001826067107966</v>
      </c>
    </row>
    <row r="280" spans="2:5" x14ac:dyDescent="0.3">
      <c r="B280" s="16">
        <v>42795</v>
      </c>
      <c r="C280" s="15">
        <v>104.42</v>
      </c>
      <c r="E280">
        <f t="shared" si="4"/>
        <v>1.1917370463364527</v>
      </c>
    </row>
    <row r="281" spans="2:5" x14ac:dyDescent="0.3">
      <c r="B281" s="16">
        <v>42826</v>
      </c>
      <c r="C281" s="15">
        <v>103.44</v>
      </c>
      <c r="E281">
        <f t="shared" si="4"/>
        <v>1.1805523853001596</v>
      </c>
    </row>
    <row r="282" spans="2:5" x14ac:dyDescent="0.3">
      <c r="B282" s="16">
        <v>42856</v>
      </c>
      <c r="C282" s="15">
        <v>105.07</v>
      </c>
      <c r="E282">
        <f t="shared" si="4"/>
        <v>1.1991554439625656</v>
      </c>
    </row>
    <row r="283" spans="2:5" x14ac:dyDescent="0.3">
      <c r="B283" s="16">
        <v>42887</v>
      </c>
      <c r="C283" s="15">
        <v>105.96</v>
      </c>
      <c r="E283">
        <f t="shared" si="4"/>
        <v>1.2093129422506277</v>
      </c>
    </row>
    <row r="284" spans="2:5" x14ac:dyDescent="0.3">
      <c r="B284" s="16">
        <v>42917</v>
      </c>
      <c r="C284" s="15">
        <v>107.46</v>
      </c>
      <c r="E284">
        <f t="shared" si="4"/>
        <v>1.2264323213878108</v>
      </c>
    </row>
    <row r="285" spans="2:5" x14ac:dyDescent="0.3">
      <c r="B285" s="16">
        <v>42948</v>
      </c>
      <c r="C285" s="15">
        <v>108.78</v>
      </c>
      <c r="E285">
        <f t="shared" si="4"/>
        <v>1.2414973750285323</v>
      </c>
    </row>
    <row r="286" spans="2:5" x14ac:dyDescent="0.3">
      <c r="B286" s="16">
        <v>42979</v>
      </c>
      <c r="C286" s="15">
        <v>107.06</v>
      </c>
      <c r="E286">
        <f t="shared" si="4"/>
        <v>1.2218671536178953</v>
      </c>
    </row>
    <row r="287" spans="2:5" x14ac:dyDescent="0.3">
      <c r="B287" s="16">
        <v>43009</v>
      </c>
      <c r="C287" s="15">
        <v>106.52</v>
      </c>
      <c r="E287">
        <f t="shared" si="4"/>
        <v>1.2157041771285093</v>
      </c>
    </row>
    <row r="288" spans="2:5" x14ac:dyDescent="0.3">
      <c r="B288" s="16">
        <v>43040</v>
      </c>
      <c r="C288" s="15">
        <v>106.22</v>
      </c>
      <c r="E288">
        <f t="shared" si="4"/>
        <v>1.2122803013010728</v>
      </c>
    </row>
    <row r="289" spans="2:5" x14ac:dyDescent="0.3">
      <c r="B289" s="16">
        <v>43070</v>
      </c>
      <c r="C289" s="15">
        <v>105.67</v>
      </c>
      <c r="E289">
        <f t="shared" si="4"/>
        <v>1.2060031956174389</v>
      </c>
    </row>
    <row r="290" spans="2:5" x14ac:dyDescent="0.3">
      <c r="B290" s="16">
        <v>43101</v>
      </c>
      <c r="C290" s="15">
        <v>107.87</v>
      </c>
      <c r="E290">
        <f t="shared" si="4"/>
        <v>1.2311116183519744</v>
      </c>
    </row>
    <row r="291" spans="2:5" x14ac:dyDescent="0.3">
      <c r="B291" s="16">
        <v>43132</v>
      </c>
      <c r="C291" s="15">
        <v>106.96</v>
      </c>
      <c r="E291">
        <f t="shared" si="4"/>
        <v>1.2207258616754164</v>
      </c>
    </row>
    <row r="292" spans="2:5" x14ac:dyDescent="0.3">
      <c r="B292" s="16">
        <v>43160</v>
      </c>
      <c r="C292" s="15">
        <v>106.49</v>
      </c>
      <c r="E292">
        <f t="shared" si="4"/>
        <v>1.2153617895457658</v>
      </c>
    </row>
    <row r="293" spans="2:5" x14ac:dyDescent="0.3">
      <c r="B293" s="16">
        <v>43191</v>
      </c>
      <c r="C293" s="15">
        <v>107.04</v>
      </c>
      <c r="E293">
        <f t="shared" si="4"/>
        <v>1.2216388952293997</v>
      </c>
    </row>
    <row r="294" spans="2:5" x14ac:dyDescent="0.3">
      <c r="B294" s="16">
        <v>43221</v>
      </c>
      <c r="C294" s="15">
        <v>105.14</v>
      </c>
      <c r="E294">
        <f t="shared" si="4"/>
        <v>1.1999543483223007</v>
      </c>
    </row>
    <row r="295" spans="2:5" x14ac:dyDescent="0.3">
      <c r="B295" s="16">
        <v>43252</v>
      </c>
      <c r="C295" s="15">
        <v>103.41</v>
      </c>
      <c r="E295">
        <f t="shared" si="4"/>
        <v>1.1802099977174161</v>
      </c>
    </row>
    <row r="296" spans="2:5" x14ac:dyDescent="0.3">
      <c r="B296" s="16">
        <v>43282</v>
      </c>
      <c r="C296" s="15">
        <v>103.81</v>
      </c>
      <c r="E296">
        <f t="shared" si="4"/>
        <v>1.1847751654873315</v>
      </c>
    </row>
    <row r="297" spans="2:5" x14ac:dyDescent="0.3">
      <c r="B297" s="16">
        <v>43313</v>
      </c>
      <c r="C297" s="15">
        <v>104.42</v>
      </c>
      <c r="E297">
        <f t="shared" si="4"/>
        <v>1.1917370463364527</v>
      </c>
    </row>
    <row r="298" spans="2:5" x14ac:dyDescent="0.3">
      <c r="B298" s="16">
        <v>43344</v>
      </c>
      <c r="C298" s="15">
        <v>104.21</v>
      </c>
      <c r="E298">
        <f t="shared" si="4"/>
        <v>1.189340333257247</v>
      </c>
    </row>
    <row r="299" spans="2:5" x14ac:dyDescent="0.3">
      <c r="B299" s="16">
        <v>43374</v>
      </c>
      <c r="C299" s="15">
        <v>104.29</v>
      </c>
      <c r="E299">
        <f t="shared" si="4"/>
        <v>1.1902533668112303</v>
      </c>
    </row>
    <row r="300" spans="2:5" x14ac:dyDescent="0.3">
      <c r="B300" s="16">
        <v>43405</v>
      </c>
      <c r="C300" s="15">
        <v>104.42</v>
      </c>
      <c r="E300">
        <f t="shared" si="4"/>
        <v>1.1917370463364527</v>
      </c>
    </row>
    <row r="301" spans="2:5" x14ac:dyDescent="0.3">
      <c r="B301" s="16">
        <v>43435</v>
      </c>
      <c r="C301" s="15">
        <v>103.97</v>
      </c>
      <c r="E301">
        <f t="shared" si="4"/>
        <v>1.1866012325952977</v>
      </c>
    </row>
    <row r="302" spans="2:5" x14ac:dyDescent="0.3">
      <c r="B302" s="16">
        <v>43466</v>
      </c>
      <c r="C302" s="15">
        <v>105.42</v>
      </c>
      <c r="E302">
        <f t="shared" si="4"/>
        <v>1.2031499657612417</v>
      </c>
    </row>
    <row r="303" spans="2:5" x14ac:dyDescent="0.3">
      <c r="B303" s="16">
        <v>43497</v>
      </c>
      <c r="C303" s="15">
        <v>105.96</v>
      </c>
      <c r="E303">
        <f t="shared" si="4"/>
        <v>1.2093129422506277</v>
      </c>
    </row>
    <row r="304" spans="2:5" x14ac:dyDescent="0.3">
      <c r="B304" s="16">
        <v>43525</v>
      </c>
      <c r="C304" s="15">
        <v>106.56</v>
      </c>
      <c r="E304">
        <f t="shared" si="4"/>
        <v>1.216160693905501</v>
      </c>
    </row>
    <row r="305" spans="2:5" x14ac:dyDescent="0.3">
      <c r="B305" s="16">
        <v>43556</v>
      </c>
      <c r="C305" s="15">
        <v>105.11</v>
      </c>
      <c r="E305">
        <f t="shared" si="4"/>
        <v>1.199611960739557</v>
      </c>
    </row>
    <row r="306" spans="2:5" x14ac:dyDescent="0.3">
      <c r="B306" s="16">
        <v>43586</v>
      </c>
      <c r="C306" s="15">
        <v>104.69</v>
      </c>
      <c r="E306">
        <f t="shared" si="4"/>
        <v>1.1948185345811457</v>
      </c>
    </row>
    <row r="307" spans="2:5" x14ac:dyDescent="0.3">
      <c r="B307" s="16">
        <v>43617</v>
      </c>
      <c r="C307" s="15">
        <v>105.22</v>
      </c>
      <c r="E307">
        <f t="shared" si="4"/>
        <v>1.2008673818762838</v>
      </c>
    </row>
    <row r="308" spans="2:5" x14ac:dyDescent="0.3">
      <c r="B308" s="16">
        <v>43647</v>
      </c>
      <c r="C308" s="15">
        <v>104.34</v>
      </c>
      <c r="E308">
        <f t="shared" si="4"/>
        <v>1.1908240127824696</v>
      </c>
    </row>
    <row r="309" spans="2:5" x14ac:dyDescent="0.3">
      <c r="B309" s="16">
        <v>43678</v>
      </c>
      <c r="C309" s="15">
        <v>104</v>
      </c>
      <c r="E309">
        <f t="shared" si="4"/>
        <v>1.1869436201780414</v>
      </c>
    </row>
    <row r="310" spans="2:5" x14ac:dyDescent="0.3">
      <c r="B310" s="16">
        <v>43709</v>
      </c>
      <c r="C310" s="15">
        <v>101.79</v>
      </c>
      <c r="E310">
        <f t="shared" si="4"/>
        <v>1.1617210682492582</v>
      </c>
    </row>
    <row r="311" spans="2:5" x14ac:dyDescent="0.3">
      <c r="B311" s="16">
        <v>43739</v>
      </c>
      <c r="C311" s="15">
        <v>102.37</v>
      </c>
      <c r="E311">
        <f t="shared" si="4"/>
        <v>1.1683405615156357</v>
      </c>
    </row>
    <row r="312" spans="2:5" x14ac:dyDescent="0.3">
      <c r="B312" s="16">
        <v>43770</v>
      </c>
      <c r="C312" s="15">
        <v>101.6</v>
      </c>
      <c r="E312">
        <f t="shared" si="4"/>
        <v>1.1595526135585481</v>
      </c>
    </row>
    <row r="313" spans="2:5" x14ac:dyDescent="0.3">
      <c r="B313" s="16">
        <v>43800</v>
      </c>
      <c r="C313" s="15">
        <v>102.55</v>
      </c>
      <c r="E313">
        <f t="shared" si="4"/>
        <v>1.1703948870120977</v>
      </c>
    </row>
    <row r="314" spans="2:5" x14ac:dyDescent="0.3">
      <c r="B314" s="16">
        <v>43831</v>
      </c>
      <c r="C314" s="15">
        <v>102.43</v>
      </c>
      <c r="E314">
        <f t="shared" si="4"/>
        <v>1.169025336681123</v>
      </c>
    </row>
    <row r="315" spans="2:5" x14ac:dyDescent="0.3">
      <c r="B315" s="16">
        <v>43862</v>
      </c>
      <c r="C315" s="15">
        <v>101.3</v>
      </c>
      <c r="E315">
        <f t="shared" si="4"/>
        <v>1.1561287377311116</v>
      </c>
    </row>
    <row r="316" spans="2:5" x14ac:dyDescent="0.3">
      <c r="B316" s="16">
        <v>43891</v>
      </c>
      <c r="C316" s="15">
        <v>100.58</v>
      </c>
      <c r="E316">
        <f t="shared" si="4"/>
        <v>1.1479114357452636</v>
      </c>
    </row>
    <row r="317" spans="2:5" x14ac:dyDescent="0.3">
      <c r="B317" s="16">
        <v>43922</v>
      </c>
      <c r="C317" s="15">
        <v>97.11</v>
      </c>
      <c r="E317">
        <f t="shared" si="4"/>
        <v>1.1083086053412463</v>
      </c>
    </row>
    <row r="318" spans="2:5" x14ac:dyDescent="0.3">
      <c r="B318" s="16">
        <v>43952</v>
      </c>
      <c r="C318" s="15">
        <v>99.18</v>
      </c>
      <c r="E318">
        <f t="shared" si="4"/>
        <v>1.1319333485505592</v>
      </c>
    </row>
    <row r="319" spans="2:5" x14ac:dyDescent="0.3">
      <c r="B319" s="16">
        <v>43983</v>
      </c>
      <c r="C319" s="15">
        <v>100.57</v>
      </c>
      <c r="E319">
        <f t="shared" si="4"/>
        <v>1.1477973065510156</v>
      </c>
    </row>
    <row r="320" spans="2:5" x14ac:dyDescent="0.3">
      <c r="B320" s="16">
        <v>44013</v>
      </c>
      <c r="C320" s="15">
        <v>101.09</v>
      </c>
      <c r="E320">
        <f t="shared" si="4"/>
        <v>1.1537320246519058</v>
      </c>
    </row>
    <row r="321" spans="2:5" x14ac:dyDescent="0.3">
      <c r="B321" s="16">
        <v>44044</v>
      </c>
      <c r="C321" s="15">
        <v>102.58</v>
      </c>
      <c r="E321">
        <f t="shared" si="4"/>
        <v>1.1707372745948412</v>
      </c>
    </row>
    <row r="322" spans="2:5" x14ac:dyDescent="0.3">
      <c r="B322" s="16">
        <v>44075</v>
      </c>
      <c r="C322" s="15">
        <v>98.84</v>
      </c>
      <c r="E322">
        <f t="shared" si="4"/>
        <v>1.128052955946131</v>
      </c>
    </row>
    <row r="323" spans="2:5" x14ac:dyDescent="0.3">
      <c r="B323" s="16">
        <v>44105</v>
      </c>
      <c r="C323" s="15">
        <v>98.4</v>
      </c>
      <c r="E323">
        <f t="shared" ref="E323:E377" si="5">C323/$C$89</f>
        <v>1.1230312713992239</v>
      </c>
    </row>
    <row r="324" spans="2:5" x14ac:dyDescent="0.3">
      <c r="B324" s="16">
        <v>44136</v>
      </c>
      <c r="C324" s="15">
        <v>98.66</v>
      </c>
      <c r="E324">
        <f t="shared" si="5"/>
        <v>1.125998630449669</v>
      </c>
    </row>
    <row r="325" spans="2:5" x14ac:dyDescent="0.3">
      <c r="B325" s="16">
        <v>44166</v>
      </c>
      <c r="C325" s="15">
        <v>99.23</v>
      </c>
      <c r="E325">
        <f t="shared" si="5"/>
        <v>1.1325039945217987</v>
      </c>
    </row>
    <row r="326" spans="2:5" x14ac:dyDescent="0.3">
      <c r="B326" s="16">
        <v>44197</v>
      </c>
      <c r="C326" s="15">
        <v>99.48</v>
      </c>
      <c r="E326">
        <f t="shared" si="5"/>
        <v>1.1353572243779959</v>
      </c>
    </row>
    <row r="327" spans="2:5" x14ac:dyDescent="0.3">
      <c r="B327" s="16">
        <v>44228</v>
      </c>
      <c r="C327" s="15">
        <v>99.79</v>
      </c>
      <c r="E327">
        <f t="shared" si="5"/>
        <v>1.1388952293996804</v>
      </c>
    </row>
    <row r="328" spans="2:5" x14ac:dyDescent="0.3">
      <c r="B328" s="16">
        <v>44256</v>
      </c>
      <c r="C328" s="15">
        <v>98</v>
      </c>
      <c r="E328">
        <f t="shared" si="5"/>
        <v>1.1184661036293084</v>
      </c>
    </row>
    <row r="329" spans="2:5" x14ac:dyDescent="0.3">
      <c r="B329" s="16">
        <v>44287</v>
      </c>
      <c r="C329" s="15">
        <v>99.88</v>
      </c>
      <c r="E329">
        <f t="shared" si="5"/>
        <v>1.1399223921479114</v>
      </c>
    </row>
    <row r="330" spans="2:5" x14ac:dyDescent="0.3">
      <c r="B330" s="16">
        <v>44317</v>
      </c>
      <c r="C330" s="15">
        <v>102.22</v>
      </c>
      <c r="E330">
        <f t="shared" si="5"/>
        <v>1.1666286236019172</v>
      </c>
    </row>
    <row r="331" spans="2:5" x14ac:dyDescent="0.3">
      <c r="B331" s="16">
        <v>44348</v>
      </c>
      <c r="C331" s="15">
        <v>103.31</v>
      </c>
      <c r="E331">
        <f t="shared" si="5"/>
        <v>1.1790687057749372</v>
      </c>
    </row>
    <row r="332" spans="2:5" x14ac:dyDescent="0.3">
      <c r="B332" s="16">
        <v>44378</v>
      </c>
      <c r="C332" s="15">
        <v>101.31</v>
      </c>
      <c r="E332">
        <f t="shared" si="5"/>
        <v>1.1562428669253595</v>
      </c>
    </row>
    <row r="333" spans="2:5" x14ac:dyDescent="0.3">
      <c r="B333" s="16">
        <v>44409</v>
      </c>
      <c r="C333" s="15">
        <v>102.56</v>
      </c>
      <c r="E333">
        <f t="shared" si="5"/>
        <v>1.1705090162063456</v>
      </c>
    </row>
    <row r="334" spans="2:5" x14ac:dyDescent="0.3">
      <c r="B334" s="16">
        <v>44440</v>
      </c>
      <c r="C334" s="15">
        <v>102.07</v>
      </c>
      <c r="E334">
        <f t="shared" si="5"/>
        <v>1.1649166856881989</v>
      </c>
    </row>
    <row r="335" spans="2:5" x14ac:dyDescent="0.3">
      <c r="B335" s="16">
        <v>44470</v>
      </c>
      <c r="C335" s="15">
        <v>99.76</v>
      </c>
      <c r="E335">
        <f t="shared" si="5"/>
        <v>1.1385528418169368</v>
      </c>
    </row>
    <row r="336" spans="2:5" x14ac:dyDescent="0.3">
      <c r="B336" s="16">
        <v>44501</v>
      </c>
      <c r="C336" s="15">
        <v>98.77</v>
      </c>
      <c r="E336">
        <f t="shared" si="5"/>
        <v>1.1272540515863958</v>
      </c>
    </row>
    <row r="337" spans="2:5" x14ac:dyDescent="0.3">
      <c r="B337" s="16">
        <v>44531</v>
      </c>
      <c r="C337" s="15">
        <v>97.81</v>
      </c>
      <c r="E337">
        <f t="shared" si="5"/>
        <v>1.1162976489385985</v>
      </c>
    </row>
    <row r="338" spans="2:5" x14ac:dyDescent="0.3">
      <c r="B338" s="16">
        <v>44562</v>
      </c>
      <c r="C338" s="15">
        <v>100.55</v>
      </c>
      <c r="E338">
        <f t="shared" si="5"/>
        <v>1.1475690481625198</v>
      </c>
    </row>
    <row r="339" spans="2:5" x14ac:dyDescent="0.3">
      <c r="B339" s="16">
        <v>44593</v>
      </c>
      <c r="C339" s="15">
        <v>101.29</v>
      </c>
      <c r="E339">
        <f t="shared" si="5"/>
        <v>1.1560146085368637</v>
      </c>
    </row>
    <row r="340" spans="2:5" x14ac:dyDescent="0.3">
      <c r="B340" s="16">
        <v>44621</v>
      </c>
      <c r="C340" s="15">
        <v>95.17</v>
      </c>
      <c r="E340">
        <f t="shared" si="5"/>
        <v>1.0861675416571559</v>
      </c>
    </row>
    <row r="341" spans="2:5" x14ac:dyDescent="0.3">
      <c r="B341" s="16">
        <v>44652</v>
      </c>
      <c r="C341" s="15">
        <v>95.47</v>
      </c>
      <c r="E341">
        <f t="shared" si="5"/>
        <v>1.0895914174845924</v>
      </c>
    </row>
    <row r="342" spans="2:5" x14ac:dyDescent="0.3">
      <c r="B342" s="16">
        <v>44682</v>
      </c>
      <c r="C342" s="15">
        <v>93.85</v>
      </c>
      <c r="E342">
        <f t="shared" si="5"/>
        <v>1.0711024880164344</v>
      </c>
    </row>
    <row r="343" spans="2:5" x14ac:dyDescent="0.3">
      <c r="B343" s="16">
        <v>44713</v>
      </c>
      <c r="C343" s="15">
        <v>91.6</v>
      </c>
      <c r="E343">
        <f t="shared" si="5"/>
        <v>1.0454234193106595</v>
      </c>
    </row>
    <row r="344" spans="2:5" x14ac:dyDescent="0.3">
      <c r="B344" s="16">
        <v>44743</v>
      </c>
      <c r="C344" s="15">
        <v>91.08</v>
      </c>
      <c r="E344">
        <f t="shared" si="5"/>
        <v>1.0394887012097693</v>
      </c>
    </row>
    <row r="345" spans="2:5" x14ac:dyDescent="0.3">
      <c r="B345" s="16">
        <v>44774</v>
      </c>
      <c r="C345" s="15">
        <v>92.58</v>
      </c>
      <c r="E345">
        <f t="shared" si="5"/>
        <v>1.0566080803469526</v>
      </c>
    </row>
    <row r="346" spans="2:5" x14ac:dyDescent="0.3">
      <c r="B346" s="16">
        <v>44805</v>
      </c>
      <c r="C346" s="15">
        <v>95.17</v>
      </c>
      <c r="E346">
        <f t="shared" si="5"/>
        <v>1.0861675416571559</v>
      </c>
    </row>
    <row r="347" spans="2:5" x14ac:dyDescent="0.3">
      <c r="B347" s="16">
        <v>44835</v>
      </c>
      <c r="C347" s="15">
        <v>93.21</v>
      </c>
      <c r="E347">
        <f t="shared" si="5"/>
        <v>1.0637982195845697</v>
      </c>
    </row>
    <row r="348" spans="2:5" x14ac:dyDescent="0.3">
      <c r="B348" s="16">
        <v>44866</v>
      </c>
      <c r="C348" s="15">
        <v>97.99</v>
      </c>
      <c r="E348">
        <f t="shared" si="5"/>
        <v>1.1183519744350603</v>
      </c>
    </row>
    <row r="349" spans="2:5" x14ac:dyDescent="0.3">
      <c r="B349" s="16">
        <v>44896</v>
      </c>
      <c r="C349" s="15">
        <v>100.35</v>
      </c>
      <c r="E349">
        <f t="shared" si="5"/>
        <v>1.145286464277562</v>
      </c>
    </row>
    <row r="350" spans="2:5" x14ac:dyDescent="0.3">
      <c r="B350" s="16">
        <v>44927</v>
      </c>
      <c r="C350" s="15">
        <v>105.16</v>
      </c>
      <c r="E350">
        <f t="shared" si="5"/>
        <v>1.2001826067107966</v>
      </c>
    </row>
    <row r="351" spans="2:5" x14ac:dyDescent="0.3">
      <c r="B351" s="16">
        <v>44958</v>
      </c>
      <c r="C351" s="15">
        <v>108.37</v>
      </c>
      <c r="E351">
        <f t="shared" si="5"/>
        <v>1.2368180780643689</v>
      </c>
    </row>
    <row r="352" spans="2:5" x14ac:dyDescent="0.3">
      <c r="B352" s="16">
        <v>44986</v>
      </c>
      <c r="C352" s="15">
        <v>108.7</v>
      </c>
      <c r="E352">
        <f t="shared" si="5"/>
        <v>1.2405843414745492</v>
      </c>
    </row>
    <row r="353" spans="2:5" x14ac:dyDescent="0.3">
      <c r="B353" s="16">
        <v>45017</v>
      </c>
      <c r="C353" s="15">
        <v>112.39</v>
      </c>
      <c r="E353">
        <f t="shared" si="5"/>
        <v>1.2826980141520201</v>
      </c>
    </row>
    <row r="354" spans="2:5" x14ac:dyDescent="0.3">
      <c r="B354" s="16">
        <v>45047</v>
      </c>
      <c r="C354" s="15">
        <v>112.63</v>
      </c>
      <c r="E354">
        <f t="shared" si="5"/>
        <v>1.2854371148139694</v>
      </c>
    </row>
    <row r="355" spans="2:5" x14ac:dyDescent="0.3">
      <c r="B355" s="16">
        <v>45078</v>
      </c>
      <c r="C355" s="15">
        <v>113.66</v>
      </c>
      <c r="E355">
        <f t="shared" si="5"/>
        <v>1.2971924218215019</v>
      </c>
    </row>
    <row r="356" spans="2:5" x14ac:dyDescent="0.3">
      <c r="B356" s="16">
        <v>45108</v>
      </c>
      <c r="C356" s="15">
        <v>112</v>
      </c>
      <c r="E356">
        <f t="shared" si="5"/>
        <v>1.2782469755763524</v>
      </c>
    </row>
    <row r="357" spans="2:5" x14ac:dyDescent="0.3">
      <c r="B357" s="16">
        <v>45139</v>
      </c>
      <c r="C357" s="15">
        <v>110.49</v>
      </c>
      <c r="E357">
        <f t="shared" si="5"/>
        <v>1.2610134672449211</v>
      </c>
    </row>
    <row r="358" spans="2:5" x14ac:dyDescent="0.3">
      <c r="B358" s="16">
        <v>45170</v>
      </c>
      <c r="C358" s="15">
        <v>110.01</v>
      </c>
      <c r="E358">
        <f t="shared" si="5"/>
        <v>1.2555352659210226</v>
      </c>
    </row>
    <row r="359" spans="2:5" x14ac:dyDescent="0.3">
      <c r="B359" s="16">
        <v>45200</v>
      </c>
      <c r="C359" s="15">
        <v>109.84</v>
      </c>
      <c r="E359">
        <f t="shared" si="5"/>
        <v>1.2535950696188085</v>
      </c>
    </row>
    <row r="360" spans="2:5" x14ac:dyDescent="0.3">
      <c r="B360" s="16">
        <v>45231</v>
      </c>
      <c r="C360" s="15">
        <v>112.09</v>
      </c>
      <c r="E360">
        <f t="shared" si="5"/>
        <v>1.2792741383245834</v>
      </c>
    </row>
    <row r="361" spans="2:5" x14ac:dyDescent="0.3">
      <c r="B361" s="16">
        <v>45261</v>
      </c>
      <c r="C361" s="15">
        <v>110.58</v>
      </c>
      <c r="E361">
        <f t="shared" si="5"/>
        <v>1.2620406299931521</v>
      </c>
    </row>
    <row r="362" spans="2:5" x14ac:dyDescent="0.3">
      <c r="B362" s="16">
        <v>45292</v>
      </c>
      <c r="C362" s="15">
        <v>111.4</v>
      </c>
      <c r="E362">
        <f t="shared" si="5"/>
        <v>1.2713992239214791</v>
      </c>
    </row>
    <row r="363" spans="2:5" x14ac:dyDescent="0.3">
      <c r="B363" s="16">
        <v>45323</v>
      </c>
      <c r="C363" s="15">
        <v>109.58</v>
      </c>
      <c r="E363">
        <f t="shared" si="5"/>
        <v>1.2506277105683632</v>
      </c>
    </row>
    <row r="364" spans="2:5" x14ac:dyDescent="0.3">
      <c r="B364" s="16">
        <v>45352</v>
      </c>
      <c r="C364" s="15">
        <v>108.31</v>
      </c>
      <c r="E364">
        <f t="shared" si="5"/>
        <v>1.2361333028988815</v>
      </c>
    </row>
    <row r="365" spans="2:5" x14ac:dyDescent="0.3">
      <c r="B365" s="16">
        <v>45383</v>
      </c>
      <c r="C365" s="15">
        <v>109.14</v>
      </c>
      <c r="E365">
        <f t="shared" si="5"/>
        <v>1.2456060260214563</v>
      </c>
    </row>
    <row r="366" spans="2:5" x14ac:dyDescent="0.3">
      <c r="B366" s="16">
        <v>45413</v>
      </c>
      <c r="C366" s="15">
        <v>110.4</v>
      </c>
      <c r="E366">
        <f t="shared" si="5"/>
        <v>1.2599863044966904</v>
      </c>
    </row>
    <row r="367" spans="2:5" x14ac:dyDescent="0.3">
      <c r="B367" s="16">
        <v>45444</v>
      </c>
      <c r="C367" s="15">
        <v>108</v>
      </c>
      <c r="E367">
        <f t="shared" si="5"/>
        <v>1.232595297877197</v>
      </c>
    </row>
    <row r="368" spans="2:5" x14ac:dyDescent="0.3">
      <c r="B368" s="16">
        <v>45474</v>
      </c>
      <c r="C368" s="15">
        <v>109.33</v>
      </c>
      <c r="E368">
        <f t="shared" si="5"/>
        <v>1.247774480712166</v>
      </c>
    </row>
    <row r="369" spans="2:5" x14ac:dyDescent="0.3">
      <c r="B369" s="16">
        <v>45505</v>
      </c>
      <c r="C369" s="15">
        <v>108.66</v>
      </c>
      <c r="E369">
        <f t="shared" si="5"/>
        <v>1.2401278246975576</v>
      </c>
    </row>
    <row r="370" spans="2:5" x14ac:dyDescent="0.3">
      <c r="B370" s="16">
        <v>45536</v>
      </c>
      <c r="C370" s="15">
        <v>108.45</v>
      </c>
      <c r="E370">
        <f t="shared" si="5"/>
        <v>1.237731111618352</v>
      </c>
    </row>
    <row r="371" spans="2:5" x14ac:dyDescent="0.3">
      <c r="B371" s="16">
        <v>45566</v>
      </c>
      <c r="C371" s="15">
        <v>106.11</v>
      </c>
      <c r="E371">
        <f t="shared" si="5"/>
        <v>1.211024880164346</v>
      </c>
    </row>
    <row r="372" spans="2:5" x14ac:dyDescent="0.3">
      <c r="B372" s="16">
        <v>45597</v>
      </c>
      <c r="C372" s="15">
        <v>104.61</v>
      </c>
      <c r="E372">
        <f t="shared" si="5"/>
        <v>1.1939055010271626</v>
      </c>
    </row>
    <row r="373" spans="2:5" x14ac:dyDescent="0.3">
      <c r="B373" s="16">
        <v>45627</v>
      </c>
      <c r="C373" s="15">
        <v>103.89</v>
      </c>
      <c r="E373">
        <f t="shared" si="5"/>
        <v>1.1856881990413146</v>
      </c>
    </row>
    <row r="374" spans="2:5" x14ac:dyDescent="0.3">
      <c r="B374" s="16">
        <v>45658</v>
      </c>
      <c r="C374" s="15">
        <v>105.2</v>
      </c>
      <c r="E374">
        <f t="shared" si="5"/>
        <v>1.2006391234877882</v>
      </c>
    </row>
    <row r="375" spans="2:5" x14ac:dyDescent="0.3">
      <c r="B375" s="16">
        <v>45689</v>
      </c>
      <c r="C375" s="15">
        <v>107.52</v>
      </c>
      <c r="E375">
        <f t="shared" si="5"/>
        <v>1.2271170965532983</v>
      </c>
    </row>
    <row r="376" spans="2:5" x14ac:dyDescent="0.3">
      <c r="B376" s="16">
        <v>45717</v>
      </c>
      <c r="C376" s="15">
        <v>108.94</v>
      </c>
      <c r="E376">
        <f t="shared" si="5"/>
        <v>1.2433234421364985</v>
      </c>
    </row>
    <row r="377" spans="2:5" x14ac:dyDescent="0.3">
      <c r="B377" s="16">
        <v>45748</v>
      </c>
      <c r="C377" s="15">
        <v>108.23</v>
      </c>
      <c r="E377">
        <f t="shared" si="5"/>
        <v>1.2352202693448984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24D5-B9BF-4C59-BCF7-0DC3249F6A5D}">
  <dimension ref="A3:AX38"/>
  <sheetViews>
    <sheetView workbookViewId="0">
      <selection activeCell="S23" sqref="S23"/>
    </sheetView>
  </sheetViews>
  <sheetFormatPr defaultRowHeight="14.4" x14ac:dyDescent="0.3"/>
  <cols>
    <col min="9" max="9" width="19.33203125" customWidth="1"/>
  </cols>
  <sheetData>
    <row r="3" spans="1:50" x14ac:dyDescent="0.3">
      <c r="B3" t="s">
        <v>413</v>
      </c>
      <c r="C3" t="s">
        <v>414</v>
      </c>
      <c r="D3" t="s">
        <v>417</v>
      </c>
      <c r="E3" t="s">
        <v>418</v>
      </c>
      <c r="F3" t="s">
        <v>421</v>
      </c>
    </row>
    <row r="4" spans="1:50" x14ac:dyDescent="0.3">
      <c r="A4">
        <v>1990</v>
      </c>
      <c r="B4">
        <v>9133.1413699999994</v>
      </c>
      <c r="F4" s="8">
        <v>14969.244107780289</v>
      </c>
      <c r="K4" t="s">
        <v>415</v>
      </c>
      <c r="O4" t="s">
        <v>427</v>
      </c>
    </row>
    <row r="5" spans="1:50" x14ac:dyDescent="0.3">
      <c r="A5">
        <v>1991</v>
      </c>
      <c r="B5">
        <v>8319.6312099999996</v>
      </c>
      <c r="C5">
        <v>21058.076684507676</v>
      </c>
      <c r="D5" s="8">
        <v>19.231288630406869</v>
      </c>
      <c r="E5" s="8">
        <v>20.093579689855432</v>
      </c>
      <c r="F5" s="8">
        <v>15561.192711309282</v>
      </c>
      <c r="K5">
        <f>C22/C5-1</f>
        <v>0.82559590810961803</v>
      </c>
      <c r="O5">
        <f>B22/B5 - 1</f>
        <v>1.4906755932995259</v>
      </c>
    </row>
    <row r="6" spans="1:50" x14ac:dyDescent="0.3">
      <c r="A6" s="7">
        <v>1992</v>
      </c>
      <c r="B6">
        <v>8251.71947</v>
      </c>
      <c r="C6">
        <v>21806.209871781411</v>
      </c>
      <c r="D6" s="8">
        <v>15.978770450786664</v>
      </c>
      <c r="E6" s="8">
        <v>16.4445052935198</v>
      </c>
      <c r="F6" s="8">
        <v>15975.575601709914</v>
      </c>
      <c r="O6" t="s">
        <v>428</v>
      </c>
    </row>
    <row r="7" spans="1:50" x14ac:dyDescent="0.3">
      <c r="A7">
        <v>1993</v>
      </c>
      <c r="B7">
        <v>8408.2301599999992</v>
      </c>
      <c r="C7">
        <v>21940.161859444561</v>
      </c>
      <c r="D7" s="8">
        <v>11.878287075074862</v>
      </c>
      <c r="E7" s="8">
        <v>12.419275393461358</v>
      </c>
      <c r="F7" s="8">
        <v>16202.419518386159</v>
      </c>
      <c r="O7">
        <f>B15/B5 - 1</f>
        <v>0.58803037857251383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50" x14ac:dyDescent="0.3">
      <c r="A8">
        <v>1994</v>
      </c>
      <c r="B8">
        <v>8852.9868900000001</v>
      </c>
      <c r="C8">
        <v>22886.767826420779</v>
      </c>
      <c r="D8" s="8">
        <v>15.696837859191056</v>
      </c>
      <c r="E8" s="8">
        <v>16.354209491535993</v>
      </c>
      <c r="F8" s="8">
        <v>16950.26480125745</v>
      </c>
      <c r="H8" t="s">
        <v>416</v>
      </c>
      <c r="M8" t="s">
        <v>419</v>
      </c>
    </row>
    <row r="9" spans="1:50" x14ac:dyDescent="0.3">
      <c r="A9">
        <v>1995</v>
      </c>
      <c r="B9">
        <v>9186.0375600000007</v>
      </c>
      <c r="C9">
        <v>23614.958444929256</v>
      </c>
      <c r="D9" s="8">
        <v>19.334844021534476</v>
      </c>
      <c r="E9" s="8">
        <v>23.138386593433065</v>
      </c>
      <c r="F9" s="8">
        <v>17754.594225503668</v>
      </c>
      <c r="I9" t="s">
        <v>422</v>
      </c>
      <c r="J9" t="s">
        <v>423</v>
      </c>
    </row>
    <row r="10" spans="1:50" x14ac:dyDescent="0.3">
      <c r="A10">
        <v>1996</v>
      </c>
      <c r="B10">
        <v>9349.0137599999998</v>
      </c>
      <c r="C10">
        <v>24160.066802117886</v>
      </c>
      <c r="D10" s="8">
        <v>20.751594229916702</v>
      </c>
      <c r="E10" s="8">
        <v>25.282405064090906</v>
      </c>
      <c r="F10" s="8">
        <v>18349.808623562025</v>
      </c>
      <c r="H10">
        <v>1991</v>
      </c>
      <c r="I10">
        <f>B5/C5</f>
        <v>0.39508029791347049</v>
      </c>
      <c r="J10">
        <f>B5/F5</f>
        <v>0.5346396876091386</v>
      </c>
      <c r="M10" t="s">
        <v>420</v>
      </c>
    </row>
    <row r="11" spans="1:50" x14ac:dyDescent="0.3">
      <c r="A11">
        <v>1997</v>
      </c>
      <c r="B11">
        <v>9823.0257600000004</v>
      </c>
      <c r="C11">
        <v>24643.683212435881</v>
      </c>
      <c r="D11" s="8">
        <v>21.503297900887613</v>
      </c>
      <c r="E11" s="8">
        <v>27.243835573022313</v>
      </c>
      <c r="F11" s="8">
        <v>19070.094995123225</v>
      </c>
      <c r="H11">
        <v>2001</v>
      </c>
      <c r="I11">
        <f>B15/C15</f>
        <v>0.46070855283237977</v>
      </c>
      <c r="J11">
        <f>B15/F15</f>
        <v>0.5691864928275554</v>
      </c>
    </row>
    <row r="12" spans="1:50" x14ac:dyDescent="0.3">
      <c r="A12">
        <v>1998</v>
      </c>
      <c r="B12">
        <v>10398.0293</v>
      </c>
      <c r="C12">
        <v>25444.151139918689</v>
      </c>
      <c r="D12" s="8">
        <v>21.34541094498293</v>
      </c>
      <c r="E12" s="8">
        <v>27.145833624602094</v>
      </c>
      <c r="F12" s="8">
        <v>19968.036326559646</v>
      </c>
      <c r="H12">
        <v>2008</v>
      </c>
      <c r="I12">
        <f>B22/C22</f>
        <v>0.53901131736514674</v>
      </c>
      <c r="J12">
        <f>B22/F22</f>
        <v>0.63513369876997694</v>
      </c>
    </row>
    <row r="13" spans="1:50" x14ac:dyDescent="0.3">
      <c r="A13">
        <v>1999</v>
      </c>
      <c r="B13">
        <v>10873.2479</v>
      </c>
      <c r="C13">
        <v>26517.934285621432</v>
      </c>
      <c r="D13" s="8">
        <v>18.709648019869274</v>
      </c>
      <c r="E13" s="8">
        <v>24.425673591322429</v>
      </c>
      <c r="F13" s="8">
        <v>20767.773268293822</v>
      </c>
    </row>
    <row r="14" spans="1:50" x14ac:dyDescent="0.3">
      <c r="A14">
        <v>2000</v>
      </c>
      <c r="B14">
        <v>11854.6834</v>
      </c>
      <c r="C14">
        <v>27467.782417476694</v>
      </c>
      <c r="D14" s="8">
        <v>19.251434602945199</v>
      </c>
      <c r="E14" s="8">
        <v>24.37407929659836</v>
      </c>
      <c r="F14" s="8">
        <v>22106.380691613336</v>
      </c>
    </row>
    <row r="15" spans="1:50" x14ac:dyDescent="0.3">
      <c r="A15">
        <v>2001</v>
      </c>
      <c r="B15">
        <v>13211.8271</v>
      </c>
      <c r="C15">
        <v>28677.19085911322</v>
      </c>
      <c r="D15" s="8">
        <v>19.773595558484523</v>
      </c>
      <c r="E15" s="8">
        <v>24.944787547000722</v>
      </c>
      <c r="F15" s="8">
        <v>23211.772005283241</v>
      </c>
    </row>
    <row r="16" spans="1:50" x14ac:dyDescent="0.3">
      <c r="A16">
        <v>2002</v>
      </c>
      <c r="B16">
        <v>14526.388300000001</v>
      </c>
      <c r="C16">
        <v>29513.682326710215</v>
      </c>
      <c r="D16" s="8">
        <v>18.543711441491489</v>
      </c>
      <c r="E16" s="8">
        <v>23.557257174100123</v>
      </c>
      <c r="F16" s="8">
        <v>24229.642955618605</v>
      </c>
      <c r="K16" t="s">
        <v>16772</v>
      </c>
      <c r="N16" t="s">
        <v>16773</v>
      </c>
    </row>
    <row r="17" spans="1:50" x14ac:dyDescent="0.3">
      <c r="A17">
        <v>2003</v>
      </c>
      <c r="B17">
        <v>15479.1011</v>
      </c>
      <c r="C17">
        <v>30305.257567840137</v>
      </c>
      <c r="D17" s="8">
        <v>15.785716872018815</v>
      </c>
      <c r="E17" s="8">
        <v>20.671990204292094</v>
      </c>
      <c r="F17" s="8">
        <v>24762.902540748906</v>
      </c>
      <c r="K17">
        <v>2001</v>
      </c>
      <c r="L17">
        <v>38.357999999999997</v>
      </c>
      <c r="N17">
        <v>100</v>
      </c>
    </row>
    <row r="18" spans="1:50" x14ac:dyDescent="0.3">
      <c r="A18">
        <v>2004</v>
      </c>
      <c r="B18">
        <v>16269.308800000001</v>
      </c>
      <c r="C18">
        <v>31757.417727618093</v>
      </c>
      <c r="D18" s="8">
        <v>16.696465489355536</v>
      </c>
      <c r="E18" s="8">
        <v>23.063175711635861</v>
      </c>
      <c r="F18" s="8">
        <v>25929.074420010129</v>
      </c>
      <c r="K18">
        <v>2008</v>
      </c>
      <c r="L18">
        <v>69.573999999999998</v>
      </c>
      <c r="N18">
        <f>L18/L17</f>
        <v>1.8138067678189687</v>
      </c>
    </row>
    <row r="19" spans="1:50" x14ac:dyDescent="0.3">
      <c r="A19">
        <v>2005</v>
      </c>
      <c r="B19">
        <v>17108.3406</v>
      </c>
      <c r="C19">
        <v>32313.736788416987</v>
      </c>
      <c r="D19" s="8">
        <v>16.573849532998413</v>
      </c>
      <c r="E19" s="8">
        <v>23.188935092887505</v>
      </c>
      <c r="F19" s="8">
        <v>26906.315187620818</v>
      </c>
    </row>
    <row r="20" spans="1:50" x14ac:dyDescent="0.3">
      <c r="A20">
        <v>2006</v>
      </c>
      <c r="B20">
        <v>18383.6322</v>
      </c>
      <c r="C20">
        <v>34748.754325723763</v>
      </c>
      <c r="D20" s="8">
        <v>18.081168412212183</v>
      </c>
      <c r="E20" s="8">
        <v>24.780828286762404</v>
      </c>
      <c r="F20" s="8">
        <v>29244.405565874407</v>
      </c>
    </row>
    <row r="21" spans="1:50" x14ac:dyDescent="0.3">
      <c r="A21">
        <v>2007</v>
      </c>
      <c r="B21">
        <v>19098.6263</v>
      </c>
      <c r="C21">
        <v>36915.325283216167</v>
      </c>
      <c r="D21" s="8">
        <v>16.764685743172222</v>
      </c>
      <c r="E21" s="8">
        <v>24.963081587845622</v>
      </c>
      <c r="F21" s="8">
        <v>31162.909724350648</v>
      </c>
      <c r="K21" t="s">
        <v>16774</v>
      </c>
      <c r="N21">
        <f>N18/(1+Inflation!C42/100)/(1+Inflation!C43/100)/(1+Inflation!C44/100)/(1+Inflation!C45/100)/(1+Inflation!C46/100)/(1+Inflation!C47/100)/(1+Inflation!C48/100)/(1+Inflation!C49/100)</f>
        <v>1.4380517228190823</v>
      </c>
    </row>
    <row r="22" spans="1:50" x14ac:dyDescent="0.3">
      <c r="A22">
        <v>2008</v>
      </c>
      <c r="B22">
        <v>20721.502400000001</v>
      </c>
      <c r="C22">
        <v>38443.538627895767</v>
      </c>
      <c r="D22" s="8">
        <v>17.773422436858898</v>
      </c>
      <c r="E22" s="8">
        <v>25.101365345925114</v>
      </c>
      <c r="F22" s="8">
        <v>32625.417987000244</v>
      </c>
    </row>
    <row r="23" spans="1:50" x14ac:dyDescent="0.3">
      <c r="A23">
        <v>2009</v>
      </c>
      <c r="B23">
        <v>20722.065299999998</v>
      </c>
      <c r="C23">
        <v>37554.442699317369</v>
      </c>
      <c r="D23" s="8">
        <v>19.794322204663999</v>
      </c>
      <c r="E23" s="8">
        <v>24.507258007835063</v>
      </c>
      <c r="F23" s="8">
        <v>31983.937081349482</v>
      </c>
    </row>
    <row r="24" spans="1:50" x14ac:dyDescent="0.3">
      <c r="A24">
        <v>2010</v>
      </c>
      <c r="B24">
        <v>21738.8966</v>
      </c>
      <c r="C24">
        <v>39730.489788527077</v>
      </c>
      <c r="D24" s="8">
        <v>20.785447344995987</v>
      </c>
      <c r="E24" s="8">
        <v>25.9340144855977</v>
      </c>
      <c r="F24" s="8">
        <v>33055.68623530167</v>
      </c>
    </row>
    <row r="25" spans="1:50" x14ac:dyDescent="0.3">
      <c r="A25">
        <v>2011</v>
      </c>
      <c r="B25">
        <v>23029.447199999999</v>
      </c>
      <c r="C25">
        <v>43398.344399249581</v>
      </c>
      <c r="D25" s="8">
        <v>21.003280081439097</v>
      </c>
      <c r="E25" s="8">
        <v>26.516162440787266</v>
      </c>
      <c r="F25" s="8">
        <v>34733.959343159193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spans="1:50" x14ac:dyDescent="0.3">
      <c r="A26">
        <v>2012</v>
      </c>
      <c r="B26">
        <v>23267.448400000001</v>
      </c>
      <c r="C26">
        <v>44229.394192173851</v>
      </c>
      <c r="D26" s="8">
        <v>21.132868451522317</v>
      </c>
      <c r="E26" s="8">
        <v>26.270876089018756</v>
      </c>
      <c r="F26" s="8">
        <v>35181.629629936768</v>
      </c>
    </row>
    <row r="27" spans="1:50" x14ac:dyDescent="0.3">
      <c r="A27">
        <v>2013</v>
      </c>
      <c r="B27">
        <v>24547.980500000001</v>
      </c>
      <c r="C27">
        <v>45889.017302205197</v>
      </c>
      <c r="D27" s="8">
        <v>24.555240029492108</v>
      </c>
      <c r="E27" s="8">
        <v>28.095384991181611</v>
      </c>
      <c r="F27" s="8">
        <v>36304.695936491269</v>
      </c>
    </row>
    <row r="28" spans="1:50" x14ac:dyDescent="0.3">
      <c r="A28">
        <v>2014</v>
      </c>
      <c r="B28">
        <v>25691.527300000002</v>
      </c>
      <c r="C28">
        <v>47938.796821041811</v>
      </c>
      <c r="D28" s="8">
        <v>24.623878459907893</v>
      </c>
      <c r="E28" s="8">
        <v>29.907845236965535</v>
      </c>
      <c r="F28" s="8">
        <v>37327.194270676337</v>
      </c>
    </row>
    <row r="29" spans="1:50" x14ac:dyDescent="0.3">
      <c r="A29">
        <v>2015</v>
      </c>
      <c r="B29">
        <v>26806.044600000001</v>
      </c>
      <c r="C29">
        <v>48558.443297096906</v>
      </c>
      <c r="D29" s="8">
        <v>25.391992052211581</v>
      </c>
      <c r="E29" s="8">
        <v>31.244766047900235</v>
      </c>
      <c r="F29" s="8">
        <v>38512.786679792349</v>
      </c>
    </row>
    <row r="30" spans="1:50" x14ac:dyDescent="0.3">
      <c r="A30">
        <v>2016</v>
      </c>
      <c r="B30">
        <v>27941.926899999999</v>
      </c>
      <c r="C30">
        <v>51569.901684119774</v>
      </c>
      <c r="D30" s="8">
        <v>25.773196987236886</v>
      </c>
      <c r="E30" s="8">
        <v>29.954111212559585</v>
      </c>
      <c r="F30" s="8">
        <v>40844.42910762965</v>
      </c>
    </row>
    <row r="31" spans="1:50" x14ac:dyDescent="0.3">
      <c r="A31">
        <v>2017</v>
      </c>
      <c r="B31">
        <v>29496.163700000001</v>
      </c>
      <c r="C31">
        <v>54110.253664881529</v>
      </c>
      <c r="D31" s="8">
        <v>24.722459465857753</v>
      </c>
      <c r="E31" s="8">
        <v>29.713861756038362</v>
      </c>
      <c r="F31" s="8">
        <v>42966.669467181862</v>
      </c>
    </row>
    <row r="32" spans="1:50" x14ac:dyDescent="0.3">
      <c r="A32">
        <v>2018</v>
      </c>
      <c r="B32">
        <v>31908.863499999999</v>
      </c>
      <c r="C32">
        <v>56273.040562701543</v>
      </c>
      <c r="D32" s="8">
        <v>26.792689893514225</v>
      </c>
      <c r="E32" s="8">
        <v>31.059315168170158</v>
      </c>
      <c r="F32" s="8">
        <v>44965.82300080917</v>
      </c>
    </row>
    <row r="33" spans="1:6" x14ac:dyDescent="0.3">
      <c r="A33">
        <v>2019</v>
      </c>
      <c r="B33">
        <v>35152.6037</v>
      </c>
      <c r="C33">
        <v>59270.727649698478</v>
      </c>
      <c r="D33" s="8">
        <v>27.472151833407448</v>
      </c>
      <c r="E33" s="8">
        <v>30.701075196101403</v>
      </c>
      <c r="F33" s="8">
        <v>48546.644810899023</v>
      </c>
    </row>
    <row r="34" spans="1:6" x14ac:dyDescent="0.3">
      <c r="A34">
        <v>2020</v>
      </c>
      <c r="B34">
        <v>35029.913200000003</v>
      </c>
      <c r="C34">
        <v>58685.872699770873</v>
      </c>
      <c r="D34" s="8">
        <v>26.265179264648626</v>
      </c>
      <c r="E34" s="8">
        <v>29.166711563428265</v>
      </c>
      <c r="F34" s="8">
        <v>47486.259453767561</v>
      </c>
    </row>
    <row r="35" spans="1:6" x14ac:dyDescent="0.3">
      <c r="A35">
        <v>2021</v>
      </c>
      <c r="B35">
        <v>38324.181499999999</v>
      </c>
      <c r="C35">
        <v>62530.765319924118</v>
      </c>
      <c r="D35" s="8">
        <v>26.564326313034687</v>
      </c>
      <c r="E35" s="8">
        <v>30.832624022286975</v>
      </c>
      <c r="F35" s="8">
        <v>51932.293798797153</v>
      </c>
    </row>
    <row r="36" spans="1:6" x14ac:dyDescent="0.3">
      <c r="A36">
        <v>2022</v>
      </c>
      <c r="B36">
        <v>43701.912900000003</v>
      </c>
      <c r="C36">
        <v>67589.839905541696</v>
      </c>
      <c r="D36" s="8">
        <v>25.732125446895427</v>
      </c>
      <c r="E36" s="8">
        <v>29.533950473426433</v>
      </c>
      <c r="F36" s="8">
        <v>57502.553158093346</v>
      </c>
    </row>
    <row r="37" spans="1:6" x14ac:dyDescent="0.3">
      <c r="A37">
        <v>2023</v>
      </c>
      <c r="B37">
        <v>45021.300999999999</v>
      </c>
      <c r="C37">
        <v>69205.88307139356</v>
      </c>
      <c r="D37" s="8">
        <v>25.777702836241108</v>
      </c>
      <c r="E37" s="8">
        <v>30.457843895309161</v>
      </c>
      <c r="F37" s="8">
        <v>59044.973293745912</v>
      </c>
    </row>
    <row r="38" spans="1:6" x14ac:dyDescent="0.3">
      <c r="A38">
        <v>2024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8967-79AB-407D-9EE3-1BB11AB646B4}">
  <dimension ref="A1:N16"/>
  <sheetViews>
    <sheetView tabSelected="1" workbookViewId="0">
      <selection activeCell="N3" sqref="N3"/>
    </sheetView>
  </sheetViews>
  <sheetFormatPr defaultRowHeight="14.4" x14ac:dyDescent="0.3"/>
  <cols>
    <col min="2" max="2" width="34.33203125" customWidth="1"/>
  </cols>
  <sheetData>
    <row r="1" spans="1:14" x14ac:dyDescent="0.3">
      <c r="A1" t="s">
        <v>411</v>
      </c>
      <c r="D1" t="s">
        <v>409</v>
      </c>
      <c r="G1" t="s">
        <v>410</v>
      </c>
      <c r="K1" t="s">
        <v>412</v>
      </c>
      <c r="N1" t="s">
        <v>17021</v>
      </c>
    </row>
    <row r="2" spans="1:14" ht="15" thickBot="1" x14ac:dyDescent="0.35">
      <c r="N2" t="s">
        <v>17023</v>
      </c>
    </row>
    <row r="3" spans="1:14" x14ac:dyDescent="0.3">
      <c r="A3" s="1">
        <v>1990</v>
      </c>
      <c r="B3" s="2">
        <v>52400000000</v>
      </c>
      <c r="N3" t="s">
        <v>17022</v>
      </c>
    </row>
    <row r="4" spans="1:14" x14ac:dyDescent="0.3">
      <c r="A4" s="3">
        <v>1991</v>
      </c>
      <c r="B4" s="4">
        <v>62800000000</v>
      </c>
      <c r="E4">
        <v>768628466000</v>
      </c>
      <c r="K4">
        <f>B4/E4</f>
        <v>8.1703973737553462E-2</v>
      </c>
    </row>
    <row r="5" spans="1:14" x14ac:dyDescent="0.3">
      <c r="A5" s="3">
        <v>1992</v>
      </c>
      <c r="B5" s="4">
        <v>100200000000</v>
      </c>
      <c r="E5">
        <v>851291234000</v>
      </c>
      <c r="K5">
        <f t="shared" ref="K5:K16" si="0">B5/E5</f>
        <v>0.11770354961742741</v>
      </c>
    </row>
    <row r="6" spans="1:14" x14ac:dyDescent="0.3">
      <c r="A6" s="3">
        <v>1993</v>
      </c>
      <c r="B6" s="4">
        <v>128200000000</v>
      </c>
      <c r="E6">
        <v>1120277037000</v>
      </c>
      <c r="K6">
        <f t="shared" si="0"/>
        <v>0.11443597946389042</v>
      </c>
    </row>
    <row r="7" spans="1:14" x14ac:dyDescent="0.3">
      <c r="A7" s="3">
        <v>1994</v>
      </c>
      <c r="B7" s="4">
        <v>150500000000</v>
      </c>
      <c r="E7">
        <v>1409401974000</v>
      </c>
      <c r="K7">
        <f t="shared" si="0"/>
        <v>0.10678287867929437</v>
      </c>
    </row>
    <row r="8" spans="1:14" x14ac:dyDescent="0.3">
      <c r="A8" s="3">
        <v>1995</v>
      </c>
      <c r="B8" s="4">
        <v>249431000000</v>
      </c>
      <c r="E8">
        <v>2287681000000</v>
      </c>
      <c r="K8">
        <f t="shared" si="0"/>
        <v>0.10903224706591522</v>
      </c>
    </row>
    <row r="9" spans="1:14" x14ac:dyDescent="0.3">
      <c r="A9" s="3">
        <v>1996</v>
      </c>
      <c r="B9" s="4">
        <v>248709000000</v>
      </c>
      <c r="E9">
        <v>2949305000000</v>
      </c>
      <c r="K9">
        <f t="shared" si="0"/>
        <v>8.4328002698940932E-2</v>
      </c>
    </row>
    <row r="10" spans="1:14" x14ac:dyDescent="0.3">
      <c r="A10" s="3">
        <v>1997</v>
      </c>
      <c r="B10" s="4">
        <v>161300000000</v>
      </c>
      <c r="E10">
        <v>4147234000000</v>
      </c>
      <c r="K10">
        <f t="shared" si="0"/>
        <v>3.889339255995683E-2</v>
      </c>
    </row>
    <row r="11" spans="1:14" x14ac:dyDescent="0.3">
      <c r="A11" s="3">
        <v>1998</v>
      </c>
      <c r="B11" s="4">
        <v>131593000000</v>
      </c>
      <c r="E11">
        <v>5691306000000</v>
      </c>
      <c r="K11">
        <f t="shared" si="0"/>
        <v>2.3121757993683701E-2</v>
      </c>
    </row>
    <row r="12" spans="1:14" x14ac:dyDescent="0.3">
      <c r="A12" s="3">
        <v>1999</v>
      </c>
      <c r="B12" s="4">
        <v>141082000000</v>
      </c>
      <c r="E12">
        <v>6794246000000</v>
      </c>
      <c r="K12">
        <f t="shared" si="0"/>
        <v>2.0764923731051245E-2</v>
      </c>
    </row>
    <row r="13" spans="1:14" x14ac:dyDescent="0.3">
      <c r="A13" s="3">
        <v>2000</v>
      </c>
      <c r="B13" s="4">
        <v>137731000000</v>
      </c>
      <c r="E13">
        <v>9399947000000</v>
      </c>
      <c r="K13">
        <f t="shared" si="0"/>
        <v>1.4652316656679022E-2</v>
      </c>
    </row>
    <row r="14" spans="1:14" x14ac:dyDescent="0.3">
      <c r="A14" s="3">
        <v>2001</v>
      </c>
      <c r="B14" s="4">
        <v>125013000000</v>
      </c>
      <c r="E14">
        <v>10188973000000</v>
      </c>
      <c r="K14">
        <f t="shared" si="0"/>
        <v>1.2269440698292163E-2</v>
      </c>
    </row>
    <row r="15" spans="1:14" x14ac:dyDescent="0.3">
      <c r="A15" s="3">
        <v>2002</v>
      </c>
      <c r="B15" s="4">
        <v>129341000000</v>
      </c>
      <c r="E15">
        <v>10492243000000</v>
      </c>
      <c r="K15">
        <f t="shared" si="0"/>
        <v>1.2327297413908542E-2</v>
      </c>
    </row>
    <row r="16" spans="1:14" ht="15" thickBot="1" x14ac:dyDescent="0.35">
      <c r="A16" s="5">
        <v>2003</v>
      </c>
      <c r="B16" s="6">
        <v>132638000000</v>
      </c>
      <c r="E16">
        <v>11532525000000</v>
      </c>
      <c r="K16">
        <f t="shared" si="0"/>
        <v>1.1501210706241695E-2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D03D-FADF-4F62-8618-59E3D1471BEA}">
  <dimension ref="A1:H35"/>
  <sheetViews>
    <sheetView workbookViewId="0">
      <selection activeCell="H3" sqref="H3"/>
    </sheetView>
  </sheetViews>
  <sheetFormatPr defaultRowHeight="14.4" x14ac:dyDescent="0.3"/>
  <sheetData>
    <row r="1" spans="1:8" x14ac:dyDescent="0.3">
      <c r="B1" t="s">
        <v>424</v>
      </c>
      <c r="C1" t="s">
        <v>425</v>
      </c>
    </row>
    <row r="2" spans="1:8" x14ac:dyDescent="0.3">
      <c r="A2">
        <v>1991</v>
      </c>
      <c r="B2">
        <v>0.78990679979324296</v>
      </c>
      <c r="C2">
        <f>B2/$B$2</f>
        <v>1</v>
      </c>
      <c r="H2" t="s">
        <v>426</v>
      </c>
    </row>
    <row r="3" spans="1:8" x14ac:dyDescent="0.3">
      <c r="A3" s="7">
        <v>1992</v>
      </c>
      <c r="B3">
        <v>0.81926131248474099</v>
      </c>
      <c r="C3">
        <f t="shared" ref="C3:C19" si="0">B3/$B$2</f>
        <v>1.0371619951862441</v>
      </c>
    </row>
    <row r="4" spans="1:8" x14ac:dyDescent="0.3">
      <c r="A4">
        <v>1993</v>
      </c>
      <c r="B4">
        <v>0.84526824951171797</v>
      </c>
      <c r="C4">
        <f t="shared" si="0"/>
        <v>1.0700860528520146</v>
      </c>
    </row>
    <row r="5" spans="1:8" x14ac:dyDescent="0.3">
      <c r="A5">
        <v>1994</v>
      </c>
      <c r="B5">
        <v>0.84284204244613603</v>
      </c>
      <c r="C5">
        <f t="shared" si="0"/>
        <v>1.0670145423064452</v>
      </c>
    </row>
    <row r="6" spans="1:8" x14ac:dyDescent="0.3">
      <c r="A6">
        <v>1995</v>
      </c>
      <c r="B6">
        <v>0.85724908113479603</v>
      </c>
      <c r="C6">
        <f t="shared" si="0"/>
        <v>1.08525345187455</v>
      </c>
    </row>
    <row r="7" spans="1:8" x14ac:dyDescent="0.3">
      <c r="A7">
        <v>1996</v>
      </c>
      <c r="B7">
        <v>0.85105383396148604</v>
      </c>
      <c r="C7">
        <f t="shared" si="0"/>
        <v>1.0774104415663319</v>
      </c>
    </row>
    <row r="8" spans="1:8" x14ac:dyDescent="0.3">
      <c r="A8">
        <v>1997</v>
      </c>
      <c r="B8">
        <v>0.85897701978683405</v>
      </c>
      <c r="C8">
        <f t="shared" si="0"/>
        <v>1.0874409740638644</v>
      </c>
    </row>
    <row r="9" spans="1:8" x14ac:dyDescent="0.3">
      <c r="A9">
        <v>1998</v>
      </c>
      <c r="B9">
        <v>0.873951435089111</v>
      </c>
      <c r="C9">
        <f t="shared" si="0"/>
        <v>1.1063981666164497</v>
      </c>
    </row>
    <row r="10" spans="1:8" x14ac:dyDescent="0.3">
      <c r="A10">
        <v>1999</v>
      </c>
      <c r="B10">
        <v>0.86976104974746704</v>
      </c>
      <c r="C10">
        <f t="shared" si="0"/>
        <v>1.101093255527267</v>
      </c>
    </row>
    <row r="11" spans="1:8" x14ac:dyDescent="0.3">
      <c r="A11">
        <v>2000</v>
      </c>
      <c r="B11">
        <v>0.89250224828720004</v>
      </c>
      <c r="C11">
        <f t="shared" si="0"/>
        <v>1.1298829792588332</v>
      </c>
    </row>
    <row r="12" spans="1:8" x14ac:dyDescent="0.3">
      <c r="A12">
        <v>2001</v>
      </c>
      <c r="B12">
        <v>0.918304502964019</v>
      </c>
      <c r="C12">
        <f t="shared" si="0"/>
        <v>1.1625479147722035</v>
      </c>
    </row>
    <row r="13" spans="1:8" x14ac:dyDescent="0.3">
      <c r="A13">
        <v>2002</v>
      </c>
      <c r="B13">
        <v>0.94671416282653797</v>
      </c>
      <c r="C13">
        <f t="shared" si="0"/>
        <v>1.198513752602635</v>
      </c>
    </row>
    <row r="14" spans="1:8" x14ac:dyDescent="0.3">
      <c r="A14">
        <v>2003</v>
      </c>
      <c r="B14">
        <v>0.96270871162414495</v>
      </c>
      <c r="C14">
        <f t="shared" si="0"/>
        <v>1.2187624057371484</v>
      </c>
    </row>
    <row r="15" spans="1:8" x14ac:dyDescent="0.3">
      <c r="A15">
        <v>2004</v>
      </c>
      <c r="B15">
        <v>0.99390393495559604</v>
      </c>
      <c r="C15">
        <f t="shared" si="0"/>
        <v>1.2582546893073323</v>
      </c>
    </row>
    <row r="16" spans="1:8" x14ac:dyDescent="0.3">
      <c r="A16">
        <v>2005</v>
      </c>
      <c r="B16">
        <v>1.02811074256896</v>
      </c>
      <c r="C16">
        <f t="shared" si="0"/>
        <v>1.3015595546690655</v>
      </c>
    </row>
    <row r="17" spans="1:3" x14ac:dyDescent="0.3">
      <c r="A17">
        <v>2006</v>
      </c>
      <c r="B17">
        <v>1.0504620075225799</v>
      </c>
      <c r="C17">
        <f t="shared" si="0"/>
        <v>1.3298556333450187</v>
      </c>
    </row>
    <row r="18" spans="1:3" x14ac:dyDescent="0.3">
      <c r="A18">
        <v>2007</v>
      </c>
      <c r="B18">
        <v>1.04466211795806</v>
      </c>
      <c r="C18">
        <f t="shared" si="0"/>
        <v>1.3225131347539973</v>
      </c>
    </row>
    <row r="19" spans="1:3" x14ac:dyDescent="0.3">
      <c r="A19">
        <v>2008</v>
      </c>
      <c r="B19">
        <v>1.0457413196563701</v>
      </c>
      <c r="C19">
        <f t="shared" si="0"/>
        <v>1.3238793740351285</v>
      </c>
    </row>
    <row r="20" spans="1:3" x14ac:dyDescent="0.3">
      <c r="A20">
        <v>2009</v>
      </c>
      <c r="B20">
        <v>0.98531854152679399</v>
      </c>
    </row>
    <row r="21" spans="1:3" x14ac:dyDescent="0.3">
      <c r="A21">
        <v>2010</v>
      </c>
      <c r="B21">
        <v>0.98756134510040205</v>
      </c>
    </row>
    <row r="22" spans="1:3" x14ac:dyDescent="0.3">
      <c r="A22">
        <v>2011</v>
      </c>
      <c r="B22">
        <v>1.00247573852539</v>
      </c>
    </row>
    <row r="23" spans="1:3" x14ac:dyDescent="0.3">
      <c r="A23">
        <v>2012</v>
      </c>
      <c r="B23">
        <v>0.98101776838302601</v>
      </c>
    </row>
    <row r="24" spans="1:3" x14ac:dyDescent="0.3">
      <c r="A24">
        <v>2013</v>
      </c>
      <c r="B24">
        <v>0.98400229215621904</v>
      </c>
    </row>
    <row r="25" spans="1:3" x14ac:dyDescent="0.3">
      <c r="A25">
        <v>2014</v>
      </c>
      <c r="B25">
        <v>0.981997430324554</v>
      </c>
    </row>
    <row r="26" spans="1:3" x14ac:dyDescent="0.3">
      <c r="A26">
        <v>2015</v>
      </c>
      <c r="B26">
        <v>0.99385797977447499</v>
      </c>
    </row>
    <row r="27" spans="1:3" x14ac:dyDescent="0.3">
      <c r="A27">
        <v>2016</v>
      </c>
      <c r="B27">
        <v>0.980013787746429</v>
      </c>
    </row>
    <row r="28" spans="1:3" x14ac:dyDescent="0.3">
      <c r="A28">
        <v>2017</v>
      </c>
      <c r="B28">
        <v>1</v>
      </c>
    </row>
    <row r="29" spans="1:3" x14ac:dyDescent="0.3">
      <c r="A29">
        <v>2018</v>
      </c>
      <c r="B29">
        <v>1.0274680852889999</v>
      </c>
    </row>
    <row r="30" spans="1:3" x14ac:dyDescent="0.3">
      <c r="A30">
        <v>2019</v>
      </c>
      <c r="B30">
        <v>1.04317331314086</v>
      </c>
    </row>
    <row r="31" spans="1:3" x14ac:dyDescent="0.3">
      <c r="A31">
        <v>2020</v>
      </c>
    </row>
    <row r="32" spans="1:3" x14ac:dyDescent="0.3">
      <c r="A32">
        <v>2021</v>
      </c>
    </row>
    <row r="33" spans="1:1" x14ac:dyDescent="0.3">
      <c r="A33">
        <v>2022</v>
      </c>
    </row>
    <row r="34" spans="1:1" x14ac:dyDescent="0.3">
      <c r="A34">
        <v>2023</v>
      </c>
    </row>
    <row r="35" spans="1:1" x14ac:dyDescent="0.3">
      <c r="A35">
        <v>2024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4242-E2D2-4810-A64C-2A1740E78903}">
  <dimension ref="A1:F30"/>
  <sheetViews>
    <sheetView workbookViewId="0">
      <selection activeCell="P6" sqref="P6"/>
    </sheetView>
  </sheetViews>
  <sheetFormatPr defaultRowHeight="14.4" x14ac:dyDescent="0.3"/>
  <sheetData>
    <row r="1" spans="1:6" x14ac:dyDescent="0.3">
      <c r="B1" t="s">
        <v>430</v>
      </c>
      <c r="D1" t="s">
        <v>431</v>
      </c>
    </row>
    <row r="2" spans="1:6" x14ac:dyDescent="0.3">
      <c r="A2">
        <v>1991</v>
      </c>
      <c r="B2">
        <v>0.78990679979324296</v>
      </c>
      <c r="D2">
        <f>B2/$B$2</f>
        <v>1</v>
      </c>
      <c r="F2" t="s">
        <v>429</v>
      </c>
    </row>
    <row r="3" spans="1:6" x14ac:dyDescent="0.3">
      <c r="A3">
        <v>1992</v>
      </c>
      <c r="B3">
        <v>0.81926131248474099</v>
      </c>
      <c r="D3">
        <f>B3/$B$2</f>
        <v>1.0371619951862441</v>
      </c>
    </row>
    <row r="4" spans="1:6" x14ac:dyDescent="0.3">
      <c r="A4">
        <v>1993</v>
      </c>
      <c r="B4">
        <v>0.84526824951171797</v>
      </c>
      <c r="D4">
        <f t="shared" ref="D4:D30" si="0">B4/$B$2</f>
        <v>1.0700860528520146</v>
      </c>
    </row>
    <row r="5" spans="1:6" x14ac:dyDescent="0.3">
      <c r="A5">
        <v>1994</v>
      </c>
      <c r="B5">
        <v>0.84284204244613603</v>
      </c>
      <c r="D5">
        <f t="shared" si="0"/>
        <v>1.0670145423064452</v>
      </c>
    </row>
    <row r="6" spans="1:6" x14ac:dyDescent="0.3">
      <c r="A6">
        <v>1995</v>
      </c>
      <c r="B6">
        <v>0.85724908113479603</v>
      </c>
      <c r="D6">
        <f t="shared" si="0"/>
        <v>1.08525345187455</v>
      </c>
    </row>
    <row r="7" spans="1:6" x14ac:dyDescent="0.3">
      <c r="A7">
        <v>1996</v>
      </c>
      <c r="B7">
        <v>0.85105383396148604</v>
      </c>
      <c r="D7">
        <f t="shared" si="0"/>
        <v>1.0774104415663319</v>
      </c>
    </row>
    <row r="8" spans="1:6" x14ac:dyDescent="0.3">
      <c r="A8">
        <v>1997</v>
      </c>
      <c r="B8">
        <v>0.85897701978683405</v>
      </c>
      <c r="D8">
        <f t="shared" si="0"/>
        <v>1.0874409740638644</v>
      </c>
    </row>
    <row r="9" spans="1:6" x14ac:dyDescent="0.3">
      <c r="A9">
        <v>1998</v>
      </c>
      <c r="B9">
        <v>0.873951435089111</v>
      </c>
      <c r="D9">
        <f t="shared" si="0"/>
        <v>1.1063981666164497</v>
      </c>
    </row>
    <row r="10" spans="1:6" x14ac:dyDescent="0.3">
      <c r="A10">
        <v>1999</v>
      </c>
      <c r="B10">
        <v>0.86976104974746704</v>
      </c>
      <c r="D10">
        <f t="shared" si="0"/>
        <v>1.101093255527267</v>
      </c>
    </row>
    <row r="11" spans="1:6" x14ac:dyDescent="0.3">
      <c r="A11">
        <v>2000</v>
      </c>
      <c r="B11">
        <v>0.89250224828720004</v>
      </c>
      <c r="D11">
        <f t="shared" si="0"/>
        <v>1.1298829792588332</v>
      </c>
    </row>
    <row r="12" spans="1:6" x14ac:dyDescent="0.3">
      <c r="A12">
        <v>2001</v>
      </c>
      <c r="B12">
        <v>0.918304502964019</v>
      </c>
      <c r="D12" s="11">
        <f t="shared" si="0"/>
        <v>1.1625479147722035</v>
      </c>
    </row>
    <row r="13" spans="1:6" x14ac:dyDescent="0.3">
      <c r="A13">
        <v>2002</v>
      </c>
      <c r="B13">
        <v>0.94671416282653797</v>
      </c>
      <c r="D13">
        <f t="shared" si="0"/>
        <v>1.198513752602635</v>
      </c>
    </row>
    <row r="14" spans="1:6" x14ac:dyDescent="0.3">
      <c r="A14">
        <v>2003</v>
      </c>
      <c r="B14">
        <v>0.96270871162414495</v>
      </c>
      <c r="D14">
        <f t="shared" si="0"/>
        <v>1.2187624057371484</v>
      </c>
    </row>
    <row r="15" spans="1:6" x14ac:dyDescent="0.3">
      <c r="A15">
        <v>2004</v>
      </c>
      <c r="B15">
        <v>0.99390393495559604</v>
      </c>
      <c r="D15">
        <f t="shared" si="0"/>
        <v>1.2582546893073323</v>
      </c>
    </row>
    <row r="16" spans="1:6" x14ac:dyDescent="0.3">
      <c r="A16">
        <v>2005</v>
      </c>
      <c r="B16">
        <v>1.02811074256896</v>
      </c>
      <c r="D16">
        <f t="shared" si="0"/>
        <v>1.3015595546690655</v>
      </c>
    </row>
    <row r="17" spans="1:4" x14ac:dyDescent="0.3">
      <c r="A17">
        <v>2006</v>
      </c>
      <c r="B17">
        <v>1.0504620075225799</v>
      </c>
      <c r="D17">
        <f t="shared" si="0"/>
        <v>1.3298556333450187</v>
      </c>
    </row>
    <row r="18" spans="1:4" x14ac:dyDescent="0.3">
      <c r="A18">
        <v>2007</v>
      </c>
      <c r="B18">
        <v>1.04466211795806</v>
      </c>
      <c r="D18">
        <f t="shared" si="0"/>
        <v>1.3225131347539973</v>
      </c>
    </row>
    <row r="19" spans="1:4" x14ac:dyDescent="0.3">
      <c r="A19">
        <v>2008</v>
      </c>
      <c r="B19">
        <v>1.0457413196563701</v>
      </c>
      <c r="D19" s="11">
        <f t="shared" si="0"/>
        <v>1.3238793740351285</v>
      </c>
    </row>
    <row r="20" spans="1:4" x14ac:dyDescent="0.3">
      <c r="A20">
        <v>2009</v>
      </c>
      <c r="B20">
        <v>0.98531854152679399</v>
      </c>
      <c r="D20">
        <f t="shared" si="0"/>
        <v>1.2473858204343851</v>
      </c>
    </row>
    <row r="21" spans="1:4" x14ac:dyDescent="0.3">
      <c r="A21">
        <v>2010</v>
      </c>
      <c r="B21">
        <v>0.98756134510040205</v>
      </c>
      <c r="D21">
        <f t="shared" si="0"/>
        <v>1.2502251472691397</v>
      </c>
    </row>
    <row r="22" spans="1:4" x14ac:dyDescent="0.3">
      <c r="A22">
        <v>2011</v>
      </c>
      <c r="B22">
        <v>1.00247573852539</v>
      </c>
      <c r="D22">
        <f t="shared" si="0"/>
        <v>1.2691063537974183</v>
      </c>
    </row>
    <row r="23" spans="1:4" x14ac:dyDescent="0.3">
      <c r="A23">
        <v>2012</v>
      </c>
      <c r="B23">
        <v>0.98101776838302601</v>
      </c>
      <c r="D23">
        <f t="shared" si="0"/>
        <v>1.2419411614633602</v>
      </c>
    </row>
    <row r="24" spans="1:4" x14ac:dyDescent="0.3">
      <c r="A24">
        <v>2013</v>
      </c>
      <c r="B24">
        <v>0.98400229215621904</v>
      </c>
      <c r="D24">
        <f t="shared" si="0"/>
        <v>1.2457194854048355</v>
      </c>
    </row>
    <row r="25" spans="1:4" x14ac:dyDescent="0.3">
      <c r="A25">
        <v>2014</v>
      </c>
      <c r="B25">
        <v>0.981997430324554</v>
      </c>
      <c r="D25">
        <f t="shared" si="0"/>
        <v>1.2431813861858012</v>
      </c>
    </row>
    <row r="26" spans="1:4" x14ac:dyDescent="0.3">
      <c r="A26">
        <v>2015</v>
      </c>
      <c r="B26">
        <v>0.99385797977447499</v>
      </c>
      <c r="D26">
        <f t="shared" si="0"/>
        <v>1.2581965113284452</v>
      </c>
    </row>
    <row r="27" spans="1:4" x14ac:dyDescent="0.3">
      <c r="A27">
        <v>2016</v>
      </c>
      <c r="B27">
        <v>0.980013787746429</v>
      </c>
      <c r="D27">
        <f t="shared" si="0"/>
        <v>1.2406701499505337</v>
      </c>
    </row>
    <row r="28" spans="1:4" x14ac:dyDescent="0.3">
      <c r="A28">
        <v>2017</v>
      </c>
      <c r="B28">
        <v>1</v>
      </c>
      <c r="D28">
        <f t="shared" si="0"/>
        <v>1.2659721378037874</v>
      </c>
    </row>
    <row r="29" spans="1:4" x14ac:dyDescent="0.3">
      <c r="A29">
        <v>2018</v>
      </c>
      <c r="B29">
        <v>1.0274680852889999</v>
      </c>
      <c r="D29">
        <f t="shared" si="0"/>
        <v>1.3007459684584792</v>
      </c>
    </row>
    <row r="30" spans="1:4" x14ac:dyDescent="0.3">
      <c r="A30">
        <v>2019</v>
      </c>
      <c r="B30">
        <v>1.04317331314086</v>
      </c>
      <c r="D30">
        <f t="shared" si="0"/>
        <v>1.3206283493367943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7C5B-17F1-4C91-BE74-202A35258071}">
  <dimension ref="A1:K51"/>
  <sheetViews>
    <sheetView topLeftCell="A10" workbookViewId="0">
      <selection activeCell="C40" activeCellId="1" sqref="C33 C40"/>
    </sheetView>
  </sheetViews>
  <sheetFormatPr defaultRowHeight="14.4" x14ac:dyDescent="0.3"/>
  <sheetData>
    <row r="1" spans="1:11" x14ac:dyDescent="0.3">
      <c r="B1" t="s">
        <v>432</v>
      </c>
      <c r="C1" t="s">
        <v>434</v>
      </c>
    </row>
    <row r="2" spans="1:11" x14ac:dyDescent="0.3">
      <c r="A2">
        <v>1970</v>
      </c>
      <c r="B2" s="9">
        <v>264960.90625</v>
      </c>
      <c r="C2">
        <f>B2/$B$23</f>
        <v>0.36339812117738135</v>
      </c>
      <c r="K2" t="s">
        <v>433</v>
      </c>
    </row>
    <row r="3" spans="1:11" x14ac:dyDescent="0.3">
      <c r="A3">
        <v>1971</v>
      </c>
      <c r="B3" s="10">
        <v>292100.53125</v>
      </c>
      <c r="C3">
        <f t="shared" ref="C3:C51" si="0">B3/$B$23</f>
        <v>0.40062055098426419</v>
      </c>
    </row>
    <row r="4" spans="1:11" x14ac:dyDescent="0.3">
      <c r="A4">
        <v>1972</v>
      </c>
      <c r="B4" s="9">
        <v>316554.15625</v>
      </c>
      <c r="C4">
        <f t="shared" si="0"/>
        <v>0.43415908882649062</v>
      </c>
    </row>
    <row r="5" spans="1:11" x14ac:dyDescent="0.3">
      <c r="A5">
        <v>1973</v>
      </c>
      <c r="B5" s="10">
        <v>340340.59375</v>
      </c>
      <c r="C5">
        <f t="shared" si="0"/>
        <v>0.46678256834028475</v>
      </c>
    </row>
    <row r="6" spans="1:11" x14ac:dyDescent="0.3">
      <c r="A6">
        <v>1974</v>
      </c>
      <c r="B6" s="9">
        <v>366926.1875</v>
      </c>
      <c r="C6">
        <f t="shared" si="0"/>
        <v>0.50324513542563243</v>
      </c>
    </row>
    <row r="7" spans="1:11" x14ac:dyDescent="0.3">
      <c r="A7">
        <v>1975</v>
      </c>
      <c r="B7" s="10">
        <v>396781.625</v>
      </c>
      <c r="C7">
        <f t="shared" si="0"/>
        <v>0.54419234551779572</v>
      </c>
    </row>
    <row r="8" spans="1:11" x14ac:dyDescent="0.3">
      <c r="A8">
        <v>1976</v>
      </c>
      <c r="B8" s="9">
        <v>424577.03125</v>
      </c>
      <c r="C8">
        <f t="shared" si="0"/>
        <v>0.58231418979878402</v>
      </c>
    </row>
    <row r="9" spans="1:11" x14ac:dyDescent="0.3">
      <c r="A9">
        <v>1977</v>
      </c>
      <c r="B9" s="10">
        <v>456782.8125</v>
      </c>
      <c r="C9">
        <f t="shared" si="0"/>
        <v>0.62648493393964622</v>
      </c>
    </row>
    <row r="10" spans="1:11" x14ac:dyDescent="0.3">
      <c r="A10">
        <v>1978</v>
      </c>
      <c r="B10" s="9">
        <v>489812.9375</v>
      </c>
      <c r="C10">
        <f t="shared" si="0"/>
        <v>0.67178627871965213</v>
      </c>
    </row>
    <row r="11" spans="1:11" x14ac:dyDescent="0.3">
      <c r="A11">
        <v>1979</v>
      </c>
      <c r="B11" s="10">
        <v>521105.78125</v>
      </c>
      <c r="C11">
        <f t="shared" si="0"/>
        <v>0.71470491447611995</v>
      </c>
    </row>
    <row r="12" spans="1:11" x14ac:dyDescent="0.3">
      <c r="A12">
        <v>1980</v>
      </c>
      <c r="B12" s="9">
        <v>547018.125</v>
      </c>
      <c r="C12">
        <f t="shared" si="0"/>
        <v>0.75024410841731082</v>
      </c>
    </row>
    <row r="13" spans="1:11" x14ac:dyDescent="0.3">
      <c r="A13">
        <v>1981</v>
      </c>
      <c r="B13" s="10">
        <v>569271.125</v>
      </c>
      <c r="C13">
        <f t="shared" si="0"/>
        <v>0.78076445387133109</v>
      </c>
    </row>
    <row r="14" spans="1:11" x14ac:dyDescent="0.3">
      <c r="A14">
        <v>1982</v>
      </c>
      <c r="B14" s="9">
        <v>589707.9375</v>
      </c>
      <c r="C14">
        <f t="shared" si="0"/>
        <v>0.80879386911777151</v>
      </c>
    </row>
    <row r="15" spans="1:11" x14ac:dyDescent="0.3">
      <c r="A15">
        <v>1983</v>
      </c>
      <c r="B15" s="10">
        <v>607668</v>
      </c>
      <c r="C15">
        <f t="shared" si="0"/>
        <v>0.83342638212167186</v>
      </c>
    </row>
    <row r="16" spans="1:11" x14ac:dyDescent="0.3">
      <c r="A16">
        <v>1984</v>
      </c>
      <c r="B16" s="9">
        <v>623267.25</v>
      </c>
      <c r="C16">
        <f t="shared" si="0"/>
        <v>0.85482100301879238</v>
      </c>
    </row>
    <row r="17" spans="1:3" x14ac:dyDescent="0.3">
      <c r="A17">
        <v>1985</v>
      </c>
      <c r="B17" s="10">
        <v>637034.5625</v>
      </c>
      <c r="C17">
        <f t="shared" si="0"/>
        <v>0.87370309233139976</v>
      </c>
    </row>
    <row r="18" spans="1:3" x14ac:dyDescent="0.3">
      <c r="A18">
        <v>1986</v>
      </c>
      <c r="B18" s="9">
        <v>653709.1875</v>
      </c>
      <c r="C18">
        <f t="shared" si="0"/>
        <v>0.89657260724247878</v>
      </c>
    </row>
    <row r="19" spans="1:3" x14ac:dyDescent="0.3">
      <c r="A19">
        <v>1987</v>
      </c>
      <c r="B19" s="10">
        <v>674761</v>
      </c>
      <c r="C19">
        <f t="shared" si="0"/>
        <v>0.92544550482632193</v>
      </c>
    </row>
    <row r="20" spans="1:3" x14ac:dyDescent="0.3">
      <c r="A20">
        <v>1988</v>
      </c>
      <c r="B20" s="9">
        <v>689670.8125</v>
      </c>
      <c r="C20">
        <f t="shared" si="0"/>
        <v>0.94589455116410426</v>
      </c>
    </row>
    <row r="21" spans="1:3" x14ac:dyDescent="0.3">
      <c r="A21">
        <v>1989</v>
      </c>
      <c r="B21" s="10">
        <v>707708.125</v>
      </c>
      <c r="C21">
        <f t="shared" si="0"/>
        <v>0.97063301377867828</v>
      </c>
    </row>
    <row r="22" spans="1:3" x14ac:dyDescent="0.3">
      <c r="A22">
        <v>1990</v>
      </c>
      <c r="B22" s="9">
        <v>721124.8125</v>
      </c>
      <c r="C22">
        <f t="shared" si="0"/>
        <v>0.98903421529526636</v>
      </c>
    </row>
    <row r="23" spans="1:3" x14ac:dyDescent="0.3">
      <c r="A23">
        <v>1991</v>
      </c>
      <c r="B23" s="10">
        <v>729120.1875</v>
      </c>
      <c r="C23">
        <f t="shared" si="0"/>
        <v>1</v>
      </c>
    </row>
    <row r="24" spans="1:3" x14ac:dyDescent="0.3">
      <c r="A24">
        <v>1992</v>
      </c>
      <c r="B24" s="9">
        <v>736162.9375</v>
      </c>
      <c r="C24">
        <f t="shared" si="0"/>
        <v>1.0096592442792567</v>
      </c>
    </row>
    <row r="25" spans="1:3" x14ac:dyDescent="0.3">
      <c r="A25">
        <v>1993</v>
      </c>
      <c r="B25" s="10">
        <v>744216.625</v>
      </c>
      <c r="C25">
        <f t="shared" si="0"/>
        <v>1.020705005510494</v>
      </c>
    </row>
    <row r="26" spans="1:3" x14ac:dyDescent="0.3">
      <c r="A26">
        <v>1994</v>
      </c>
      <c r="B26" s="9">
        <v>757965.1875</v>
      </c>
      <c r="C26">
        <f t="shared" si="0"/>
        <v>1.0395613788981806</v>
      </c>
    </row>
    <row r="27" spans="1:3" x14ac:dyDescent="0.3">
      <c r="A27">
        <v>1995</v>
      </c>
      <c r="B27" s="10">
        <v>769423.5625</v>
      </c>
      <c r="C27">
        <f t="shared" si="0"/>
        <v>1.0552767234962892</v>
      </c>
    </row>
    <row r="28" spans="1:3" x14ac:dyDescent="0.3">
      <c r="A28">
        <v>1996</v>
      </c>
      <c r="B28" s="9">
        <v>783186.25</v>
      </c>
      <c r="C28">
        <f t="shared" si="0"/>
        <v>1.0741524695474161</v>
      </c>
    </row>
    <row r="29" spans="1:3" x14ac:dyDescent="0.3">
      <c r="A29">
        <v>1997</v>
      </c>
      <c r="B29" s="10">
        <v>800606.125</v>
      </c>
      <c r="C29">
        <f t="shared" si="0"/>
        <v>1.0980441067543476</v>
      </c>
    </row>
    <row r="30" spans="1:3" x14ac:dyDescent="0.3">
      <c r="A30">
        <v>1998</v>
      </c>
      <c r="B30" s="9">
        <v>823297.8125</v>
      </c>
      <c r="C30">
        <f t="shared" si="0"/>
        <v>1.1291661191317652</v>
      </c>
    </row>
    <row r="31" spans="1:3" x14ac:dyDescent="0.3">
      <c r="A31">
        <v>1999</v>
      </c>
      <c r="B31" s="10">
        <v>848713.3125</v>
      </c>
      <c r="C31">
        <f t="shared" si="0"/>
        <v>1.1640238839224295</v>
      </c>
    </row>
    <row r="32" spans="1:3" x14ac:dyDescent="0.3">
      <c r="A32">
        <v>2000</v>
      </c>
      <c r="B32" s="9">
        <v>876055.1875</v>
      </c>
      <c r="C32">
        <f t="shared" si="0"/>
        <v>1.2015237028394581</v>
      </c>
    </row>
    <row r="33" spans="1:3" x14ac:dyDescent="0.3">
      <c r="A33">
        <v>2001</v>
      </c>
      <c r="B33" s="10">
        <v>902917.625</v>
      </c>
      <c r="C33" s="11">
        <f t="shared" si="0"/>
        <v>1.2383659655562615</v>
      </c>
    </row>
    <row r="34" spans="1:3" x14ac:dyDescent="0.3">
      <c r="A34">
        <v>2002</v>
      </c>
      <c r="B34" s="9">
        <v>932681.6875</v>
      </c>
      <c r="C34">
        <f t="shared" si="0"/>
        <v>1.2791878533743108</v>
      </c>
    </row>
    <row r="35" spans="1:3" x14ac:dyDescent="0.3">
      <c r="A35">
        <v>2003</v>
      </c>
      <c r="B35" s="10">
        <v>961146.1875</v>
      </c>
      <c r="C35">
        <f t="shared" si="0"/>
        <v>1.3182273704360983</v>
      </c>
    </row>
    <row r="36" spans="1:3" x14ac:dyDescent="0.3">
      <c r="A36">
        <v>2004</v>
      </c>
      <c r="B36" s="9">
        <v>993342.3125</v>
      </c>
      <c r="C36">
        <f t="shared" si="0"/>
        <v>1.3623848708756263</v>
      </c>
    </row>
    <row r="37" spans="1:3" x14ac:dyDescent="0.3">
      <c r="A37">
        <v>2005</v>
      </c>
      <c r="B37" s="10">
        <v>1026284.125</v>
      </c>
      <c r="C37">
        <f t="shared" si="0"/>
        <v>1.4075650936492552</v>
      </c>
    </row>
    <row r="38" spans="1:3" x14ac:dyDescent="0.3">
      <c r="A38">
        <v>2006</v>
      </c>
      <c r="B38" s="9">
        <v>1057875.875</v>
      </c>
      <c r="C38">
        <f t="shared" si="0"/>
        <v>1.4508936841088356</v>
      </c>
    </row>
    <row r="39" spans="1:3" x14ac:dyDescent="0.3">
      <c r="A39">
        <v>2007</v>
      </c>
      <c r="B39" s="10">
        <v>1090315.625</v>
      </c>
      <c r="C39">
        <f t="shared" si="0"/>
        <v>1.4953853201328347</v>
      </c>
    </row>
    <row r="40" spans="1:3" x14ac:dyDescent="0.3">
      <c r="A40">
        <v>2008</v>
      </c>
      <c r="B40" s="9">
        <v>1120921.625</v>
      </c>
      <c r="C40" s="11">
        <f t="shared" si="0"/>
        <v>1.5373619386995783</v>
      </c>
    </row>
    <row r="41" spans="1:3" x14ac:dyDescent="0.3">
      <c r="A41">
        <v>2009</v>
      </c>
      <c r="B41" s="10">
        <v>1142813.875</v>
      </c>
      <c r="C41">
        <f t="shared" si="0"/>
        <v>1.567387509758122</v>
      </c>
    </row>
    <row r="42" spans="1:3" x14ac:dyDescent="0.3">
      <c r="A42">
        <v>2010</v>
      </c>
      <c r="B42" s="9">
        <v>1156943.375</v>
      </c>
      <c r="C42">
        <f t="shared" si="0"/>
        <v>1.5867663450204497</v>
      </c>
    </row>
    <row r="43" spans="1:3" x14ac:dyDescent="0.3">
      <c r="A43">
        <v>2011</v>
      </c>
      <c r="B43" s="10">
        <v>1169552.125</v>
      </c>
      <c r="C43">
        <f t="shared" si="0"/>
        <v>1.6040594473321999</v>
      </c>
    </row>
    <row r="44" spans="1:3" x14ac:dyDescent="0.3">
      <c r="A44">
        <v>2012</v>
      </c>
      <c r="B44" s="9">
        <v>1179745.625</v>
      </c>
      <c r="C44">
        <f t="shared" si="0"/>
        <v>1.6180399956351503</v>
      </c>
    </row>
    <row r="45" spans="1:3" x14ac:dyDescent="0.3">
      <c r="A45">
        <v>2013</v>
      </c>
      <c r="B45" s="10">
        <v>1195436</v>
      </c>
      <c r="C45">
        <f t="shared" si="0"/>
        <v>1.6395595959273861</v>
      </c>
    </row>
    <row r="46" spans="1:3" x14ac:dyDescent="0.3">
      <c r="A46">
        <v>2014</v>
      </c>
      <c r="B46" s="9">
        <v>1218304.25</v>
      </c>
      <c r="C46">
        <f t="shared" si="0"/>
        <v>1.6709237665978081</v>
      </c>
    </row>
    <row r="47" spans="1:3" x14ac:dyDescent="0.3">
      <c r="A47">
        <v>2015</v>
      </c>
      <c r="B47" s="10">
        <v>1243318.75</v>
      </c>
      <c r="C47">
        <f t="shared" si="0"/>
        <v>1.7052315534741658</v>
      </c>
    </row>
    <row r="48" spans="1:3" x14ac:dyDescent="0.3">
      <c r="A48">
        <v>2016</v>
      </c>
      <c r="B48" s="9">
        <v>1257656.75</v>
      </c>
      <c r="C48">
        <f t="shared" si="0"/>
        <v>1.724896349821613</v>
      </c>
    </row>
    <row r="49" spans="1:3" x14ac:dyDescent="0.3">
      <c r="A49">
        <v>2017</v>
      </c>
      <c r="B49" s="10">
        <v>1284190.25</v>
      </c>
      <c r="C49">
        <f t="shared" si="0"/>
        <v>1.7612874694955556</v>
      </c>
    </row>
    <row r="50" spans="1:3" x14ac:dyDescent="0.3">
      <c r="A50">
        <v>2018</v>
      </c>
      <c r="B50" s="9">
        <v>1321652.875</v>
      </c>
      <c r="C50">
        <f t="shared" si="0"/>
        <v>1.8126680589268418</v>
      </c>
    </row>
    <row r="51" spans="1:3" x14ac:dyDescent="0.3">
      <c r="A51">
        <v>2019</v>
      </c>
      <c r="B51" s="10">
        <v>1367535.75</v>
      </c>
      <c r="C51">
        <f t="shared" si="0"/>
        <v>1.8755971559215674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3D014-5F9C-4D61-9D03-C7106A0EC5E7}">
  <dimension ref="A1:BR272"/>
  <sheetViews>
    <sheetView topLeftCell="BC71" workbookViewId="0">
      <selection activeCell="AG88" sqref="AG88:BR88"/>
    </sheetView>
  </sheetViews>
  <sheetFormatPr defaultRowHeight="14.4" x14ac:dyDescent="0.3"/>
  <cols>
    <col min="1" max="1" width="49.109375" bestFit="1" customWidth="1"/>
    <col min="2" max="2" width="28.6640625" bestFit="1" customWidth="1"/>
    <col min="3" max="3" width="23.33203125" bestFit="1" customWidth="1"/>
    <col min="4" max="4" width="14" bestFit="1" customWidth="1"/>
    <col min="5" max="7" width="16.6640625" bestFit="1" customWidth="1"/>
    <col min="8" max="8" width="11.109375" bestFit="1" customWidth="1"/>
    <col min="9" max="10" width="16.6640625" bestFit="1" customWidth="1"/>
    <col min="11" max="11" width="12.109375" bestFit="1" customWidth="1"/>
    <col min="12" max="53" width="16.6640625" bestFit="1" customWidth="1"/>
    <col min="54" max="54" width="17.88671875" bestFit="1" customWidth="1"/>
    <col min="55" max="69" width="16.6640625" bestFit="1" customWidth="1"/>
    <col min="70" max="70" width="12.109375" bestFit="1" customWidth="1"/>
  </cols>
  <sheetData>
    <row r="1" spans="1:70" x14ac:dyDescent="0.3">
      <c r="A1" t="s">
        <v>387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  <c r="H1" t="s">
        <v>441</v>
      </c>
      <c r="I1" t="s">
        <v>442</v>
      </c>
      <c r="J1" t="s">
        <v>443</v>
      </c>
      <c r="K1" t="s">
        <v>444</v>
      </c>
      <c r="L1" t="s">
        <v>445</v>
      </c>
      <c r="M1" t="s">
        <v>446</v>
      </c>
      <c r="N1" t="s">
        <v>447</v>
      </c>
      <c r="O1" t="s">
        <v>448</v>
      </c>
      <c r="P1" t="s">
        <v>449</v>
      </c>
      <c r="Q1" t="s">
        <v>450</v>
      </c>
      <c r="R1" t="s">
        <v>451</v>
      </c>
      <c r="S1" t="s">
        <v>452</v>
      </c>
      <c r="T1" t="s">
        <v>453</v>
      </c>
      <c r="U1" t="s">
        <v>454</v>
      </c>
      <c r="V1" t="s">
        <v>455</v>
      </c>
      <c r="W1" t="s">
        <v>456</v>
      </c>
      <c r="X1" t="s">
        <v>457</v>
      </c>
      <c r="Y1" t="s">
        <v>458</v>
      </c>
      <c r="Z1" t="s">
        <v>459</v>
      </c>
      <c r="AA1" t="s">
        <v>460</v>
      </c>
      <c r="AB1" t="s">
        <v>461</v>
      </c>
      <c r="AC1" t="s">
        <v>462</v>
      </c>
      <c r="AD1" t="s">
        <v>463</v>
      </c>
      <c r="AE1" t="s">
        <v>464</v>
      </c>
      <c r="AF1" t="s">
        <v>465</v>
      </c>
      <c r="AG1" t="s">
        <v>466</v>
      </c>
      <c r="AH1" t="s">
        <v>467</v>
      </c>
      <c r="AI1" t="s">
        <v>468</v>
      </c>
      <c r="AJ1" t="s">
        <v>469</v>
      </c>
      <c r="AK1" t="s">
        <v>470</v>
      </c>
      <c r="AL1" t="s">
        <v>471</v>
      </c>
      <c r="AM1" t="s">
        <v>472</v>
      </c>
      <c r="AN1" t="s">
        <v>473</v>
      </c>
      <c r="AO1" t="s">
        <v>474</v>
      </c>
      <c r="AP1" t="s">
        <v>475</v>
      </c>
      <c r="AQ1" t="s">
        <v>476</v>
      </c>
      <c r="AR1" t="s">
        <v>477</v>
      </c>
      <c r="AS1" t="s">
        <v>478</v>
      </c>
      <c r="AT1" t="s">
        <v>479</v>
      </c>
      <c r="AU1" t="s">
        <v>480</v>
      </c>
      <c r="AV1" t="s">
        <v>481</v>
      </c>
      <c r="AW1" t="s">
        <v>482</v>
      </c>
      <c r="AX1" t="s">
        <v>483</v>
      </c>
      <c r="AY1" t="s">
        <v>484</v>
      </c>
      <c r="AZ1" t="s">
        <v>485</v>
      </c>
      <c r="BA1" t="s">
        <v>486</v>
      </c>
      <c r="BB1" t="s">
        <v>487</v>
      </c>
      <c r="BC1" t="s">
        <v>488</v>
      </c>
      <c r="BD1" t="s">
        <v>489</v>
      </c>
      <c r="BE1" t="s">
        <v>490</v>
      </c>
      <c r="BF1" t="s">
        <v>491</v>
      </c>
      <c r="BG1" t="s">
        <v>492</v>
      </c>
      <c r="BH1" t="s">
        <v>493</v>
      </c>
      <c r="BI1" t="s">
        <v>494</v>
      </c>
      <c r="BJ1" t="s">
        <v>495</v>
      </c>
      <c r="BK1" t="s">
        <v>496</v>
      </c>
      <c r="BL1" t="s">
        <v>497</v>
      </c>
      <c r="BM1" t="s">
        <v>498</v>
      </c>
      <c r="BN1" t="s">
        <v>499</v>
      </c>
      <c r="BO1" t="s">
        <v>500</v>
      </c>
      <c r="BP1" t="s">
        <v>501</v>
      </c>
      <c r="BQ1" t="s">
        <v>502</v>
      </c>
      <c r="BR1" t="s">
        <v>503</v>
      </c>
    </row>
    <row r="2" spans="1:70" x14ac:dyDescent="0.3">
      <c r="A2" t="s">
        <v>504</v>
      </c>
      <c r="B2" t="s">
        <v>505</v>
      </c>
      <c r="C2" t="s">
        <v>274</v>
      </c>
      <c r="D2" t="s">
        <v>274</v>
      </c>
      <c r="E2" t="s">
        <v>274</v>
      </c>
      <c r="F2" t="s">
        <v>274</v>
      </c>
      <c r="G2" t="s">
        <v>274</v>
      </c>
      <c r="H2" t="s">
        <v>274</v>
      </c>
      <c r="I2" t="s">
        <v>274</v>
      </c>
      <c r="J2" t="s">
        <v>274</v>
      </c>
      <c r="K2" t="s">
        <v>274</v>
      </c>
      <c r="L2" t="s">
        <v>274</v>
      </c>
      <c r="M2" t="s">
        <v>274</v>
      </c>
      <c r="N2" t="s">
        <v>274</v>
      </c>
      <c r="O2" t="s">
        <v>274</v>
      </c>
      <c r="P2" t="s">
        <v>274</v>
      </c>
      <c r="Q2" t="s">
        <v>274</v>
      </c>
      <c r="R2" t="s">
        <v>274</v>
      </c>
      <c r="S2" t="s">
        <v>274</v>
      </c>
      <c r="T2" t="s">
        <v>274</v>
      </c>
      <c r="U2" t="s">
        <v>274</v>
      </c>
      <c r="V2" t="s">
        <v>274</v>
      </c>
      <c r="W2" t="s">
        <v>274</v>
      </c>
      <c r="X2" t="s">
        <v>274</v>
      </c>
      <c r="Y2" t="s">
        <v>274</v>
      </c>
      <c r="Z2" t="s">
        <v>274</v>
      </c>
      <c r="AA2" t="s">
        <v>274</v>
      </c>
      <c r="AB2" t="s">
        <v>274</v>
      </c>
      <c r="AC2" t="s">
        <v>274</v>
      </c>
      <c r="AD2" t="s">
        <v>274</v>
      </c>
      <c r="AE2" t="s">
        <v>274</v>
      </c>
      <c r="AF2" t="s">
        <v>274</v>
      </c>
      <c r="AG2" t="s">
        <v>274</v>
      </c>
      <c r="AH2" t="s">
        <v>274</v>
      </c>
      <c r="AI2" t="s">
        <v>274</v>
      </c>
      <c r="AJ2" t="s">
        <v>274</v>
      </c>
      <c r="AK2" t="s">
        <v>274</v>
      </c>
      <c r="AL2" t="s">
        <v>274</v>
      </c>
      <c r="AM2" t="s">
        <v>274</v>
      </c>
      <c r="AN2" t="s">
        <v>274</v>
      </c>
      <c r="AO2" t="s">
        <v>274</v>
      </c>
      <c r="AP2" t="s">
        <v>274</v>
      </c>
      <c r="AQ2" t="s">
        <v>274</v>
      </c>
      <c r="AR2" t="s">
        <v>274</v>
      </c>
      <c r="AS2" t="s">
        <v>274</v>
      </c>
      <c r="AT2" t="s">
        <v>274</v>
      </c>
      <c r="AU2" t="s">
        <v>274</v>
      </c>
      <c r="AV2" t="s">
        <v>274</v>
      </c>
      <c r="AW2" t="s">
        <v>274</v>
      </c>
      <c r="AX2" t="s">
        <v>274</v>
      </c>
      <c r="AY2" t="s">
        <v>274</v>
      </c>
      <c r="AZ2" t="s">
        <v>274</v>
      </c>
      <c r="BA2" t="s">
        <v>274</v>
      </c>
      <c r="BB2" t="s">
        <v>274</v>
      </c>
      <c r="BC2" t="s">
        <v>274</v>
      </c>
      <c r="BD2" t="s">
        <v>274</v>
      </c>
      <c r="BE2" t="s">
        <v>274</v>
      </c>
      <c r="BF2" t="s">
        <v>274</v>
      </c>
      <c r="BG2" t="s">
        <v>274</v>
      </c>
      <c r="BH2" t="s">
        <v>274</v>
      </c>
      <c r="BI2" t="s">
        <v>274</v>
      </c>
      <c r="BJ2" t="s">
        <v>274</v>
      </c>
      <c r="BK2" t="s">
        <v>274</v>
      </c>
      <c r="BL2" t="s">
        <v>274</v>
      </c>
      <c r="BM2" t="s">
        <v>274</v>
      </c>
      <c r="BN2" t="s">
        <v>274</v>
      </c>
      <c r="BO2" t="s">
        <v>274</v>
      </c>
      <c r="BP2" t="s">
        <v>274</v>
      </c>
      <c r="BQ2" t="s">
        <v>274</v>
      </c>
      <c r="BR2" t="s">
        <v>274</v>
      </c>
    </row>
    <row r="3" spans="1:70" x14ac:dyDescent="0.3">
      <c r="A3" t="s">
        <v>274</v>
      </c>
      <c r="B3" t="s">
        <v>274</v>
      </c>
      <c r="C3" t="s">
        <v>274</v>
      </c>
      <c r="D3" t="s">
        <v>274</v>
      </c>
      <c r="E3" t="s">
        <v>274</v>
      </c>
      <c r="F3" t="s">
        <v>274</v>
      </c>
      <c r="G3" t="s">
        <v>274</v>
      </c>
      <c r="H3" t="s">
        <v>274</v>
      </c>
      <c r="I3" t="s">
        <v>274</v>
      </c>
      <c r="J3" t="s">
        <v>274</v>
      </c>
      <c r="K3" t="s">
        <v>274</v>
      </c>
      <c r="L3" t="s">
        <v>274</v>
      </c>
      <c r="M3" t="s">
        <v>274</v>
      </c>
      <c r="N3" t="s">
        <v>274</v>
      </c>
      <c r="O3" t="s">
        <v>274</v>
      </c>
      <c r="P3" t="s">
        <v>274</v>
      </c>
      <c r="Q3" t="s">
        <v>274</v>
      </c>
      <c r="R3" t="s">
        <v>274</v>
      </c>
      <c r="S3" t="s">
        <v>274</v>
      </c>
      <c r="T3" t="s">
        <v>274</v>
      </c>
      <c r="U3" t="s">
        <v>274</v>
      </c>
      <c r="V3" t="s">
        <v>274</v>
      </c>
      <c r="W3" t="s">
        <v>274</v>
      </c>
      <c r="X3" t="s">
        <v>274</v>
      </c>
      <c r="Y3" t="s">
        <v>274</v>
      </c>
      <c r="Z3" t="s">
        <v>274</v>
      </c>
      <c r="AA3" t="s">
        <v>274</v>
      </c>
      <c r="AB3" t="s">
        <v>274</v>
      </c>
      <c r="AC3" t="s">
        <v>274</v>
      </c>
      <c r="AD3" t="s">
        <v>274</v>
      </c>
      <c r="AE3" t="s">
        <v>274</v>
      </c>
      <c r="AF3" t="s">
        <v>274</v>
      </c>
      <c r="AG3" t="s">
        <v>274</v>
      </c>
      <c r="AH3" t="s">
        <v>274</v>
      </c>
      <c r="AI3" t="s">
        <v>274</v>
      </c>
      <c r="AJ3" t="s">
        <v>274</v>
      </c>
      <c r="AK3" t="s">
        <v>274</v>
      </c>
      <c r="AL3" t="s">
        <v>274</v>
      </c>
      <c r="AM3" t="s">
        <v>274</v>
      </c>
      <c r="AN3" t="s">
        <v>274</v>
      </c>
      <c r="AO3" t="s">
        <v>274</v>
      </c>
      <c r="AP3" t="s">
        <v>274</v>
      </c>
      <c r="AQ3" t="s">
        <v>274</v>
      </c>
      <c r="AR3" t="s">
        <v>274</v>
      </c>
      <c r="AS3" t="s">
        <v>274</v>
      </c>
      <c r="AT3" t="s">
        <v>274</v>
      </c>
      <c r="AU3" t="s">
        <v>274</v>
      </c>
      <c r="AV3" t="s">
        <v>274</v>
      </c>
      <c r="AW3" t="s">
        <v>274</v>
      </c>
      <c r="AX3" t="s">
        <v>274</v>
      </c>
      <c r="AY3" t="s">
        <v>274</v>
      </c>
      <c r="AZ3" t="s">
        <v>274</v>
      </c>
      <c r="BA3" t="s">
        <v>274</v>
      </c>
      <c r="BB3" t="s">
        <v>274</v>
      </c>
      <c r="BC3" t="s">
        <v>274</v>
      </c>
      <c r="BD3" t="s">
        <v>274</v>
      </c>
      <c r="BE3" t="s">
        <v>274</v>
      </c>
      <c r="BF3" t="s">
        <v>274</v>
      </c>
      <c r="BG3" t="s">
        <v>274</v>
      </c>
      <c r="BH3" t="s">
        <v>274</v>
      </c>
      <c r="BI3" t="s">
        <v>274</v>
      </c>
      <c r="BJ3" t="s">
        <v>274</v>
      </c>
      <c r="BK3" t="s">
        <v>274</v>
      </c>
      <c r="BL3" t="s">
        <v>274</v>
      </c>
      <c r="BM3" t="s">
        <v>274</v>
      </c>
      <c r="BN3" t="s">
        <v>274</v>
      </c>
      <c r="BO3" t="s">
        <v>274</v>
      </c>
      <c r="BP3" t="s">
        <v>274</v>
      </c>
      <c r="BQ3" t="s">
        <v>274</v>
      </c>
      <c r="BR3" t="s">
        <v>274</v>
      </c>
    </row>
    <row r="4" spans="1:70" x14ac:dyDescent="0.3">
      <c r="A4" t="s">
        <v>506</v>
      </c>
      <c r="B4" t="s">
        <v>507</v>
      </c>
      <c r="C4" t="s">
        <v>274</v>
      </c>
      <c r="D4" t="s">
        <v>274</v>
      </c>
      <c r="E4" t="s">
        <v>274</v>
      </c>
      <c r="F4" t="s">
        <v>274</v>
      </c>
      <c r="G4" t="s">
        <v>274</v>
      </c>
      <c r="H4" t="s">
        <v>274</v>
      </c>
      <c r="I4" t="s">
        <v>274</v>
      </c>
      <c r="J4" t="s">
        <v>274</v>
      </c>
      <c r="K4" t="s">
        <v>274</v>
      </c>
      <c r="L4" t="s">
        <v>274</v>
      </c>
      <c r="M4" t="s">
        <v>274</v>
      </c>
      <c r="N4" t="s">
        <v>274</v>
      </c>
      <c r="O4" t="s">
        <v>274</v>
      </c>
      <c r="P4" t="s">
        <v>274</v>
      </c>
      <c r="Q4" t="s">
        <v>274</v>
      </c>
      <c r="R4" t="s">
        <v>274</v>
      </c>
      <c r="S4" t="s">
        <v>274</v>
      </c>
      <c r="T4" t="s">
        <v>274</v>
      </c>
      <c r="U4" t="s">
        <v>274</v>
      </c>
      <c r="V4" t="s">
        <v>274</v>
      </c>
      <c r="W4" t="s">
        <v>274</v>
      </c>
      <c r="X4" t="s">
        <v>274</v>
      </c>
      <c r="Y4" t="s">
        <v>274</v>
      </c>
      <c r="Z4" t="s">
        <v>274</v>
      </c>
      <c r="AA4" t="s">
        <v>274</v>
      </c>
      <c r="AB4" t="s">
        <v>274</v>
      </c>
      <c r="AC4" t="s">
        <v>274</v>
      </c>
      <c r="AD4" t="s">
        <v>274</v>
      </c>
      <c r="AE4" t="s">
        <v>274</v>
      </c>
      <c r="AF4" t="s">
        <v>274</v>
      </c>
      <c r="AG4" t="s">
        <v>274</v>
      </c>
      <c r="AH4" t="s">
        <v>274</v>
      </c>
      <c r="AI4" t="s">
        <v>274</v>
      </c>
      <c r="AJ4" t="s">
        <v>274</v>
      </c>
      <c r="AK4" t="s">
        <v>274</v>
      </c>
      <c r="AL4" t="s">
        <v>274</v>
      </c>
      <c r="AM4" t="s">
        <v>274</v>
      </c>
      <c r="AN4" t="s">
        <v>274</v>
      </c>
      <c r="AO4" t="s">
        <v>274</v>
      </c>
      <c r="AP4" t="s">
        <v>274</v>
      </c>
      <c r="AQ4" t="s">
        <v>274</v>
      </c>
      <c r="AR4" t="s">
        <v>274</v>
      </c>
      <c r="AS4" t="s">
        <v>274</v>
      </c>
      <c r="AT4" t="s">
        <v>274</v>
      </c>
      <c r="AU4" t="s">
        <v>274</v>
      </c>
      <c r="AV4" t="s">
        <v>274</v>
      </c>
      <c r="AW4" t="s">
        <v>274</v>
      </c>
      <c r="AX4" t="s">
        <v>274</v>
      </c>
      <c r="AY4" t="s">
        <v>274</v>
      </c>
      <c r="AZ4" t="s">
        <v>274</v>
      </c>
      <c r="BA4" t="s">
        <v>274</v>
      </c>
      <c r="BB4" t="s">
        <v>274</v>
      </c>
      <c r="BC4" t="s">
        <v>274</v>
      </c>
      <c r="BD4" t="s">
        <v>274</v>
      </c>
      <c r="BE4" t="s">
        <v>274</v>
      </c>
      <c r="BF4" t="s">
        <v>274</v>
      </c>
      <c r="BG4" t="s">
        <v>274</v>
      </c>
      <c r="BH4" t="s">
        <v>274</v>
      </c>
      <c r="BI4" t="s">
        <v>274</v>
      </c>
      <c r="BJ4" t="s">
        <v>274</v>
      </c>
      <c r="BK4" t="s">
        <v>274</v>
      </c>
      <c r="BL4" t="s">
        <v>274</v>
      </c>
      <c r="BM4" t="s">
        <v>274</v>
      </c>
      <c r="BN4" t="s">
        <v>274</v>
      </c>
      <c r="BO4" t="s">
        <v>274</v>
      </c>
      <c r="BP4" t="s">
        <v>274</v>
      </c>
      <c r="BQ4" t="s">
        <v>274</v>
      </c>
      <c r="BR4" t="s">
        <v>274</v>
      </c>
    </row>
    <row r="5" spans="1:70" x14ac:dyDescent="0.3">
      <c r="A5" t="s">
        <v>274</v>
      </c>
      <c r="B5" t="s">
        <v>274</v>
      </c>
      <c r="C5" t="s">
        <v>274</v>
      </c>
      <c r="D5" t="s">
        <v>274</v>
      </c>
      <c r="E5" t="s">
        <v>274</v>
      </c>
      <c r="F5" t="s">
        <v>274</v>
      </c>
      <c r="G5" t="s">
        <v>274</v>
      </c>
      <c r="H5" t="s">
        <v>274</v>
      </c>
      <c r="I5" t="s">
        <v>274</v>
      </c>
      <c r="J5" t="s">
        <v>274</v>
      </c>
      <c r="K5" t="s">
        <v>274</v>
      </c>
      <c r="L5" t="s">
        <v>274</v>
      </c>
      <c r="M5" t="s">
        <v>274</v>
      </c>
      <c r="N5" t="s">
        <v>274</v>
      </c>
      <c r="O5" t="s">
        <v>274</v>
      </c>
      <c r="P5" t="s">
        <v>274</v>
      </c>
      <c r="Q5" t="s">
        <v>274</v>
      </c>
      <c r="R5" t="s">
        <v>274</v>
      </c>
      <c r="S5" t="s">
        <v>274</v>
      </c>
      <c r="T5" t="s">
        <v>274</v>
      </c>
      <c r="U5" t="s">
        <v>274</v>
      </c>
      <c r="V5" t="s">
        <v>274</v>
      </c>
      <c r="W5" t="s">
        <v>274</v>
      </c>
      <c r="X5" t="s">
        <v>274</v>
      </c>
      <c r="Y5" t="s">
        <v>274</v>
      </c>
      <c r="Z5" t="s">
        <v>274</v>
      </c>
      <c r="AA5" t="s">
        <v>274</v>
      </c>
      <c r="AB5" t="s">
        <v>274</v>
      </c>
      <c r="AC5" t="s">
        <v>274</v>
      </c>
      <c r="AD5" t="s">
        <v>274</v>
      </c>
      <c r="AE5" t="s">
        <v>274</v>
      </c>
      <c r="AF5" t="s">
        <v>274</v>
      </c>
      <c r="AG5" t="s">
        <v>274</v>
      </c>
      <c r="AH5" t="s">
        <v>274</v>
      </c>
      <c r="AI5" t="s">
        <v>274</v>
      </c>
      <c r="AJ5" t="s">
        <v>274</v>
      </c>
      <c r="AK5" t="s">
        <v>274</v>
      </c>
      <c r="AL5" t="s">
        <v>274</v>
      </c>
      <c r="AM5" t="s">
        <v>274</v>
      </c>
      <c r="AN5" t="s">
        <v>274</v>
      </c>
      <c r="AO5" t="s">
        <v>274</v>
      </c>
      <c r="AP5" t="s">
        <v>274</v>
      </c>
      <c r="AQ5" t="s">
        <v>274</v>
      </c>
      <c r="AR5" t="s">
        <v>274</v>
      </c>
      <c r="AS5" t="s">
        <v>274</v>
      </c>
      <c r="AT5" t="s">
        <v>274</v>
      </c>
      <c r="AU5" t="s">
        <v>274</v>
      </c>
      <c r="AV5" t="s">
        <v>274</v>
      </c>
      <c r="AW5" t="s">
        <v>274</v>
      </c>
      <c r="AX5" t="s">
        <v>274</v>
      </c>
      <c r="AY5" t="s">
        <v>274</v>
      </c>
      <c r="AZ5" t="s">
        <v>274</v>
      </c>
      <c r="BA5" t="s">
        <v>274</v>
      </c>
      <c r="BB5" t="s">
        <v>274</v>
      </c>
      <c r="BC5" t="s">
        <v>274</v>
      </c>
      <c r="BD5" t="s">
        <v>274</v>
      </c>
      <c r="BE5" t="s">
        <v>274</v>
      </c>
      <c r="BF5" t="s">
        <v>274</v>
      </c>
      <c r="BG5" t="s">
        <v>274</v>
      </c>
      <c r="BH5" t="s">
        <v>274</v>
      </c>
      <c r="BI5" t="s">
        <v>274</v>
      </c>
      <c r="BJ5" t="s">
        <v>274</v>
      </c>
      <c r="BK5" t="s">
        <v>274</v>
      </c>
      <c r="BL5" t="s">
        <v>274</v>
      </c>
      <c r="BM5" t="s">
        <v>274</v>
      </c>
      <c r="BN5" t="s">
        <v>274</v>
      </c>
      <c r="BO5" t="s">
        <v>274</v>
      </c>
      <c r="BP5" t="s">
        <v>274</v>
      </c>
      <c r="BQ5" t="s">
        <v>274</v>
      </c>
      <c r="BR5" t="s">
        <v>274</v>
      </c>
    </row>
    <row r="6" spans="1:70" x14ac:dyDescent="0.3">
      <c r="A6" t="s">
        <v>508</v>
      </c>
      <c r="B6" t="s">
        <v>509</v>
      </c>
      <c r="C6" t="s">
        <v>510</v>
      </c>
      <c r="D6" t="s">
        <v>511</v>
      </c>
      <c r="E6" t="s">
        <v>512</v>
      </c>
      <c r="F6" t="s">
        <v>513</v>
      </c>
      <c r="G6" t="s">
        <v>514</v>
      </c>
      <c r="H6" t="s">
        <v>515</v>
      </c>
      <c r="I6" t="s">
        <v>516</v>
      </c>
      <c r="J6" t="s">
        <v>517</v>
      </c>
      <c r="K6" t="s">
        <v>518</v>
      </c>
      <c r="L6" t="s">
        <v>519</v>
      </c>
      <c r="M6" t="s">
        <v>520</v>
      </c>
      <c r="N6" t="s">
        <v>521</v>
      </c>
      <c r="O6" t="s">
        <v>522</v>
      </c>
      <c r="P6" t="s">
        <v>523</v>
      </c>
      <c r="Q6" t="s">
        <v>524</v>
      </c>
      <c r="R6" t="s">
        <v>525</v>
      </c>
      <c r="S6" t="s">
        <v>526</v>
      </c>
      <c r="T6" t="s">
        <v>527</v>
      </c>
      <c r="U6" t="s">
        <v>528</v>
      </c>
      <c r="V6" t="s">
        <v>529</v>
      </c>
      <c r="W6" t="s">
        <v>530</v>
      </c>
      <c r="X6" t="s">
        <v>531</v>
      </c>
      <c r="Y6" t="s">
        <v>532</v>
      </c>
      <c r="Z6" t="s">
        <v>533</v>
      </c>
      <c r="AA6" t="s">
        <v>534</v>
      </c>
      <c r="AB6" t="s">
        <v>535</v>
      </c>
      <c r="AC6" t="s">
        <v>536</v>
      </c>
      <c r="AD6" t="s">
        <v>537</v>
      </c>
      <c r="AE6" t="s">
        <v>538</v>
      </c>
      <c r="AF6" t="s">
        <v>539</v>
      </c>
      <c r="AG6" s="14" t="s">
        <v>540</v>
      </c>
      <c r="AH6" t="s">
        <v>541</v>
      </c>
      <c r="AI6" t="s">
        <v>542</v>
      </c>
      <c r="AJ6" t="s">
        <v>543</v>
      </c>
      <c r="AK6" t="s">
        <v>544</v>
      </c>
      <c r="AL6" t="s">
        <v>545</v>
      </c>
      <c r="AM6" t="s">
        <v>546</v>
      </c>
      <c r="AN6" t="s">
        <v>547</v>
      </c>
      <c r="AO6" t="s">
        <v>548</v>
      </c>
      <c r="AP6" t="s">
        <v>549</v>
      </c>
      <c r="AQ6" t="s">
        <v>550</v>
      </c>
      <c r="AR6" t="s">
        <v>551</v>
      </c>
      <c r="AS6" t="s">
        <v>552</v>
      </c>
      <c r="AT6" t="s">
        <v>553</v>
      </c>
      <c r="AU6" t="s">
        <v>554</v>
      </c>
      <c r="AV6" t="s">
        <v>555</v>
      </c>
      <c r="AW6" t="s">
        <v>556</v>
      </c>
      <c r="AX6" t="s">
        <v>557</v>
      </c>
      <c r="AY6" t="s">
        <v>558</v>
      </c>
      <c r="AZ6" t="s">
        <v>559</v>
      </c>
      <c r="BA6" t="s">
        <v>560</v>
      </c>
      <c r="BB6" t="s">
        <v>561</v>
      </c>
      <c r="BC6" t="s">
        <v>562</v>
      </c>
      <c r="BD6" t="s">
        <v>563</v>
      </c>
      <c r="BE6" t="s">
        <v>564</v>
      </c>
      <c r="BF6" t="s">
        <v>565</v>
      </c>
      <c r="BG6" t="s">
        <v>566</v>
      </c>
      <c r="BH6" t="s">
        <v>567</v>
      </c>
      <c r="BI6" t="s">
        <v>568</v>
      </c>
      <c r="BJ6" t="s">
        <v>569</v>
      </c>
      <c r="BK6" t="s">
        <v>570</v>
      </c>
      <c r="BL6" t="s">
        <v>571</v>
      </c>
      <c r="BM6" t="s">
        <v>572</v>
      </c>
      <c r="BN6" t="s">
        <v>573</v>
      </c>
      <c r="BO6" t="s">
        <v>574</v>
      </c>
      <c r="BP6" t="s">
        <v>575</v>
      </c>
      <c r="BQ6" t="s">
        <v>576</v>
      </c>
      <c r="BR6" t="s">
        <v>274</v>
      </c>
    </row>
    <row r="7" spans="1:70" x14ac:dyDescent="0.3">
      <c r="A7" t="s">
        <v>241</v>
      </c>
      <c r="B7" t="s">
        <v>577</v>
      </c>
      <c r="C7" t="s">
        <v>578</v>
      </c>
      <c r="D7" t="s">
        <v>579</v>
      </c>
      <c r="E7" t="s">
        <v>274</v>
      </c>
      <c r="F7" t="s">
        <v>274</v>
      </c>
      <c r="G7" t="s">
        <v>274</v>
      </c>
      <c r="H7" t="s">
        <v>274</v>
      </c>
      <c r="I7" t="s">
        <v>274</v>
      </c>
      <c r="J7" t="s">
        <v>274</v>
      </c>
      <c r="K7" t="s">
        <v>274</v>
      </c>
      <c r="L7" t="s">
        <v>274</v>
      </c>
      <c r="M7" t="s">
        <v>274</v>
      </c>
      <c r="N7" t="s">
        <v>274</v>
      </c>
      <c r="O7" t="s">
        <v>274</v>
      </c>
      <c r="P7" t="s">
        <v>274</v>
      </c>
      <c r="Q7" t="s">
        <v>274</v>
      </c>
      <c r="R7" t="s">
        <v>274</v>
      </c>
      <c r="S7" t="s">
        <v>274</v>
      </c>
      <c r="T7" t="s">
        <v>274</v>
      </c>
      <c r="U7" t="s">
        <v>274</v>
      </c>
      <c r="V7" t="s">
        <v>274</v>
      </c>
      <c r="W7" t="s">
        <v>274</v>
      </c>
      <c r="X7" t="s">
        <v>274</v>
      </c>
      <c r="Y7" t="s">
        <v>274</v>
      </c>
      <c r="Z7" t="s">
        <v>274</v>
      </c>
      <c r="AA7" t="s">
        <v>274</v>
      </c>
      <c r="AB7" t="s">
        <v>274</v>
      </c>
      <c r="AC7" t="s">
        <v>274</v>
      </c>
      <c r="AD7" t="s">
        <v>274</v>
      </c>
      <c r="AE7" t="s">
        <v>580</v>
      </c>
      <c r="AF7" t="s">
        <v>581</v>
      </c>
      <c r="AG7" s="14" t="s">
        <v>582</v>
      </c>
      <c r="AH7" t="s">
        <v>583</v>
      </c>
      <c r="AI7" t="s">
        <v>584</v>
      </c>
      <c r="AJ7" t="s">
        <v>585</v>
      </c>
      <c r="AK7" t="s">
        <v>584</v>
      </c>
      <c r="AL7" t="s">
        <v>584</v>
      </c>
      <c r="AM7" t="s">
        <v>584</v>
      </c>
      <c r="AN7" t="s">
        <v>584</v>
      </c>
      <c r="AO7" t="s">
        <v>586</v>
      </c>
      <c r="AP7" t="s">
        <v>587</v>
      </c>
      <c r="AQ7" t="s">
        <v>588</v>
      </c>
      <c r="AR7" t="s">
        <v>589</v>
      </c>
      <c r="AS7" t="s">
        <v>590</v>
      </c>
      <c r="AT7" t="s">
        <v>591</v>
      </c>
      <c r="AU7" t="s">
        <v>592</v>
      </c>
      <c r="AV7" t="s">
        <v>351</v>
      </c>
      <c r="AW7" t="s">
        <v>593</v>
      </c>
      <c r="AX7" t="s">
        <v>580</v>
      </c>
      <c r="AY7" t="s">
        <v>594</v>
      </c>
      <c r="AZ7" t="s">
        <v>595</v>
      </c>
      <c r="BA7" t="s">
        <v>596</v>
      </c>
      <c r="BB7" t="s">
        <v>351</v>
      </c>
      <c r="BC7" t="s">
        <v>581</v>
      </c>
      <c r="BD7" t="s">
        <v>597</v>
      </c>
      <c r="BE7" t="s">
        <v>598</v>
      </c>
      <c r="BF7" t="s">
        <v>599</v>
      </c>
      <c r="BG7" t="s">
        <v>600</v>
      </c>
      <c r="BH7" t="s">
        <v>601</v>
      </c>
      <c r="BI7" t="s">
        <v>602</v>
      </c>
      <c r="BJ7" t="s">
        <v>603</v>
      </c>
      <c r="BK7" t="s">
        <v>604</v>
      </c>
      <c r="BL7" t="s">
        <v>605</v>
      </c>
      <c r="BM7" t="s">
        <v>606</v>
      </c>
      <c r="BN7" t="s">
        <v>607</v>
      </c>
      <c r="BO7" t="s">
        <v>608</v>
      </c>
      <c r="BP7" t="s">
        <v>609</v>
      </c>
      <c r="BQ7" t="s">
        <v>274</v>
      </c>
      <c r="BR7" t="s">
        <v>274</v>
      </c>
    </row>
    <row r="8" spans="1:70" x14ac:dyDescent="0.3">
      <c r="A8" t="s">
        <v>610</v>
      </c>
      <c r="B8" t="s">
        <v>611</v>
      </c>
      <c r="C8" t="s">
        <v>578</v>
      </c>
      <c r="D8" t="s">
        <v>579</v>
      </c>
      <c r="E8" t="s">
        <v>274</v>
      </c>
      <c r="F8" t="s">
        <v>274</v>
      </c>
      <c r="G8" t="s">
        <v>274</v>
      </c>
      <c r="H8" t="s">
        <v>274</v>
      </c>
      <c r="I8" t="s">
        <v>274</v>
      </c>
      <c r="J8" t="s">
        <v>274</v>
      </c>
      <c r="K8" t="s">
        <v>274</v>
      </c>
      <c r="L8" t="s">
        <v>274</v>
      </c>
      <c r="M8" t="s">
        <v>274</v>
      </c>
      <c r="N8" t="s">
        <v>274</v>
      </c>
      <c r="O8" t="s">
        <v>274</v>
      </c>
      <c r="P8" t="s">
        <v>274</v>
      </c>
      <c r="Q8" t="s">
        <v>274</v>
      </c>
      <c r="R8" t="s">
        <v>274</v>
      </c>
      <c r="S8" t="s">
        <v>274</v>
      </c>
      <c r="T8" t="s">
        <v>274</v>
      </c>
      <c r="U8" t="s">
        <v>274</v>
      </c>
      <c r="V8" t="s">
        <v>274</v>
      </c>
      <c r="W8" t="s">
        <v>274</v>
      </c>
      <c r="X8" t="s">
        <v>274</v>
      </c>
      <c r="Y8" t="s">
        <v>274</v>
      </c>
      <c r="Z8" t="s">
        <v>274</v>
      </c>
      <c r="AA8" t="s">
        <v>274</v>
      </c>
      <c r="AB8" t="s">
        <v>274</v>
      </c>
      <c r="AC8" t="s">
        <v>274</v>
      </c>
      <c r="AD8" t="s">
        <v>274</v>
      </c>
      <c r="AE8" t="s">
        <v>274</v>
      </c>
      <c r="AF8" t="s">
        <v>274</v>
      </c>
      <c r="AG8" s="14" t="s">
        <v>274</v>
      </c>
      <c r="AH8" t="s">
        <v>274</v>
      </c>
      <c r="AI8" t="s">
        <v>274</v>
      </c>
      <c r="AJ8" t="s">
        <v>274</v>
      </c>
      <c r="AK8" t="s">
        <v>274</v>
      </c>
      <c r="AL8" t="s">
        <v>274</v>
      </c>
      <c r="AM8" t="s">
        <v>274</v>
      </c>
      <c r="AN8" t="s">
        <v>274</v>
      </c>
      <c r="AO8" t="s">
        <v>274</v>
      </c>
      <c r="AP8" t="s">
        <v>274</v>
      </c>
      <c r="AQ8" t="s">
        <v>274</v>
      </c>
      <c r="AR8" t="s">
        <v>274</v>
      </c>
      <c r="AS8" t="s">
        <v>274</v>
      </c>
      <c r="AT8" t="s">
        <v>274</v>
      </c>
      <c r="AU8" t="s">
        <v>274</v>
      </c>
      <c r="AV8" t="s">
        <v>274</v>
      </c>
      <c r="AW8" t="s">
        <v>274</v>
      </c>
      <c r="AX8" t="s">
        <v>274</v>
      </c>
      <c r="AY8" t="s">
        <v>274</v>
      </c>
      <c r="AZ8" t="s">
        <v>274</v>
      </c>
      <c r="BA8" t="s">
        <v>274</v>
      </c>
      <c r="BB8" t="s">
        <v>274</v>
      </c>
      <c r="BC8" t="s">
        <v>274</v>
      </c>
      <c r="BD8" t="s">
        <v>274</v>
      </c>
      <c r="BE8" t="s">
        <v>274</v>
      </c>
      <c r="BF8" t="s">
        <v>274</v>
      </c>
      <c r="BG8" t="s">
        <v>274</v>
      </c>
      <c r="BH8" t="s">
        <v>274</v>
      </c>
      <c r="BI8" t="s">
        <v>274</v>
      </c>
      <c r="BJ8" t="s">
        <v>274</v>
      </c>
      <c r="BK8" t="s">
        <v>274</v>
      </c>
      <c r="BL8" t="s">
        <v>274</v>
      </c>
      <c r="BM8" t="s">
        <v>274</v>
      </c>
      <c r="BN8" t="s">
        <v>274</v>
      </c>
      <c r="BO8" t="s">
        <v>274</v>
      </c>
      <c r="BP8" t="s">
        <v>274</v>
      </c>
      <c r="BQ8" t="s">
        <v>274</v>
      </c>
      <c r="BR8" t="s">
        <v>274</v>
      </c>
    </row>
    <row r="9" spans="1:70" x14ac:dyDescent="0.3">
      <c r="A9" t="s">
        <v>39</v>
      </c>
      <c r="B9" t="s">
        <v>612</v>
      </c>
      <c r="C9" t="s">
        <v>578</v>
      </c>
      <c r="D9" t="s">
        <v>579</v>
      </c>
      <c r="E9" t="s">
        <v>274</v>
      </c>
      <c r="F9" t="s">
        <v>274</v>
      </c>
      <c r="G9" t="s">
        <v>274</v>
      </c>
      <c r="H9" t="s">
        <v>274</v>
      </c>
      <c r="I9" t="s">
        <v>274</v>
      </c>
      <c r="J9" t="s">
        <v>274</v>
      </c>
      <c r="K9" t="s">
        <v>274</v>
      </c>
      <c r="L9" t="s">
        <v>274</v>
      </c>
      <c r="M9" t="s">
        <v>274</v>
      </c>
      <c r="N9" t="s">
        <v>274</v>
      </c>
      <c r="O9" t="s">
        <v>274</v>
      </c>
      <c r="P9" t="s">
        <v>274</v>
      </c>
      <c r="Q9" t="s">
        <v>274</v>
      </c>
      <c r="R9" t="s">
        <v>274</v>
      </c>
      <c r="S9" t="s">
        <v>274</v>
      </c>
      <c r="T9" t="s">
        <v>274</v>
      </c>
      <c r="U9" t="s">
        <v>274</v>
      </c>
      <c r="V9" t="s">
        <v>274</v>
      </c>
      <c r="W9" t="s">
        <v>274</v>
      </c>
      <c r="X9" t="s">
        <v>274</v>
      </c>
      <c r="Y9" t="s">
        <v>274</v>
      </c>
      <c r="Z9" t="s">
        <v>274</v>
      </c>
      <c r="AA9" t="s">
        <v>274</v>
      </c>
      <c r="AB9" t="s">
        <v>274</v>
      </c>
      <c r="AC9" t="s">
        <v>274</v>
      </c>
      <c r="AD9" t="s">
        <v>274</v>
      </c>
      <c r="AE9" t="s">
        <v>274</v>
      </c>
      <c r="AF9" t="s">
        <v>274</v>
      </c>
      <c r="AG9" s="14" t="s">
        <v>274</v>
      </c>
      <c r="AH9" t="s">
        <v>274</v>
      </c>
      <c r="AI9" t="s">
        <v>274</v>
      </c>
      <c r="AJ9" t="s">
        <v>274</v>
      </c>
      <c r="AK9" t="s">
        <v>274</v>
      </c>
      <c r="AL9" t="s">
        <v>274</v>
      </c>
      <c r="AM9" t="s">
        <v>274</v>
      </c>
      <c r="AN9" t="s">
        <v>274</v>
      </c>
      <c r="AO9" t="s">
        <v>274</v>
      </c>
      <c r="AP9" t="s">
        <v>274</v>
      </c>
      <c r="AQ9" t="s">
        <v>274</v>
      </c>
      <c r="AR9" t="s">
        <v>274</v>
      </c>
      <c r="AS9" t="s">
        <v>274</v>
      </c>
      <c r="AT9" t="s">
        <v>274</v>
      </c>
      <c r="AU9" t="s">
        <v>274</v>
      </c>
      <c r="AV9" t="s">
        <v>274</v>
      </c>
      <c r="AW9" t="s">
        <v>274</v>
      </c>
      <c r="AX9" t="s">
        <v>274</v>
      </c>
      <c r="AY9" t="s">
        <v>613</v>
      </c>
      <c r="AZ9" t="s">
        <v>614</v>
      </c>
      <c r="BA9" t="s">
        <v>615</v>
      </c>
      <c r="BB9" t="s">
        <v>616</v>
      </c>
      <c r="BC9" t="s">
        <v>617</v>
      </c>
      <c r="BD9" t="s">
        <v>618</v>
      </c>
      <c r="BE9" t="s">
        <v>616</v>
      </c>
      <c r="BF9" t="s">
        <v>619</v>
      </c>
      <c r="BG9" t="s">
        <v>616</v>
      </c>
      <c r="BH9" t="s">
        <v>616</v>
      </c>
      <c r="BI9" t="s">
        <v>616</v>
      </c>
      <c r="BJ9" t="s">
        <v>620</v>
      </c>
      <c r="BK9" t="s">
        <v>274</v>
      </c>
      <c r="BL9" t="s">
        <v>274</v>
      </c>
      <c r="BM9" t="s">
        <v>274</v>
      </c>
      <c r="BN9" t="s">
        <v>274</v>
      </c>
      <c r="BO9" t="s">
        <v>274</v>
      </c>
      <c r="BP9" t="s">
        <v>274</v>
      </c>
      <c r="BQ9" t="s">
        <v>274</v>
      </c>
      <c r="BR9" t="s">
        <v>274</v>
      </c>
    </row>
    <row r="10" spans="1:70" x14ac:dyDescent="0.3">
      <c r="A10" t="s">
        <v>621</v>
      </c>
      <c r="B10" t="s">
        <v>622</v>
      </c>
      <c r="C10" t="s">
        <v>578</v>
      </c>
      <c r="D10" t="s">
        <v>579</v>
      </c>
      <c r="E10" t="s">
        <v>274</v>
      </c>
      <c r="F10" t="s">
        <v>274</v>
      </c>
      <c r="G10" t="s">
        <v>274</v>
      </c>
      <c r="H10" t="s">
        <v>274</v>
      </c>
      <c r="I10" t="s">
        <v>274</v>
      </c>
      <c r="J10" t="s">
        <v>274</v>
      </c>
      <c r="K10" t="s">
        <v>274</v>
      </c>
      <c r="L10" t="s">
        <v>274</v>
      </c>
      <c r="M10" t="s">
        <v>274</v>
      </c>
      <c r="N10" t="s">
        <v>274</v>
      </c>
      <c r="O10" t="s">
        <v>274</v>
      </c>
      <c r="P10" t="s">
        <v>274</v>
      </c>
      <c r="Q10" t="s">
        <v>274</v>
      </c>
      <c r="R10" t="s">
        <v>274</v>
      </c>
      <c r="S10" t="s">
        <v>274</v>
      </c>
      <c r="T10" t="s">
        <v>274</v>
      </c>
      <c r="U10" t="s">
        <v>274</v>
      </c>
      <c r="V10" t="s">
        <v>274</v>
      </c>
      <c r="W10" t="s">
        <v>274</v>
      </c>
      <c r="X10" t="s">
        <v>274</v>
      </c>
      <c r="Y10" t="s">
        <v>274</v>
      </c>
      <c r="Z10" t="s">
        <v>274</v>
      </c>
      <c r="AA10" t="s">
        <v>274</v>
      </c>
      <c r="AB10" t="s">
        <v>274</v>
      </c>
      <c r="AC10" t="s">
        <v>274</v>
      </c>
      <c r="AD10" t="s">
        <v>274</v>
      </c>
      <c r="AE10" t="s">
        <v>274</v>
      </c>
      <c r="AF10" t="s">
        <v>274</v>
      </c>
      <c r="AG10" s="14" t="s">
        <v>274</v>
      </c>
      <c r="AH10" t="s">
        <v>274</v>
      </c>
      <c r="AI10" t="s">
        <v>274</v>
      </c>
      <c r="AJ10" t="s">
        <v>274</v>
      </c>
      <c r="AK10" t="s">
        <v>274</v>
      </c>
      <c r="AL10" t="s">
        <v>274</v>
      </c>
      <c r="AM10" t="s">
        <v>274</v>
      </c>
      <c r="AN10" t="s">
        <v>274</v>
      </c>
      <c r="AO10" t="s">
        <v>274</v>
      </c>
      <c r="AP10" t="s">
        <v>274</v>
      </c>
      <c r="AQ10" t="s">
        <v>274</v>
      </c>
      <c r="AR10" t="s">
        <v>274</v>
      </c>
      <c r="AS10" t="s">
        <v>274</v>
      </c>
      <c r="AT10" t="s">
        <v>274</v>
      </c>
      <c r="AU10" t="s">
        <v>274</v>
      </c>
      <c r="AV10" t="s">
        <v>274</v>
      </c>
      <c r="AW10" t="s">
        <v>274</v>
      </c>
      <c r="AX10" t="s">
        <v>274</v>
      </c>
      <c r="AY10" t="s">
        <v>274</v>
      </c>
      <c r="AZ10" t="s">
        <v>274</v>
      </c>
      <c r="BA10" t="s">
        <v>274</v>
      </c>
      <c r="BB10" t="s">
        <v>274</v>
      </c>
      <c r="BC10" t="s">
        <v>274</v>
      </c>
      <c r="BD10" t="s">
        <v>274</v>
      </c>
      <c r="BE10" t="s">
        <v>274</v>
      </c>
      <c r="BF10" t="s">
        <v>274</v>
      </c>
      <c r="BG10" t="s">
        <v>274</v>
      </c>
      <c r="BH10" t="s">
        <v>274</v>
      </c>
      <c r="BI10" t="s">
        <v>274</v>
      </c>
      <c r="BJ10" t="s">
        <v>274</v>
      </c>
      <c r="BK10" t="s">
        <v>274</v>
      </c>
      <c r="BL10" t="s">
        <v>274</v>
      </c>
      <c r="BM10" t="s">
        <v>274</v>
      </c>
      <c r="BN10" t="s">
        <v>274</v>
      </c>
      <c r="BO10" t="s">
        <v>274</v>
      </c>
      <c r="BP10" t="s">
        <v>274</v>
      </c>
      <c r="BQ10" t="s">
        <v>274</v>
      </c>
      <c r="BR10" t="s">
        <v>274</v>
      </c>
    </row>
    <row r="11" spans="1:70" x14ac:dyDescent="0.3">
      <c r="A11" t="s">
        <v>41</v>
      </c>
      <c r="B11" t="s">
        <v>623</v>
      </c>
      <c r="C11" t="s">
        <v>578</v>
      </c>
      <c r="D11" t="s">
        <v>579</v>
      </c>
      <c r="E11" t="s">
        <v>274</v>
      </c>
      <c r="F11" t="s">
        <v>274</v>
      </c>
      <c r="G11" t="s">
        <v>274</v>
      </c>
      <c r="H11" t="s">
        <v>274</v>
      </c>
      <c r="I11" t="s">
        <v>274</v>
      </c>
      <c r="J11" t="s">
        <v>274</v>
      </c>
      <c r="K11" t="s">
        <v>274</v>
      </c>
      <c r="L11" t="s">
        <v>274</v>
      </c>
      <c r="M11" t="s">
        <v>274</v>
      </c>
      <c r="N11" t="s">
        <v>274</v>
      </c>
      <c r="O11" t="s">
        <v>274</v>
      </c>
      <c r="P11" t="s">
        <v>274</v>
      </c>
      <c r="Q11" t="s">
        <v>274</v>
      </c>
      <c r="R11" t="s">
        <v>274</v>
      </c>
      <c r="S11" t="s">
        <v>274</v>
      </c>
      <c r="T11" t="s">
        <v>274</v>
      </c>
      <c r="U11" t="s">
        <v>274</v>
      </c>
      <c r="V11" t="s">
        <v>274</v>
      </c>
      <c r="W11" t="s">
        <v>274</v>
      </c>
      <c r="X11" t="s">
        <v>274</v>
      </c>
      <c r="Y11" t="s">
        <v>274</v>
      </c>
      <c r="Z11" t="s">
        <v>274</v>
      </c>
      <c r="AA11" t="s">
        <v>274</v>
      </c>
      <c r="AB11" t="s">
        <v>274</v>
      </c>
      <c r="AC11" t="s">
        <v>274</v>
      </c>
      <c r="AD11" t="s">
        <v>274</v>
      </c>
      <c r="AE11" t="s">
        <v>274</v>
      </c>
      <c r="AF11" t="s">
        <v>274</v>
      </c>
      <c r="AG11" s="14" t="s">
        <v>274</v>
      </c>
      <c r="AH11" t="s">
        <v>274</v>
      </c>
      <c r="AI11" t="s">
        <v>274</v>
      </c>
      <c r="AJ11" t="s">
        <v>274</v>
      </c>
      <c r="AK11" t="s">
        <v>274</v>
      </c>
      <c r="AL11" t="s">
        <v>274</v>
      </c>
      <c r="AM11" t="s">
        <v>274</v>
      </c>
      <c r="AN11" t="s">
        <v>624</v>
      </c>
      <c r="AO11" t="s">
        <v>625</v>
      </c>
      <c r="AP11" t="s">
        <v>626</v>
      </c>
      <c r="AQ11" t="s">
        <v>627</v>
      </c>
      <c r="AR11" t="s">
        <v>628</v>
      </c>
      <c r="AS11" t="s">
        <v>629</v>
      </c>
      <c r="AT11" t="s">
        <v>630</v>
      </c>
      <c r="AU11" t="s">
        <v>631</v>
      </c>
      <c r="AV11" t="s">
        <v>632</v>
      </c>
      <c r="AW11" t="s">
        <v>633</v>
      </c>
      <c r="AX11" t="s">
        <v>634</v>
      </c>
      <c r="AY11" t="s">
        <v>635</v>
      </c>
      <c r="AZ11" t="s">
        <v>636</v>
      </c>
      <c r="BA11" t="s">
        <v>637</v>
      </c>
      <c r="BB11" t="s">
        <v>638</v>
      </c>
      <c r="BC11" t="s">
        <v>639</v>
      </c>
      <c r="BD11" t="s">
        <v>640</v>
      </c>
      <c r="BE11" t="s">
        <v>641</v>
      </c>
      <c r="BF11" t="s">
        <v>642</v>
      </c>
      <c r="BG11" t="s">
        <v>643</v>
      </c>
      <c r="BH11" t="s">
        <v>644</v>
      </c>
      <c r="BI11" t="s">
        <v>645</v>
      </c>
      <c r="BJ11" t="s">
        <v>646</v>
      </c>
      <c r="BK11" t="s">
        <v>647</v>
      </c>
      <c r="BL11" t="s">
        <v>648</v>
      </c>
      <c r="BM11" t="s">
        <v>649</v>
      </c>
      <c r="BN11" t="s">
        <v>650</v>
      </c>
      <c r="BO11" t="s">
        <v>651</v>
      </c>
      <c r="BP11" t="s">
        <v>652</v>
      </c>
      <c r="BQ11" t="s">
        <v>653</v>
      </c>
      <c r="BR11" t="s">
        <v>274</v>
      </c>
    </row>
    <row r="12" spans="1:70" x14ac:dyDescent="0.3">
      <c r="A12" t="s">
        <v>42</v>
      </c>
      <c r="B12" t="s">
        <v>654</v>
      </c>
      <c r="C12" t="s">
        <v>578</v>
      </c>
      <c r="D12" t="s">
        <v>579</v>
      </c>
      <c r="E12" t="s">
        <v>274</v>
      </c>
      <c r="F12" t="s">
        <v>274</v>
      </c>
      <c r="G12" t="s">
        <v>274</v>
      </c>
      <c r="H12" t="s">
        <v>274</v>
      </c>
      <c r="I12" t="s">
        <v>274</v>
      </c>
      <c r="J12" t="s">
        <v>274</v>
      </c>
      <c r="K12" t="s">
        <v>274</v>
      </c>
      <c r="L12" t="s">
        <v>274</v>
      </c>
      <c r="M12" t="s">
        <v>274</v>
      </c>
      <c r="N12" t="s">
        <v>274</v>
      </c>
      <c r="O12" t="s">
        <v>274</v>
      </c>
      <c r="P12" t="s">
        <v>274</v>
      </c>
      <c r="Q12" t="s">
        <v>274</v>
      </c>
      <c r="R12" t="s">
        <v>274</v>
      </c>
      <c r="S12" t="s">
        <v>274</v>
      </c>
      <c r="T12" t="s">
        <v>274</v>
      </c>
      <c r="U12" t="s">
        <v>274</v>
      </c>
      <c r="V12" t="s">
        <v>274</v>
      </c>
      <c r="W12" t="s">
        <v>274</v>
      </c>
      <c r="X12" t="s">
        <v>274</v>
      </c>
      <c r="Y12" t="s">
        <v>274</v>
      </c>
      <c r="Z12" t="s">
        <v>274</v>
      </c>
      <c r="AA12" t="s">
        <v>274</v>
      </c>
      <c r="AB12" t="s">
        <v>274</v>
      </c>
      <c r="AC12" t="s">
        <v>274</v>
      </c>
      <c r="AD12" t="s">
        <v>274</v>
      </c>
      <c r="AE12" t="s">
        <v>655</v>
      </c>
      <c r="AF12" t="s">
        <v>655</v>
      </c>
      <c r="AG12" s="14" t="s">
        <v>655</v>
      </c>
      <c r="AH12" t="s">
        <v>655</v>
      </c>
      <c r="AI12" t="s">
        <v>655</v>
      </c>
      <c r="AJ12" t="s">
        <v>655</v>
      </c>
      <c r="AK12" t="s">
        <v>656</v>
      </c>
      <c r="AL12" t="s">
        <v>657</v>
      </c>
      <c r="AM12" t="s">
        <v>658</v>
      </c>
      <c r="AN12" t="s">
        <v>659</v>
      </c>
      <c r="AO12" t="s">
        <v>660</v>
      </c>
      <c r="AP12" t="s">
        <v>661</v>
      </c>
      <c r="AQ12" t="s">
        <v>274</v>
      </c>
      <c r="AR12" t="s">
        <v>662</v>
      </c>
      <c r="AS12" t="s">
        <v>663</v>
      </c>
      <c r="AT12" t="s">
        <v>664</v>
      </c>
      <c r="AU12" t="s">
        <v>665</v>
      </c>
      <c r="AV12" t="s">
        <v>666</v>
      </c>
      <c r="AW12" t="s">
        <v>667</v>
      </c>
      <c r="AX12" t="s">
        <v>668</v>
      </c>
      <c r="AY12" t="s">
        <v>669</v>
      </c>
      <c r="AZ12" t="s">
        <v>670</v>
      </c>
      <c r="BA12" t="s">
        <v>671</v>
      </c>
      <c r="BB12" t="s">
        <v>672</v>
      </c>
      <c r="BC12" t="s">
        <v>673</v>
      </c>
      <c r="BD12" t="s">
        <v>674</v>
      </c>
      <c r="BE12" t="s">
        <v>675</v>
      </c>
      <c r="BF12" t="s">
        <v>676</v>
      </c>
      <c r="BG12" t="s">
        <v>677</v>
      </c>
      <c r="BH12" t="s">
        <v>678</v>
      </c>
      <c r="BI12" t="s">
        <v>679</v>
      </c>
      <c r="BJ12" t="s">
        <v>680</v>
      </c>
      <c r="BK12" t="s">
        <v>681</v>
      </c>
      <c r="BL12" t="s">
        <v>682</v>
      </c>
      <c r="BM12" t="s">
        <v>683</v>
      </c>
      <c r="BN12" t="s">
        <v>684</v>
      </c>
      <c r="BO12" t="s">
        <v>685</v>
      </c>
      <c r="BP12" t="s">
        <v>686</v>
      </c>
      <c r="BQ12" t="s">
        <v>687</v>
      </c>
      <c r="BR12" t="s">
        <v>274</v>
      </c>
    </row>
    <row r="13" spans="1:70" x14ac:dyDescent="0.3">
      <c r="A13" t="s">
        <v>191</v>
      </c>
      <c r="B13" t="s">
        <v>688</v>
      </c>
      <c r="C13" t="s">
        <v>578</v>
      </c>
      <c r="D13" t="s">
        <v>579</v>
      </c>
      <c r="E13" t="s">
        <v>274</v>
      </c>
      <c r="F13" t="s">
        <v>274</v>
      </c>
      <c r="G13" t="s">
        <v>274</v>
      </c>
      <c r="H13" t="s">
        <v>274</v>
      </c>
      <c r="I13" t="s">
        <v>274</v>
      </c>
      <c r="J13" t="s">
        <v>274</v>
      </c>
      <c r="K13" t="s">
        <v>274</v>
      </c>
      <c r="L13" t="s">
        <v>274</v>
      </c>
      <c r="M13" t="s">
        <v>274</v>
      </c>
      <c r="N13" t="s">
        <v>274</v>
      </c>
      <c r="O13" t="s">
        <v>274</v>
      </c>
      <c r="P13" t="s">
        <v>274</v>
      </c>
      <c r="Q13" t="s">
        <v>274</v>
      </c>
      <c r="R13" t="s">
        <v>274</v>
      </c>
      <c r="S13" t="s">
        <v>274</v>
      </c>
      <c r="T13" t="s">
        <v>274</v>
      </c>
      <c r="U13" t="s">
        <v>274</v>
      </c>
      <c r="V13" t="s">
        <v>274</v>
      </c>
      <c r="W13" t="s">
        <v>274</v>
      </c>
      <c r="X13" t="s">
        <v>274</v>
      </c>
      <c r="Y13" t="s">
        <v>274</v>
      </c>
      <c r="Z13" t="s">
        <v>274</v>
      </c>
      <c r="AA13" t="s">
        <v>274</v>
      </c>
      <c r="AB13" t="s">
        <v>274</v>
      </c>
      <c r="AC13" t="s">
        <v>274</v>
      </c>
      <c r="AD13" t="s">
        <v>274</v>
      </c>
      <c r="AE13" t="s">
        <v>274</v>
      </c>
      <c r="AF13" t="s">
        <v>274</v>
      </c>
      <c r="AG13" s="14" t="s">
        <v>274</v>
      </c>
      <c r="AH13" t="s">
        <v>274</v>
      </c>
      <c r="AI13" t="s">
        <v>274</v>
      </c>
      <c r="AJ13" t="s">
        <v>274</v>
      </c>
      <c r="AK13" t="s">
        <v>274</v>
      </c>
      <c r="AL13" t="s">
        <v>274</v>
      </c>
      <c r="AM13" t="s">
        <v>274</v>
      </c>
      <c r="AN13" t="s">
        <v>274</v>
      </c>
      <c r="AO13" t="s">
        <v>274</v>
      </c>
      <c r="AP13" t="s">
        <v>274</v>
      </c>
      <c r="AQ13" t="s">
        <v>274</v>
      </c>
      <c r="AR13" t="s">
        <v>274</v>
      </c>
      <c r="AS13" t="s">
        <v>274</v>
      </c>
      <c r="AT13" t="s">
        <v>274</v>
      </c>
      <c r="AU13" t="s">
        <v>274</v>
      </c>
      <c r="AV13" t="s">
        <v>274</v>
      </c>
      <c r="AW13" t="s">
        <v>274</v>
      </c>
      <c r="AX13" t="s">
        <v>274</v>
      </c>
      <c r="AY13" t="s">
        <v>274</v>
      </c>
      <c r="AZ13" t="s">
        <v>274</v>
      </c>
      <c r="BA13" t="s">
        <v>274</v>
      </c>
      <c r="BB13" t="s">
        <v>274</v>
      </c>
      <c r="BC13" t="s">
        <v>274</v>
      </c>
      <c r="BD13" t="s">
        <v>274</v>
      </c>
      <c r="BE13" t="s">
        <v>274</v>
      </c>
      <c r="BF13" t="s">
        <v>274</v>
      </c>
      <c r="BG13" t="s">
        <v>274</v>
      </c>
      <c r="BH13" t="s">
        <v>274</v>
      </c>
      <c r="BI13" t="s">
        <v>274</v>
      </c>
      <c r="BJ13" t="s">
        <v>274</v>
      </c>
      <c r="BK13" t="s">
        <v>274</v>
      </c>
      <c r="BL13" t="s">
        <v>274</v>
      </c>
      <c r="BM13" t="s">
        <v>274</v>
      </c>
      <c r="BN13" t="s">
        <v>274</v>
      </c>
      <c r="BO13" t="s">
        <v>274</v>
      </c>
      <c r="BP13" t="s">
        <v>274</v>
      </c>
      <c r="BQ13" t="s">
        <v>274</v>
      </c>
      <c r="BR13" t="s">
        <v>274</v>
      </c>
    </row>
    <row r="14" spans="1:70" x14ac:dyDescent="0.3">
      <c r="A14" t="s">
        <v>689</v>
      </c>
      <c r="B14" t="s">
        <v>690</v>
      </c>
      <c r="C14" t="s">
        <v>578</v>
      </c>
      <c r="D14" t="s">
        <v>579</v>
      </c>
      <c r="E14" t="s">
        <v>274</v>
      </c>
      <c r="F14" t="s">
        <v>274</v>
      </c>
      <c r="G14" t="s">
        <v>274</v>
      </c>
      <c r="H14" t="s">
        <v>274</v>
      </c>
      <c r="I14" t="s">
        <v>274</v>
      </c>
      <c r="J14" t="s">
        <v>274</v>
      </c>
      <c r="K14" t="s">
        <v>274</v>
      </c>
      <c r="L14" t="s">
        <v>274</v>
      </c>
      <c r="M14" t="s">
        <v>274</v>
      </c>
      <c r="N14" t="s">
        <v>274</v>
      </c>
      <c r="O14" t="s">
        <v>274</v>
      </c>
      <c r="P14" t="s">
        <v>274</v>
      </c>
      <c r="Q14" t="s">
        <v>274</v>
      </c>
      <c r="R14" t="s">
        <v>274</v>
      </c>
      <c r="S14" t="s">
        <v>274</v>
      </c>
      <c r="T14" t="s">
        <v>274</v>
      </c>
      <c r="U14" t="s">
        <v>274</v>
      </c>
      <c r="V14" t="s">
        <v>274</v>
      </c>
      <c r="W14" t="s">
        <v>274</v>
      </c>
      <c r="X14" t="s">
        <v>274</v>
      </c>
      <c r="Y14" t="s">
        <v>274</v>
      </c>
      <c r="Z14" t="s">
        <v>274</v>
      </c>
      <c r="AA14" t="s">
        <v>274</v>
      </c>
      <c r="AB14" t="s">
        <v>274</v>
      </c>
      <c r="AC14" t="s">
        <v>274</v>
      </c>
      <c r="AD14" t="s">
        <v>274</v>
      </c>
      <c r="AE14" t="s">
        <v>274</v>
      </c>
      <c r="AF14" t="s">
        <v>274</v>
      </c>
      <c r="AG14" s="14" t="s">
        <v>274</v>
      </c>
      <c r="AH14" t="s">
        <v>274</v>
      </c>
      <c r="AI14" t="s">
        <v>274</v>
      </c>
      <c r="AJ14" t="s">
        <v>274</v>
      </c>
      <c r="AK14" t="s">
        <v>274</v>
      </c>
      <c r="AL14" t="s">
        <v>274</v>
      </c>
      <c r="AM14" t="s">
        <v>274</v>
      </c>
      <c r="AN14" t="s">
        <v>274</v>
      </c>
      <c r="AO14" t="s">
        <v>274</v>
      </c>
      <c r="AP14" t="s">
        <v>274</v>
      </c>
      <c r="AQ14" t="s">
        <v>274</v>
      </c>
      <c r="AR14" t="s">
        <v>274</v>
      </c>
      <c r="AS14" t="s">
        <v>274</v>
      </c>
      <c r="AT14" t="s">
        <v>274</v>
      </c>
      <c r="AU14" t="s">
        <v>274</v>
      </c>
      <c r="AV14" t="s">
        <v>274</v>
      </c>
      <c r="AW14" t="s">
        <v>274</v>
      </c>
      <c r="AX14" t="s">
        <v>274</v>
      </c>
      <c r="AY14" t="s">
        <v>274</v>
      </c>
      <c r="AZ14" t="s">
        <v>274</v>
      </c>
      <c r="BA14" t="s">
        <v>274</v>
      </c>
      <c r="BB14" t="s">
        <v>274</v>
      </c>
      <c r="BC14" t="s">
        <v>274</v>
      </c>
      <c r="BD14" t="s">
        <v>274</v>
      </c>
      <c r="BE14" t="s">
        <v>274</v>
      </c>
      <c r="BF14" t="s">
        <v>274</v>
      </c>
      <c r="BG14" t="s">
        <v>274</v>
      </c>
      <c r="BH14" t="s">
        <v>274</v>
      </c>
      <c r="BI14" t="s">
        <v>274</v>
      </c>
      <c r="BJ14" t="s">
        <v>274</v>
      </c>
      <c r="BK14" t="s">
        <v>274</v>
      </c>
      <c r="BL14" t="s">
        <v>274</v>
      </c>
      <c r="BM14" t="s">
        <v>274</v>
      </c>
      <c r="BN14" t="s">
        <v>274</v>
      </c>
      <c r="BO14" t="s">
        <v>274</v>
      </c>
      <c r="BP14" t="s">
        <v>274</v>
      </c>
      <c r="BQ14" t="s">
        <v>274</v>
      </c>
      <c r="BR14" t="s">
        <v>274</v>
      </c>
    </row>
    <row r="15" spans="1:70" x14ac:dyDescent="0.3">
      <c r="A15" t="s">
        <v>43</v>
      </c>
      <c r="B15" t="s">
        <v>691</v>
      </c>
      <c r="C15" t="s">
        <v>578</v>
      </c>
      <c r="D15" t="s">
        <v>579</v>
      </c>
      <c r="E15" t="s">
        <v>274</v>
      </c>
      <c r="F15" t="s">
        <v>274</v>
      </c>
      <c r="G15" t="s">
        <v>274</v>
      </c>
      <c r="H15" t="s">
        <v>274</v>
      </c>
      <c r="I15" t="s">
        <v>274</v>
      </c>
      <c r="J15" t="s">
        <v>274</v>
      </c>
      <c r="K15" t="s">
        <v>274</v>
      </c>
      <c r="L15" t="s">
        <v>274</v>
      </c>
      <c r="M15" t="s">
        <v>274</v>
      </c>
      <c r="N15" t="s">
        <v>274</v>
      </c>
      <c r="O15" t="s">
        <v>274</v>
      </c>
      <c r="P15" t="s">
        <v>274</v>
      </c>
      <c r="Q15" t="s">
        <v>274</v>
      </c>
      <c r="R15" t="s">
        <v>274</v>
      </c>
      <c r="S15" t="s">
        <v>274</v>
      </c>
      <c r="T15" t="s">
        <v>274</v>
      </c>
      <c r="U15" t="s">
        <v>274</v>
      </c>
      <c r="V15" t="s">
        <v>274</v>
      </c>
      <c r="W15" t="s">
        <v>274</v>
      </c>
      <c r="X15" t="s">
        <v>274</v>
      </c>
      <c r="Y15" t="s">
        <v>274</v>
      </c>
      <c r="Z15" t="s">
        <v>274</v>
      </c>
      <c r="AA15" t="s">
        <v>274</v>
      </c>
      <c r="AB15" t="s">
        <v>274</v>
      </c>
      <c r="AC15" t="s">
        <v>274</v>
      </c>
      <c r="AD15" t="s">
        <v>274</v>
      </c>
      <c r="AE15" t="s">
        <v>274</v>
      </c>
      <c r="AF15" t="s">
        <v>274</v>
      </c>
      <c r="AG15" s="14" t="s">
        <v>274</v>
      </c>
      <c r="AH15" t="s">
        <v>274</v>
      </c>
      <c r="AI15" t="s">
        <v>274</v>
      </c>
      <c r="AJ15" t="s">
        <v>274</v>
      </c>
      <c r="AK15" t="s">
        <v>274</v>
      </c>
      <c r="AL15" t="s">
        <v>274</v>
      </c>
      <c r="AM15" t="s">
        <v>274</v>
      </c>
      <c r="AN15" t="s">
        <v>274</v>
      </c>
      <c r="AO15" t="s">
        <v>274</v>
      </c>
      <c r="AP15" t="s">
        <v>274</v>
      </c>
      <c r="AQ15" t="s">
        <v>274</v>
      </c>
      <c r="AR15" t="s">
        <v>274</v>
      </c>
      <c r="AS15" t="s">
        <v>274</v>
      </c>
      <c r="AT15" t="s">
        <v>274</v>
      </c>
      <c r="AU15" t="s">
        <v>274</v>
      </c>
      <c r="AV15" t="s">
        <v>274</v>
      </c>
      <c r="AW15" t="s">
        <v>274</v>
      </c>
      <c r="AX15" t="s">
        <v>274</v>
      </c>
      <c r="AY15" t="s">
        <v>274</v>
      </c>
      <c r="AZ15" t="s">
        <v>274</v>
      </c>
      <c r="BA15" t="s">
        <v>274</v>
      </c>
      <c r="BB15" t="s">
        <v>274</v>
      </c>
      <c r="BC15" t="s">
        <v>274</v>
      </c>
      <c r="BD15" t="s">
        <v>274</v>
      </c>
      <c r="BE15" t="s">
        <v>274</v>
      </c>
      <c r="BF15" t="s">
        <v>274</v>
      </c>
      <c r="BG15" t="s">
        <v>274</v>
      </c>
      <c r="BH15" t="s">
        <v>274</v>
      </c>
      <c r="BI15" t="s">
        <v>274</v>
      </c>
      <c r="BJ15" t="s">
        <v>274</v>
      </c>
      <c r="BK15" t="s">
        <v>274</v>
      </c>
      <c r="BL15" t="s">
        <v>274</v>
      </c>
      <c r="BM15" t="s">
        <v>274</v>
      </c>
      <c r="BN15" t="s">
        <v>274</v>
      </c>
      <c r="BO15" t="s">
        <v>274</v>
      </c>
      <c r="BP15" t="s">
        <v>274</v>
      </c>
      <c r="BQ15" t="s">
        <v>274</v>
      </c>
      <c r="BR15" t="s">
        <v>274</v>
      </c>
    </row>
    <row r="16" spans="1:70" x14ac:dyDescent="0.3">
      <c r="A16" t="s">
        <v>44</v>
      </c>
      <c r="B16" t="s">
        <v>692</v>
      </c>
      <c r="C16" t="s">
        <v>578</v>
      </c>
      <c r="D16" t="s">
        <v>579</v>
      </c>
      <c r="E16" t="s">
        <v>274</v>
      </c>
      <c r="F16" t="s">
        <v>274</v>
      </c>
      <c r="G16" t="s">
        <v>274</v>
      </c>
      <c r="H16" t="s">
        <v>274</v>
      </c>
      <c r="I16" t="s">
        <v>274</v>
      </c>
      <c r="J16" t="s">
        <v>274</v>
      </c>
      <c r="K16" t="s">
        <v>274</v>
      </c>
      <c r="L16" t="s">
        <v>274</v>
      </c>
      <c r="M16" t="s">
        <v>274</v>
      </c>
      <c r="N16" t="s">
        <v>274</v>
      </c>
      <c r="O16" t="s">
        <v>274</v>
      </c>
      <c r="P16" t="s">
        <v>274</v>
      </c>
      <c r="Q16" t="s">
        <v>274</v>
      </c>
      <c r="R16" t="s">
        <v>274</v>
      </c>
      <c r="S16" t="s">
        <v>274</v>
      </c>
      <c r="T16" t="s">
        <v>274</v>
      </c>
      <c r="U16" t="s">
        <v>274</v>
      </c>
      <c r="V16" t="s">
        <v>274</v>
      </c>
      <c r="W16" t="s">
        <v>274</v>
      </c>
      <c r="X16" t="s">
        <v>274</v>
      </c>
      <c r="Y16" t="s">
        <v>274</v>
      </c>
      <c r="Z16" t="s">
        <v>274</v>
      </c>
      <c r="AA16" t="s">
        <v>274</v>
      </c>
      <c r="AB16" t="s">
        <v>274</v>
      </c>
      <c r="AC16" t="s">
        <v>274</v>
      </c>
      <c r="AD16" t="s">
        <v>274</v>
      </c>
      <c r="AE16" t="s">
        <v>274</v>
      </c>
      <c r="AF16" t="s">
        <v>274</v>
      </c>
      <c r="AG16" s="14" t="s">
        <v>274</v>
      </c>
      <c r="AH16" t="s">
        <v>274</v>
      </c>
      <c r="AI16" t="s">
        <v>274</v>
      </c>
      <c r="AJ16" t="s">
        <v>274</v>
      </c>
      <c r="AK16" t="s">
        <v>274</v>
      </c>
      <c r="AL16" t="s">
        <v>274</v>
      </c>
      <c r="AM16" t="s">
        <v>274</v>
      </c>
      <c r="AN16" t="s">
        <v>274</v>
      </c>
      <c r="AO16" t="s">
        <v>274</v>
      </c>
      <c r="AP16" t="s">
        <v>274</v>
      </c>
      <c r="AQ16" t="s">
        <v>274</v>
      </c>
      <c r="AR16" t="s">
        <v>274</v>
      </c>
      <c r="AS16" t="s">
        <v>274</v>
      </c>
      <c r="AT16" t="s">
        <v>274</v>
      </c>
      <c r="AU16" t="s">
        <v>274</v>
      </c>
      <c r="AV16" t="s">
        <v>274</v>
      </c>
      <c r="AW16" t="s">
        <v>274</v>
      </c>
      <c r="AX16" t="s">
        <v>274</v>
      </c>
      <c r="AY16" t="s">
        <v>274</v>
      </c>
      <c r="AZ16" t="s">
        <v>274</v>
      </c>
      <c r="BA16" t="s">
        <v>274</v>
      </c>
      <c r="BB16" t="s">
        <v>274</v>
      </c>
      <c r="BC16" t="s">
        <v>693</v>
      </c>
      <c r="BD16" t="s">
        <v>694</v>
      </c>
      <c r="BE16" t="s">
        <v>695</v>
      </c>
      <c r="BF16" t="s">
        <v>696</v>
      </c>
      <c r="BG16" t="s">
        <v>697</v>
      </c>
      <c r="BH16" t="s">
        <v>698</v>
      </c>
      <c r="BI16" t="s">
        <v>699</v>
      </c>
      <c r="BJ16" t="s">
        <v>700</v>
      </c>
      <c r="BK16" t="s">
        <v>701</v>
      </c>
      <c r="BL16" t="s">
        <v>702</v>
      </c>
      <c r="BM16" t="s">
        <v>703</v>
      </c>
      <c r="BN16" t="s">
        <v>704</v>
      </c>
      <c r="BO16" t="s">
        <v>705</v>
      </c>
      <c r="BP16" t="s">
        <v>706</v>
      </c>
      <c r="BQ16" t="s">
        <v>707</v>
      </c>
      <c r="BR16" t="s">
        <v>274</v>
      </c>
    </row>
    <row r="17" spans="1:70" x14ac:dyDescent="0.3">
      <c r="A17" t="s">
        <v>193</v>
      </c>
      <c r="B17" t="s">
        <v>708</v>
      </c>
      <c r="C17" t="s">
        <v>578</v>
      </c>
      <c r="D17" t="s">
        <v>579</v>
      </c>
      <c r="E17" t="s">
        <v>274</v>
      </c>
      <c r="F17" t="s">
        <v>274</v>
      </c>
      <c r="G17" t="s">
        <v>274</v>
      </c>
      <c r="H17" t="s">
        <v>274</v>
      </c>
      <c r="I17" t="s">
        <v>274</v>
      </c>
      <c r="J17" t="s">
        <v>274</v>
      </c>
      <c r="K17" t="s">
        <v>274</v>
      </c>
      <c r="L17" t="s">
        <v>274</v>
      </c>
      <c r="M17" t="s">
        <v>274</v>
      </c>
      <c r="N17" t="s">
        <v>274</v>
      </c>
      <c r="O17" t="s">
        <v>274</v>
      </c>
      <c r="P17" t="s">
        <v>274</v>
      </c>
      <c r="Q17" t="s">
        <v>274</v>
      </c>
      <c r="R17" t="s">
        <v>274</v>
      </c>
      <c r="S17" t="s">
        <v>274</v>
      </c>
      <c r="T17" t="s">
        <v>274</v>
      </c>
      <c r="U17" t="s">
        <v>274</v>
      </c>
      <c r="V17" t="s">
        <v>274</v>
      </c>
      <c r="W17" t="s">
        <v>274</v>
      </c>
      <c r="X17" t="s">
        <v>274</v>
      </c>
      <c r="Y17" t="s">
        <v>274</v>
      </c>
      <c r="Z17" t="s">
        <v>274</v>
      </c>
      <c r="AA17" t="s">
        <v>274</v>
      </c>
      <c r="AB17" t="s">
        <v>274</v>
      </c>
      <c r="AC17" t="s">
        <v>274</v>
      </c>
      <c r="AD17" t="s">
        <v>274</v>
      </c>
      <c r="AE17" t="s">
        <v>274</v>
      </c>
      <c r="AF17" t="s">
        <v>274</v>
      </c>
      <c r="AG17" s="14" t="s">
        <v>274</v>
      </c>
      <c r="AH17" t="s">
        <v>274</v>
      </c>
      <c r="AI17" t="s">
        <v>274</v>
      </c>
      <c r="AJ17" t="s">
        <v>274</v>
      </c>
      <c r="AK17" t="s">
        <v>274</v>
      </c>
      <c r="AL17" t="s">
        <v>274</v>
      </c>
      <c r="AM17" t="s">
        <v>274</v>
      </c>
      <c r="AN17" t="s">
        <v>709</v>
      </c>
      <c r="AO17" t="s">
        <v>710</v>
      </c>
      <c r="AP17" t="s">
        <v>711</v>
      </c>
      <c r="AQ17" t="s">
        <v>712</v>
      </c>
      <c r="AR17" t="s">
        <v>713</v>
      </c>
      <c r="AS17" t="s">
        <v>714</v>
      </c>
      <c r="AT17" t="s">
        <v>715</v>
      </c>
      <c r="AU17" t="s">
        <v>716</v>
      </c>
      <c r="AV17" t="s">
        <v>717</v>
      </c>
      <c r="AW17" t="s">
        <v>718</v>
      </c>
      <c r="AX17" t="s">
        <v>719</v>
      </c>
      <c r="AY17" t="s">
        <v>720</v>
      </c>
      <c r="AZ17" t="s">
        <v>721</v>
      </c>
      <c r="BA17" t="s">
        <v>722</v>
      </c>
      <c r="BB17" t="s">
        <v>723</v>
      </c>
      <c r="BC17" t="s">
        <v>724</v>
      </c>
      <c r="BD17" t="s">
        <v>725</v>
      </c>
      <c r="BE17" t="s">
        <v>726</v>
      </c>
      <c r="BF17" t="s">
        <v>727</v>
      </c>
      <c r="BG17" t="s">
        <v>728</v>
      </c>
      <c r="BH17" t="s">
        <v>729</v>
      </c>
      <c r="BI17" t="s">
        <v>730</v>
      </c>
      <c r="BJ17" t="s">
        <v>731</v>
      </c>
      <c r="BK17" t="s">
        <v>732</v>
      </c>
      <c r="BL17" t="s">
        <v>733</v>
      </c>
      <c r="BM17" t="s">
        <v>734</v>
      </c>
      <c r="BN17" t="s">
        <v>735</v>
      </c>
      <c r="BO17" t="s">
        <v>736</v>
      </c>
      <c r="BP17" t="s">
        <v>737</v>
      </c>
      <c r="BQ17" t="s">
        <v>738</v>
      </c>
      <c r="BR17" t="s">
        <v>274</v>
      </c>
    </row>
    <row r="18" spans="1:70" x14ac:dyDescent="0.3">
      <c r="A18" t="s">
        <v>739</v>
      </c>
      <c r="B18" t="s">
        <v>740</v>
      </c>
      <c r="C18" t="s">
        <v>578</v>
      </c>
      <c r="D18" t="s">
        <v>579</v>
      </c>
      <c r="E18" t="s">
        <v>274</v>
      </c>
      <c r="F18" t="s">
        <v>274</v>
      </c>
      <c r="G18" t="s">
        <v>274</v>
      </c>
      <c r="H18" t="s">
        <v>274</v>
      </c>
      <c r="I18" t="s">
        <v>274</v>
      </c>
      <c r="J18" t="s">
        <v>274</v>
      </c>
      <c r="K18" t="s">
        <v>274</v>
      </c>
      <c r="L18" t="s">
        <v>274</v>
      </c>
      <c r="M18" t="s">
        <v>274</v>
      </c>
      <c r="N18" t="s">
        <v>274</v>
      </c>
      <c r="O18" t="s">
        <v>274</v>
      </c>
      <c r="P18" t="s">
        <v>274</v>
      </c>
      <c r="Q18" t="s">
        <v>274</v>
      </c>
      <c r="R18" t="s">
        <v>274</v>
      </c>
      <c r="S18" t="s">
        <v>274</v>
      </c>
      <c r="T18" t="s">
        <v>274</v>
      </c>
      <c r="U18" t="s">
        <v>274</v>
      </c>
      <c r="V18" t="s">
        <v>274</v>
      </c>
      <c r="W18" t="s">
        <v>274</v>
      </c>
      <c r="X18" t="s">
        <v>274</v>
      </c>
      <c r="Y18" t="s">
        <v>274</v>
      </c>
      <c r="Z18" t="s">
        <v>274</v>
      </c>
      <c r="AA18" t="s">
        <v>274</v>
      </c>
      <c r="AB18" t="s">
        <v>274</v>
      </c>
      <c r="AC18" t="s">
        <v>274</v>
      </c>
      <c r="AD18" t="s">
        <v>274</v>
      </c>
      <c r="AE18" t="s">
        <v>274</v>
      </c>
      <c r="AF18" t="s">
        <v>274</v>
      </c>
      <c r="AG18" s="14" t="s">
        <v>274</v>
      </c>
      <c r="AH18" t="s">
        <v>274</v>
      </c>
      <c r="AI18" t="s">
        <v>274</v>
      </c>
      <c r="AJ18" t="s">
        <v>274</v>
      </c>
      <c r="AK18" t="s">
        <v>274</v>
      </c>
      <c r="AL18" t="s">
        <v>274</v>
      </c>
      <c r="AM18" t="s">
        <v>274</v>
      </c>
      <c r="AN18" t="s">
        <v>274</v>
      </c>
      <c r="AO18" t="s">
        <v>274</v>
      </c>
      <c r="AP18" t="s">
        <v>274</v>
      </c>
      <c r="AQ18" t="s">
        <v>274</v>
      </c>
      <c r="AR18" t="s">
        <v>274</v>
      </c>
      <c r="AS18" t="s">
        <v>274</v>
      </c>
      <c r="AT18" t="s">
        <v>274</v>
      </c>
      <c r="AU18" t="s">
        <v>274</v>
      </c>
      <c r="AV18" t="s">
        <v>274</v>
      </c>
      <c r="AW18" t="s">
        <v>274</v>
      </c>
      <c r="AX18" t="s">
        <v>274</v>
      </c>
      <c r="AY18" t="s">
        <v>274</v>
      </c>
      <c r="AZ18" t="s">
        <v>274</v>
      </c>
      <c r="BA18" t="s">
        <v>274</v>
      </c>
      <c r="BB18" t="s">
        <v>274</v>
      </c>
      <c r="BC18" t="s">
        <v>274</v>
      </c>
      <c r="BD18" t="s">
        <v>274</v>
      </c>
      <c r="BE18" t="s">
        <v>274</v>
      </c>
      <c r="BF18" t="s">
        <v>274</v>
      </c>
      <c r="BG18" t="s">
        <v>274</v>
      </c>
      <c r="BH18" t="s">
        <v>274</v>
      </c>
      <c r="BI18" t="s">
        <v>274</v>
      </c>
      <c r="BJ18" t="s">
        <v>274</v>
      </c>
      <c r="BK18" t="s">
        <v>274</v>
      </c>
      <c r="BL18" t="s">
        <v>274</v>
      </c>
      <c r="BM18" t="s">
        <v>274</v>
      </c>
      <c r="BN18" t="s">
        <v>274</v>
      </c>
      <c r="BO18" t="s">
        <v>274</v>
      </c>
      <c r="BP18" t="s">
        <v>274</v>
      </c>
      <c r="BQ18" t="s">
        <v>274</v>
      </c>
      <c r="BR18" t="s">
        <v>274</v>
      </c>
    </row>
    <row r="19" spans="1:70" x14ac:dyDescent="0.3">
      <c r="A19" t="s">
        <v>45</v>
      </c>
      <c r="B19" t="s">
        <v>741</v>
      </c>
      <c r="C19" t="s">
        <v>578</v>
      </c>
      <c r="D19" t="s">
        <v>579</v>
      </c>
      <c r="E19" t="s">
        <v>274</v>
      </c>
      <c r="F19" t="s">
        <v>274</v>
      </c>
      <c r="G19" t="s">
        <v>274</v>
      </c>
      <c r="H19" t="s">
        <v>274</v>
      </c>
      <c r="I19" t="s">
        <v>274</v>
      </c>
      <c r="J19" t="s">
        <v>274</v>
      </c>
      <c r="K19" t="s">
        <v>274</v>
      </c>
      <c r="L19" t="s">
        <v>274</v>
      </c>
      <c r="M19" t="s">
        <v>274</v>
      </c>
      <c r="N19" t="s">
        <v>274</v>
      </c>
      <c r="O19" t="s">
        <v>274</v>
      </c>
      <c r="P19" t="s">
        <v>274</v>
      </c>
      <c r="Q19" t="s">
        <v>274</v>
      </c>
      <c r="R19" t="s">
        <v>274</v>
      </c>
      <c r="S19" t="s">
        <v>274</v>
      </c>
      <c r="T19" t="s">
        <v>274</v>
      </c>
      <c r="U19" t="s">
        <v>274</v>
      </c>
      <c r="V19" t="s">
        <v>274</v>
      </c>
      <c r="W19" t="s">
        <v>274</v>
      </c>
      <c r="X19" t="s">
        <v>274</v>
      </c>
      <c r="Y19" t="s">
        <v>274</v>
      </c>
      <c r="Z19" t="s">
        <v>274</v>
      </c>
      <c r="AA19" t="s">
        <v>742</v>
      </c>
      <c r="AB19" t="s">
        <v>743</v>
      </c>
      <c r="AC19" t="s">
        <v>744</v>
      </c>
      <c r="AD19" t="s">
        <v>745</v>
      </c>
      <c r="AE19" t="s">
        <v>746</v>
      </c>
      <c r="AF19" t="s">
        <v>747</v>
      </c>
      <c r="AG19" s="14" t="s">
        <v>748</v>
      </c>
      <c r="AH19" t="s">
        <v>747</v>
      </c>
      <c r="AI19" t="s">
        <v>747</v>
      </c>
      <c r="AJ19" t="s">
        <v>749</v>
      </c>
      <c r="AK19" t="s">
        <v>750</v>
      </c>
      <c r="AL19" t="s">
        <v>751</v>
      </c>
      <c r="AM19" t="s">
        <v>752</v>
      </c>
      <c r="AN19" t="s">
        <v>753</v>
      </c>
      <c r="AO19" t="s">
        <v>754</v>
      </c>
      <c r="AP19" t="s">
        <v>755</v>
      </c>
      <c r="AQ19" t="s">
        <v>756</v>
      </c>
      <c r="AR19" t="s">
        <v>757</v>
      </c>
      <c r="AS19" t="s">
        <v>758</v>
      </c>
      <c r="AT19" t="s">
        <v>759</v>
      </c>
      <c r="AU19" t="s">
        <v>760</v>
      </c>
      <c r="AV19" t="s">
        <v>761</v>
      </c>
      <c r="AW19" t="s">
        <v>762</v>
      </c>
      <c r="AX19" t="s">
        <v>763</v>
      </c>
      <c r="AY19" t="s">
        <v>764</v>
      </c>
      <c r="AZ19" t="s">
        <v>765</v>
      </c>
      <c r="BA19" t="s">
        <v>766</v>
      </c>
      <c r="BB19" t="s">
        <v>767</v>
      </c>
      <c r="BC19" t="s">
        <v>768</v>
      </c>
      <c r="BD19" t="s">
        <v>769</v>
      </c>
      <c r="BE19" t="s">
        <v>770</v>
      </c>
      <c r="BF19" t="s">
        <v>771</v>
      </c>
      <c r="BG19" t="s">
        <v>772</v>
      </c>
      <c r="BH19" t="s">
        <v>773</v>
      </c>
      <c r="BI19" t="s">
        <v>774</v>
      </c>
      <c r="BJ19" t="s">
        <v>775</v>
      </c>
      <c r="BK19" t="s">
        <v>776</v>
      </c>
      <c r="BL19" t="s">
        <v>777</v>
      </c>
      <c r="BM19" t="s">
        <v>778</v>
      </c>
      <c r="BN19" t="s">
        <v>779</v>
      </c>
      <c r="BO19" t="s">
        <v>780</v>
      </c>
      <c r="BP19" t="s">
        <v>781</v>
      </c>
      <c r="BQ19" t="s">
        <v>782</v>
      </c>
      <c r="BR19" t="s">
        <v>274</v>
      </c>
    </row>
    <row r="20" spans="1:70" x14ac:dyDescent="0.3">
      <c r="A20" t="s">
        <v>46</v>
      </c>
      <c r="B20" t="s">
        <v>783</v>
      </c>
      <c r="C20" t="s">
        <v>578</v>
      </c>
      <c r="D20" t="s">
        <v>579</v>
      </c>
      <c r="E20" t="s">
        <v>784</v>
      </c>
      <c r="F20" t="s">
        <v>785</v>
      </c>
      <c r="G20" t="s">
        <v>785</v>
      </c>
      <c r="H20" t="s">
        <v>786</v>
      </c>
      <c r="I20" t="s">
        <v>787</v>
      </c>
      <c r="J20" t="s">
        <v>788</v>
      </c>
      <c r="K20" t="s">
        <v>789</v>
      </c>
      <c r="L20" t="s">
        <v>789</v>
      </c>
      <c r="M20" t="s">
        <v>790</v>
      </c>
      <c r="N20" t="s">
        <v>791</v>
      </c>
      <c r="O20" t="s">
        <v>792</v>
      </c>
      <c r="P20" t="s">
        <v>793</v>
      </c>
      <c r="Q20" t="s">
        <v>794</v>
      </c>
      <c r="R20" t="s">
        <v>795</v>
      </c>
      <c r="S20" t="s">
        <v>796</v>
      </c>
      <c r="T20" t="s">
        <v>797</v>
      </c>
      <c r="U20" t="s">
        <v>798</v>
      </c>
      <c r="V20" t="s">
        <v>799</v>
      </c>
      <c r="W20" t="s">
        <v>796</v>
      </c>
      <c r="X20" t="s">
        <v>800</v>
      </c>
      <c r="Y20" t="s">
        <v>801</v>
      </c>
      <c r="Z20" t="s">
        <v>802</v>
      </c>
      <c r="AA20" t="s">
        <v>803</v>
      </c>
      <c r="AB20" t="s">
        <v>804</v>
      </c>
      <c r="AC20" t="s">
        <v>805</v>
      </c>
      <c r="AD20" t="s">
        <v>804</v>
      </c>
      <c r="AE20" t="s">
        <v>616</v>
      </c>
      <c r="AF20" t="s">
        <v>806</v>
      </c>
      <c r="AG20" s="14" t="s">
        <v>807</v>
      </c>
      <c r="AH20" t="s">
        <v>808</v>
      </c>
      <c r="AI20" t="s">
        <v>809</v>
      </c>
      <c r="AJ20" t="s">
        <v>810</v>
      </c>
      <c r="AK20" t="s">
        <v>811</v>
      </c>
      <c r="AL20" t="s">
        <v>812</v>
      </c>
      <c r="AM20" t="s">
        <v>813</v>
      </c>
      <c r="AN20" t="s">
        <v>596</v>
      </c>
      <c r="AO20" t="s">
        <v>814</v>
      </c>
      <c r="AP20" t="s">
        <v>815</v>
      </c>
      <c r="AQ20" t="s">
        <v>816</v>
      </c>
      <c r="AR20" t="s">
        <v>817</v>
      </c>
      <c r="AS20" t="s">
        <v>818</v>
      </c>
      <c r="AT20" t="s">
        <v>819</v>
      </c>
      <c r="AU20" t="s">
        <v>820</v>
      </c>
      <c r="AV20" t="s">
        <v>821</v>
      </c>
      <c r="AW20" t="s">
        <v>822</v>
      </c>
      <c r="AX20" t="s">
        <v>823</v>
      </c>
      <c r="AY20" t="s">
        <v>824</v>
      </c>
      <c r="AZ20" t="s">
        <v>825</v>
      </c>
      <c r="BA20" t="s">
        <v>826</v>
      </c>
      <c r="BB20" t="s">
        <v>827</v>
      </c>
      <c r="BC20" t="s">
        <v>828</v>
      </c>
      <c r="BD20" t="s">
        <v>829</v>
      </c>
      <c r="BE20" t="s">
        <v>830</v>
      </c>
      <c r="BF20" t="s">
        <v>831</v>
      </c>
      <c r="BG20" t="s">
        <v>832</v>
      </c>
      <c r="BH20" t="s">
        <v>833</v>
      </c>
      <c r="BI20" t="s">
        <v>834</v>
      </c>
      <c r="BJ20" t="s">
        <v>835</v>
      </c>
      <c r="BK20" t="s">
        <v>836</v>
      </c>
      <c r="BL20" t="s">
        <v>837</v>
      </c>
      <c r="BM20" t="s">
        <v>274</v>
      </c>
      <c r="BN20" t="s">
        <v>274</v>
      </c>
      <c r="BO20" t="s">
        <v>274</v>
      </c>
      <c r="BP20" t="s">
        <v>274</v>
      </c>
      <c r="BQ20" t="s">
        <v>274</v>
      </c>
      <c r="BR20" t="s">
        <v>274</v>
      </c>
    </row>
    <row r="21" spans="1:70" x14ac:dyDescent="0.3">
      <c r="A21" t="s">
        <v>47</v>
      </c>
      <c r="B21" t="s">
        <v>838</v>
      </c>
      <c r="C21" t="s">
        <v>578</v>
      </c>
      <c r="D21" t="s">
        <v>579</v>
      </c>
      <c r="E21" t="s">
        <v>274</v>
      </c>
      <c r="F21" t="s">
        <v>274</v>
      </c>
      <c r="G21" t="s">
        <v>274</v>
      </c>
      <c r="H21" t="s">
        <v>274</v>
      </c>
      <c r="I21" t="s">
        <v>274</v>
      </c>
      <c r="J21" t="s">
        <v>274</v>
      </c>
      <c r="K21" t="s">
        <v>274</v>
      </c>
      <c r="L21" t="s">
        <v>274</v>
      </c>
      <c r="M21" t="s">
        <v>274</v>
      </c>
      <c r="N21" t="s">
        <v>274</v>
      </c>
      <c r="O21" t="s">
        <v>274</v>
      </c>
      <c r="P21" t="s">
        <v>274</v>
      </c>
      <c r="Q21" t="s">
        <v>274</v>
      </c>
      <c r="R21" t="s">
        <v>274</v>
      </c>
      <c r="S21" t="s">
        <v>274</v>
      </c>
      <c r="T21" t="s">
        <v>274</v>
      </c>
      <c r="U21" t="s">
        <v>274</v>
      </c>
      <c r="V21" t="s">
        <v>274</v>
      </c>
      <c r="W21" t="s">
        <v>274</v>
      </c>
      <c r="X21" t="s">
        <v>274</v>
      </c>
      <c r="Y21" t="s">
        <v>274</v>
      </c>
      <c r="Z21" t="s">
        <v>274</v>
      </c>
      <c r="AA21" t="s">
        <v>274</v>
      </c>
      <c r="AB21" t="s">
        <v>274</v>
      </c>
      <c r="AC21" t="s">
        <v>274</v>
      </c>
      <c r="AD21" t="s">
        <v>274</v>
      </c>
      <c r="AE21" t="s">
        <v>274</v>
      </c>
      <c r="AF21" t="s">
        <v>274</v>
      </c>
      <c r="AG21" s="14" t="s">
        <v>274</v>
      </c>
      <c r="AH21" t="s">
        <v>274</v>
      </c>
      <c r="AI21" t="s">
        <v>274</v>
      </c>
      <c r="AJ21" t="s">
        <v>274</v>
      </c>
      <c r="AK21" t="s">
        <v>274</v>
      </c>
      <c r="AL21" t="s">
        <v>274</v>
      </c>
      <c r="AM21" t="s">
        <v>274</v>
      </c>
      <c r="AN21" t="s">
        <v>274</v>
      </c>
      <c r="AO21" t="s">
        <v>274</v>
      </c>
      <c r="AP21" t="s">
        <v>274</v>
      </c>
      <c r="AQ21" t="s">
        <v>274</v>
      </c>
      <c r="AR21" t="s">
        <v>274</v>
      </c>
      <c r="AS21" t="s">
        <v>274</v>
      </c>
      <c r="AT21" t="s">
        <v>274</v>
      </c>
      <c r="AU21" t="s">
        <v>274</v>
      </c>
      <c r="AV21" t="s">
        <v>274</v>
      </c>
      <c r="AW21" t="s">
        <v>274</v>
      </c>
      <c r="AX21" t="s">
        <v>274</v>
      </c>
      <c r="AY21" t="s">
        <v>274</v>
      </c>
      <c r="AZ21" t="s">
        <v>274</v>
      </c>
      <c r="BA21" t="s">
        <v>274</v>
      </c>
      <c r="BB21" t="s">
        <v>274</v>
      </c>
      <c r="BC21" t="s">
        <v>274</v>
      </c>
      <c r="BD21" t="s">
        <v>274</v>
      </c>
      <c r="BE21" t="s">
        <v>274</v>
      </c>
      <c r="BF21" t="s">
        <v>274</v>
      </c>
      <c r="BG21" t="s">
        <v>274</v>
      </c>
      <c r="BH21" t="s">
        <v>274</v>
      </c>
      <c r="BI21" t="s">
        <v>274</v>
      </c>
      <c r="BJ21" t="s">
        <v>274</v>
      </c>
      <c r="BK21" t="s">
        <v>274</v>
      </c>
      <c r="BL21" t="s">
        <v>274</v>
      </c>
      <c r="BM21" t="s">
        <v>274</v>
      </c>
      <c r="BN21" t="s">
        <v>274</v>
      </c>
      <c r="BO21" t="s">
        <v>274</v>
      </c>
      <c r="BP21" t="s">
        <v>274</v>
      </c>
      <c r="BQ21" t="s">
        <v>274</v>
      </c>
      <c r="BR21" t="s">
        <v>274</v>
      </c>
    </row>
    <row r="22" spans="1:70" x14ac:dyDescent="0.3">
      <c r="A22" t="s">
        <v>194</v>
      </c>
      <c r="B22" t="s">
        <v>839</v>
      </c>
      <c r="C22" t="s">
        <v>578</v>
      </c>
      <c r="D22" t="s">
        <v>579</v>
      </c>
      <c r="E22" t="s">
        <v>274</v>
      </c>
      <c r="F22" t="s">
        <v>274</v>
      </c>
      <c r="G22" t="s">
        <v>274</v>
      </c>
      <c r="H22" t="s">
        <v>274</v>
      </c>
      <c r="I22" t="s">
        <v>274</v>
      </c>
      <c r="J22" t="s">
        <v>274</v>
      </c>
      <c r="K22" t="s">
        <v>274</v>
      </c>
      <c r="L22" t="s">
        <v>274</v>
      </c>
      <c r="M22" t="s">
        <v>274</v>
      </c>
      <c r="N22" t="s">
        <v>274</v>
      </c>
      <c r="O22" t="s">
        <v>274</v>
      </c>
      <c r="P22" t="s">
        <v>274</v>
      </c>
      <c r="Q22" t="s">
        <v>274</v>
      </c>
      <c r="R22" t="s">
        <v>274</v>
      </c>
      <c r="S22" t="s">
        <v>274</v>
      </c>
      <c r="T22" t="s">
        <v>274</v>
      </c>
      <c r="U22" t="s">
        <v>274</v>
      </c>
      <c r="V22" t="s">
        <v>274</v>
      </c>
      <c r="W22" t="s">
        <v>274</v>
      </c>
      <c r="X22" t="s">
        <v>274</v>
      </c>
      <c r="Y22" t="s">
        <v>274</v>
      </c>
      <c r="Z22" t="s">
        <v>274</v>
      </c>
      <c r="AA22" t="s">
        <v>274</v>
      </c>
      <c r="AB22" t="s">
        <v>274</v>
      </c>
      <c r="AC22" t="s">
        <v>274</v>
      </c>
      <c r="AD22" t="s">
        <v>274</v>
      </c>
      <c r="AE22" t="s">
        <v>274</v>
      </c>
      <c r="AF22" t="s">
        <v>274</v>
      </c>
      <c r="AG22" s="14" t="s">
        <v>274</v>
      </c>
      <c r="AH22" t="s">
        <v>274</v>
      </c>
      <c r="AI22" t="s">
        <v>274</v>
      </c>
      <c r="AJ22" t="s">
        <v>274</v>
      </c>
      <c r="AK22" t="s">
        <v>274</v>
      </c>
      <c r="AL22" t="s">
        <v>274</v>
      </c>
      <c r="AM22" t="s">
        <v>274</v>
      </c>
      <c r="AN22" t="s">
        <v>274</v>
      </c>
      <c r="AO22" t="s">
        <v>274</v>
      </c>
      <c r="AP22" t="s">
        <v>274</v>
      </c>
      <c r="AQ22" t="s">
        <v>840</v>
      </c>
      <c r="AR22" t="s">
        <v>841</v>
      </c>
      <c r="AS22" t="s">
        <v>842</v>
      </c>
      <c r="AT22" t="s">
        <v>843</v>
      </c>
      <c r="AU22" t="s">
        <v>844</v>
      </c>
      <c r="AV22" t="s">
        <v>845</v>
      </c>
      <c r="AW22" t="s">
        <v>846</v>
      </c>
      <c r="AX22" t="s">
        <v>847</v>
      </c>
      <c r="AY22" t="s">
        <v>848</v>
      </c>
      <c r="AZ22" t="s">
        <v>849</v>
      </c>
      <c r="BA22" t="s">
        <v>850</v>
      </c>
      <c r="BB22" t="s">
        <v>851</v>
      </c>
      <c r="BC22" t="s">
        <v>852</v>
      </c>
      <c r="BD22" t="s">
        <v>853</v>
      </c>
      <c r="BE22" t="s">
        <v>854</v>
      </c>
      <c r="BF22" t="s">
        <v>855</v>
      </c>
      <c r="BG22" t="s">
        <v>856</v>
      </c>
      <c r="BH22" t="s">
        <v>857</v>
      </c>
      <c r="BI22" t="s">
        <v>858</v>
      </c>
      <c r="BJ22" t="s">
        <v>859</v>
      </c>
      <c r="BK22" t="s">
        <v>860</v>
      </c>
      <c r="BL22" t="s">
        <v>861</v>
      </c>
      <c r="BM22" t="s">
        <v>862</v>
      </c>
      <c r="BN22" t="s">
        <v>863</v>
      </c>
      <c r="BO22" t="s">
        <v>864</v>
      </c>
      <c r="BP22" t="s">
        <v>865</v>
      </c>
      <c r="BQ22" t="s">
        <v>866</v>
      </c>
      <c r="BR22" t="s">
        <v>274</v>
      </c>
    </row>
    <row r="23" spans="1:70" x14ac:dyDescent="0.3">
      <c r="A23" t="s">
        <v>195</v>
      </c>
      <c r="B23" t="s">
        <v>867</v>
      </c>
      <c r="C23" t="s">
        <v>578</v>
      </c>
      <c r="D23" t="s">
        <v>579</v>
      </c>
      <c r="E23" t="s">
        <v>274</v>
      </c>
      <c r="F23" t="s">
        <v>274</v>
      </c>
      <c r="G23" t="s">
        <v>274</v>
      </c>
      <c r="H23" t="s">
        <v>274</v>
      </c>
      <c r="I23" t="s">
        <v>274</v>
      </c>
      <c r="J23" t="s">
        <v>274</v>
      </c>
      <c r="K23" t="s">
        <v>274</v>
      </c>
      <c r="L23" t="s">
        <v>274</v>
      </c>
      <c r="M23" t="s">
        <v>274</v>
      </c>
      <c r="N23" t="s">
        <v>274</v>
      </c>
      <c r="O23" t="s">
        <v>274</v>
      </c>
      <c r="P23" t="s">
        <v>274</v>
      </c>
      <c r="Q23" t="s">
        <v>274</v>
      </c>
      <c r="R23" t="s">
        <v>274</v>
      </c>
      <c r="S23" t="s">
        <v>274</v>
      </c>
      <c r="T23" t="s">
        <v>274</v>
      </c>
      <c r="U23" t="s">
        <v>274</v>
      </c>
      <c r="V23" t="s">
        <v>274</v>
      </c>
      <c r="W23" t="s">
        <v>868</v>
      </c>
      <c r="X23" t="s">
        <v>868</v>
      </c>
      <c r="Y23" t="s">
        <v>868</v>
      </c>
      <c r="Z23" t="s">
        <v>868</v>
      </c>
      <c r="AA23" t="s">
        <v>868</v>
      </c>
      <c r="AB23" t="s">
        <v>868</v>
      </c>
      <c r="AC23" t="s">
        <v>868</v>
      </c>
      <c r="AD23" t="s">
        <v>868</v>
      </c>
      <c r="AE23" t="s">
        <v>868</v>
      </c>
      <c r="AF23" t="s">
        <v>868</v>
      </c>
      <c r="AG23" s="14" t="s">
        <v>868</v>
      </c>
      <c r="AH23" t="s">
        <v>868</v>
      </c>
      <c r="AI23" t="s">
        <v>869</v>
      </c>
      <c r="AJ23" t="s">
        <v>870</v>
      </c>
      <c r="AK23" t="s">
        <v>871</v>
      </c>
      <c r="AL23" t="s">
        <v>872</v>
      </c>
      <c r="AM23" t="s">
        <v>873</v>
      </c>
      <c r="AN23" t="s">
        <v>874</v>
      </c>
      <c r="AO23" t="s">
        <v>274</v>
      </c>
      <c r="AP23" t="s">
        <v>274</v>
      </c>
      <c r="AQ23" t="s">
        <v>875</v>
      </c>
      <c r="AR23" t="s">
        <v>876</v>
      </c>
      <c r="AS23" t="s">
        <v>877</v>
      </c>
      <c r="AT23" t="s">
        <v>878</v>
      </c>
      <c r="AU23" t="s">
        <v>879</v>
      </c>
      <c r="AV23" t="s">
        <v>880</v>
      </c>
      <c r="AW23" t="s">
        <v>881</v>
      </c>
      <c r="AX23" t="s">
        <v>882</v>
      </c>
      <c r="AY23" t="s">
        <v>883</v>
      </c>
      <c r="AZ23" t="s">
        <v>884</v>
      </c>
      <c r="BA23" t="s">
        <v>885</v>
      </c>
      <c r="BB23" t="s">
        <v>886</v>
      </c>
      <c r="BC23" t="s">
        <v>887</v>
      </c>
      <c r="BD23" t="s">
        <v>888</v>
      </c>
      <c r="BE23" t="s">
        <v>889</v>
      </c>
      <c r="BF23" t="s">
        <v>890</v>
      </c>
      <c r="BG23" t="s">
        <v>891</v>
      </c>
      <c r="BH23" t="s">
        <v>892</v>
      </c>
      <c r="BI23" t="s">
        <v>893</v>
      </c>
      <c r="BJ23" t="s">
        <v>894</v>
      </c>
      <c r="BK23" t="s">
        <v>895</v>
      </c>
      <c r="BL23" t="s">
        <v>896</v>
      </c>
      <c r="BM23" t="s">
        <v>897</v>
      </c>
      <c r="BN23" t="s">
        <v>898</v>
      </c>
      <c r="BO23" t="s">
        <v>899</v>
      </c>
      <c r="BP23" t="s">
        <v>900</v>
      </c>
      <c r="BQ23" t="s">
        <v>274</v>
      </c>
      <c r="BR23" t="s">
        <v>274</v>
      </c>
    </row>
    <row r="24" spans="1:70" x14ac:dyDescent="0.3">
      <c r="A24" t="s">
        <v>196</v>
      </c>
      <c r="B24" t="s">
        <v>901</v>
      </c>
      <c r="C24" t="s">
        <v>578</v>
      </c>
      <c r="D24" t="s">
        <v>579</v>
      </c>
      <c r="E24" t="s">
        <v>274</v>
      </c>
      <c r="F24" t="s">
        <v>274</v>
      </c>
      <c r="G24" t="s">
        <v>274</v>
      </c>
      <c r="H24" t="s">
        <v>274</v>
      </c>
      <c r="I24" t="s">
        <v>274</v>
      </c>
      <c r="J24" t="s">
        <v>274</v>
      </c>
      <c r="K24" t="s">
        <v>274</v>
      </c>
      <c r="L24" t="s">
        <v>274</v>
      </c>
      <c r="M24" t="s">
        <v>274</v>
      </c>
      <c r="N24" t="s">
        <v>274</v>
      </c>
      <c r="O24" t="s">
        <v>274</v>
      </c>
      <c r="P24" t="s">
        <v>274</v>
      </c>
      <c r="Q24" t="s">
        <v>274</v>
      </c>
      <c r="R24" t="s">
        <v>274</v>
      </c>
      <c r="S24" t="s">
        <v>274</v>
      </c>
      <c r="T24" t="s">
        <v>274</v>
      </c>
      <c r="U24" t="s">
        <v>274</v>
      </c>
      <c r="V24" t="s">
        <v>274</v>
      </c>
      <c r="W24" t="s">
        <v>274</v>
      </c>
      <c r="X24" t="s">
        <v>274</v>
      </c>
      <c r="Y24" t="s">
        <v>274</v>
      </c>
      <c r="Z24" t="s">
        <v>274</v>
      </c>
      <c r="AA24" t="s">
        <v>274</v>
      </c>
      <c r="AB24" t="s">
        <v>274</v>
      </c>
      <c r="AC24" t="s">
        <v>274</v>
      </c>
      <c r="AD24" t="s">
        <v>274</v>
      </c>
      <c r="AE24" t="s">
        <v>274</v>
      </c>
      <c r="AF24" t="s">
        <v>274</v>
      </c>
      <c r="AG24" s="14" t="s">
        <v>274</v>
      </c>
      <c r="AH24" t="s">
        <v>274</v>
      </c>
      <c r="AI24" t="s">
        <v>274</v>
      </c>
      <c r="AJ24" t="s">
        <v>274</v>
      </c>
      <c r="AK24" t="s">
        <v>274</v>
      </c>
      <c r="AL24" t="s">
        <v>274</v>
      </c>
      <c r="AM24" t="s">
        <v>274</v>
      </c>
      <c r="AN24" t="s">
        <v>274</v>
      </c>
      <c r="AO24" t="s">
        <v>274</v>
      </c>
      <c r="AP24" t="s">
        <v>274</v>
      </c>
      <c r="AQ24" t="s">
        <v>274</v>
      </c>
      <c r="AR24" t="s">
        <v>274</v>
      </c>
      <c r="AS24" t="s">
        <v>274</v>
      </c>
      <c r="AT24" t="s">
        <v>274</v>
      </c>
      <c r="AU24" t="s">
        <v>274</v>
      </c>
      <c r="AV24" t="s">
        <v>274</v>
      </c>
      <c r="AW24" t="s">
        <v>274</v>
      </c>
      <c r="AX24" t="s">
        <v>274</v>
      </c>
      <c r="AY24" t="s">
        <v>274</v>
      </c>
      <c r="AZ24" t="s">
        <v>274</v>
      </c>
      <c r="BA24" t="s">
        <v>274</v>
      </c>
      <c r="BB24" t="s">
        <v>274</v>
      </c>
      <c r="BC24" t="s">
        <v>274</v>
      </c>
      <c r="BD24" t="s">
        <v>274</v>
      </c>
      <c r="BE24" t="s">
        <v>274</v>
      </c>
      <c r="BF24" t="s">
        <v>274</v>
      </c>
      <c r="BG24" t="s">
        <v>274</v>
      </c>
      <c r="BH24" t="s">
        <v>274</v>
      </c>
      <c r="BI24" t="s">
        <v>274</v>
      </c>
      <c r="BJ24" t="s">
        <v>274</v>
      </c>
      <c r="BK24" t="s">
        <v>274</v>
      </c>
      <c r="BL24" t="s">
        <v>274</v>
      </c>
      <c r="BM24" t="s">
        <v>274</v>
      </c>
      <c r="BN24" t="s">
        <v>274</v>
      </c>
      <c r="BO24" t="s">
        <v>274</v>
      </c>
      <c r="BP24" t="s">
        <v>274</v>
      </c>
      <c r="BQ24" t="s">
        <v>274</v>
      </c>
      <c r="BR24" t="s">
        <v>274</v>
      </c>
    </row>
    <row r="25" spans="1:70" x14ac:dyDescent="0.3">
      <c r="A25" t="s">
        <v>197</v>
      </c>
      <c r="B25" t="s">
        <v>902</v>
      </c>
      <c r="C25" t="s">
        <v>578</v>
      </c>
      <c r="D25" t="s">
        <v>579</v>
      </c>
      <c r="E25" t="s">
        <v>274</v>
      </c>
      <c r="F25" t="s">
        <v>274</v>
      </c>
      <c r="G25" t="s">
        <v>274</v>
      </c>
      <c r="H25" t="s">
        <v>274</v>
      </c>
      <c r="I25" t="s">
        <v>274</v>
      </c>
      <c r="J25" t="s">
        <v>274</v>
      </c>
      <c r="K25" t="s">
        <v>274</v>
      </c>
      <c r="L25" t="s">
        <v>274</v>
      </c>
      <c r="M25" t="s">
        <v>274</v>
      </c>
      <c r="N25" t="s">
        <v>274</v>
      </c>
      <c r="O25" t="s">
        <v>274</v>
      </c>
      <c r="P25" t="s">
        <v>274</v>
      </c>
      <c r="Q25" t="s">
        <v>274</v>
      </c>
      <c r="R25" t="s">
        <v>274</v>
      </c>
      <c r="S25" t="s">
        <v>274</v>
      </c>
      <c r="T25" t="s">
        <v>274</v>
      </c>
      <c r="U25" t="s">
        <v>274</v>
      </c>
      <c r="V25" t="s">
        <v>274</v>
      </c>
      <c r="W25" t="s">
        <v>274</v>
      </c>
      <c r="X25" t="s">
        <v>274</v>
      </c>
      <c r="Y25" t="s">
        <v>274</v>
      </c>
      <c r="Z25" t="s">
        <v>274</v>
      </c>
      <c r="AA25" t="s">
        <v>274</v>
      </c>
      <c r="AB25" t="s">
        <v>274</v>
      </c>
      <c r="AC25" t="s">
        <v>274</v>
      </c>
      <c r="AD25" t="s">
        <v>274</v>
      </c>
      <c r="AE25" t="s">
        <v>274</v>
      </c>
      <c r="AF25" t="s">
        <v>274</v>
      </c>
      <c r="AG25" s="14" t="s">
        <v>274</v>
      </c>
      <c r="AH25" t="s">
        <v>274</v>
      </c>
      <c r="AI25" t="s">
        <v>274</v>
      </c>
      <c r="AJ25" t="s">
        <v>274</v>
      </c>
      <c r="AK25" t="s">
        <v>274</v>
      </c>
      <c r="AL25" t="s">
        <v>274</v>
      </c>
      <c r="AM25" t="s">
        <v>274</v>
      </c>
      <c r="AN25" t="s">
        <v>274</v>
      </c>
      <c r="AO25" t="s">
        <v>274</v>
      </c>
      <c r="AP25" t="s">
        <v>274</v>
      </c>
      <c r="AQ25" t="s">
        <v>274</v>
      </c>
      <c r="AR25" t="s">
        <v>274</v>
      </c>
      <c r="AS25" t="s">
        <v>274</v>
      </c>
      <c r="AT25" t="s">
        <v>274</v>
      </c>
      <c r="AU25" t="s">
        <v>274</v>
      </c>
      <c r="AV25" t="s">
        <v>274</v>
      </c>
      <c r="AW25" t="s">
        <v>274</v>
      </c>
      <c r="AX25" t="s">
        <v>903</v>
      </c>
      <c r="AY25" t="s">
        <v>904</v>
      </c>
      <c r="AZ25" t="s">
        <v>905</v>
      </c>
      <c r="BA25" t="s">
        <v>906</v>
      </c>
      <c r="BB25" t="s">
        <v>907</v>
      </c>
      <c r="BC25" t="s">
        <v>908</v>
      </c>
      <c r="BD25" t="s">
        <v>909</v>
      </c>
      <c r="BE25" t="s">
        <v>910</v>
      </c>
      <c r="BF25" t="s">
        <v>911</v>
      </c>
      <c r="BG25" t="s">
        <v>912</v>
      </c>
      <c r="BH25" t="s">
        <v>913</v>
      </c>
      <c r="BI25" t="s">
        <v>914</v>
      </c>
      <c r="BJ25" t="s">
        <v>915</v>
      </c>
      <c r="BK25" t="s">
        <v>916</v>
      </c>
      <c r="BL25" t="s">
        <v>917</v>
      </c>
      <c r="BM25" t="s">
        <v>918</v>
      </c>
      <c r="BN25" t="s">
        <v>919</v>
      </c>
      <c r="BO25" t="s">
        <v>274</v>
      </c>
      <c r="BP25" t="s">
        <v>274</v>
      </c>
      <c r="BQ25" t="s">
        <v>274</v>
      </c>
      <c r="BR25" t="s">
        <v>274</v>
      </c>
    </row>
    <row r="26" spans="1:70" x14ac:dyDescent="0.3">
      <c r="A26" t="s">
        <v>198</v>
      </c>
      <c r="B26" t="s">
        <v>920</v>
      </c>
      <c r="C26" t="s">
        <v>578</v>
      </c>
      <c r="D26" t="s">
        <v>579</v>
      </c>
      <c r="E26" t="s">
        <v>274</v>
      </c>
      <c r="F26" t="s">
        <v>274</v>
      </c>
      <c r="G26" t="s">
        <v>274</v>
      </c>
      <c r="H26" t="s">
        <v>274</v>
      </c>
      <c r="I26" t="s">
        <v>274</v>
      </c>
      <c r="J26" t="s">
        <v>274</v>
      </c>
      <c r="K26" t="s">
        <v>274</v>
      </c>
      <c r="L26" t="s">
        <v>274</v>
      </c>
      <c r="M26" t="s">
        <v>274</v>
      </c>
      <c r="N26" t="s">
        <v>274</v>
      </c>
      <c r="O26" t="s">
        <v>274</v>
      </c>
      <c r="P26" t="s">
        <v>274</v>
      </c>
      <c r="Q26" t="s">
        <v>274</v>
      </c>
      <c r="R26" t="s">
        <v>274</v>
      </c>
      <c r="S26" t="s">
        <v>274</v>
      </c>
      <c r="T26" t="s">
        <v>274</v>
      </c>
      <c r="U26" t="s">
        <v>274</v>
      </c>
      <c r="V26" t="s">
        <v>274</v>
      </c>
      <c r="W26" t="s">
        <v>274</v>
      </c>
      <c r="X26" t="s">
        <v>274</v>
      </c>
      <c r="Y26" t="s">
        <v>274</v>
      </c>
      <c r="Z26" t="s">
        <v>274</v>
      </c>
      <c r="AA26" t="s">
        <v>274</v>
      </c>
      <c r="AB26" t="s">
        <v>274</v>
      </c>
      <c r="AC26" t="s">
        <v>274</v>
      </c>
      <c r="AD26" t="s">
        <v>274</v>
      </c>
      <c r="AE26" t="s">
        <v>274</v>
      </c>
      <c r="AF26" t="s">
        <v>274</v>
      </c>
      <c r="AG26" s="14" t="s">
        <v>274</v>
      </c>
      <c r="AH26" t="s">
        <v>274</v>
      </c>
      <c r="AI26" t="s">
        <v>274</v>
      </c>
      <c r="AJ26" t="s">
        <v>274</v>
      </c>
      <c r="AK26" t="s">
        <v>274</v>
      </c>
      <c r="AL26" t="s">
        <v>274</v>
      </c>
      <c r="AM26" t="s">
        <v>274</v>
      </c>
      <c r="AN26" t="s">
        <v>274</v>
      </c>
      <c r="AO26" t="s">
        <v>274</v>
      </c>
      <c r="AP26" t="s">
        <v>274</v>
      </c>
      <c r="AQ26" t="s">
        <v>274</v>
      </c>
      <c r="AR26" t="s">
        <v>274</v>
      </c>
      <c r="AS26" t="s">
        <v>274</v>
      </c>
      <c r="AT26" t="s">
        <v>274</v>
      </c>
      <c r="AU26" t="s">
        <v>274</v>
      </c>
      <c r="AV26" t="s">
        <v>274</v>
      </c>
      <c r="AW26" t="s">
        <v>274</v>
      </c>
      <c r="AX26" t="s">
        <v>921</v>
      </c>
      <c r="AY26" t="s">
        <v>904</v>
      </c>
      <c r="AZ26" t="s">
        <v>905</v>
      </c>
      <c r="BA26" t="s">
        <v>906</v>
      </c>
      <c r="BB26" t="s">
        <v>907</v>
      </c>
      <c r="BC26" t="s">
        <v>908</v>
      </c>
      <c r="BD26" t="s">
        <v>909</v>
      </c>
      <c r="BE26" t="s">
        <v>910</v>
      </c>
      <c r="BF26" t="s">
        <v>911</v>
      </c>
      <c r="BG26" t="s">
        <v>912</v>
      </c>
      <c r="BH26" t="s">
        <v>913</v>
      </c>
      <c r="BI26" t="s">
        <v>914</v>
      </c>
      <c r="BJ26" t="s">
        <v>922</v>
      </c>
      <c r="BK26" t="s">
        <v>916</v>
      </c>
      <c r="BL26" t="s">
        <v>917</v>
      </c>
      <c r="BM26" t="s">
        <v>918</v>
      </c>
      <c r="BN26" t="s">
        <v>919</v>
      </c>
      <c r="BO26" t="s">
        <v>274</v>
      </c>
      <c r="BP26" t="s">
        <v>274</v>
      </c>
      <c r="BQ26" t="s">
        <v>274</v>
      </c>
      <c r="BR26" t="s">
        <v>274</v>
      </c>
    </row>
    <row r="27" spans="1:70" x14ac:dyDescent="0.3">
      <c r="A27" t="s">
        <v>48</v>
      </c>
      <c r="B27" t="s">
        <v>923</v>
      </c>
      <c r="C27" t="s">
        <v>578</v>
      </c>
      <c r="D27" t="s">
        <v>579</v>
      </c>
      <c r="E27" t="s">
        <v>274</v>
      </c>
      <c r="F27" t="s">
        <v>274</v>
      </c>
      <c r="G27" t="s">
        <v>274</v>
      </c>
      <c r="H27" t="s">
        <v>274</v>
      </c>
      <c r="I27" t="s">
        <v>274</v>
      </c>
      <c r="J27" t="s">
        <v>274</v>
      </c>
      <c r="K27" t="s">
        <v>274</v>
      </c>
      <c r="L27" t="s">
        <v>274</v>
      </c>
      <c r="M27" t="s">
        <v>274</v>
      </c>
      <c r="N27" t="s">
        <v>274</v>
      </c>
      <c r="O27" t="s">
        <v>274</v>
      </c>
      <c r="P27" t="s">
        <v>274</v>
      </c>
      <c r="Q27" t="s">
        <v>274</v>
      </c>
      <c r="R27" t="s">
        <v>274</v>
      </c>
      <c r="S27" t="s">
        <v>274</v>
      </c>
      <c r="T27" t="s">
        <v>274</v>
      </c>
      <c r="U27" t="s">
        <v>924</v>
      </c>
      <c r="V27" t="s">
        <v>924</v>
      </c>
      <c r="W27" t="s">
        <v>924</v>
      </c>
      <c r="X27" t="s">
        <v>924</v>
      </c>
      <c r="Y27" t="s">
        <v>925</v>
      </c>
      <c r="Z27" t="s">
        <v>926</v>
      </c>
      <c r="AA27" t="s">
        <v>926</v>
      </c>
      <c r="AB27" t="s">
        <v>926</v>
      </c>
      <c r="AC27" t="s">
        <v>926</v>
      </c>
      <c r="AD27" t="s">
        <v>926</v>
      </c>
      <c r="AE27" t="s">
        <v>927</v>
      </c>
      <c r="AF27" t="s">
        <v>928</v>
      </c>
      <c r="AG27" s="14" t="s">
        <v>928</v>
      </c>
      <c r="AH27" t="s">
        <v>928</v>
      </c>
      <c r="AI27" t="s">
        <v>928</v>
      </c>
      <c r="AJ27" t="s">
        <v>929</v>
      </c>
      <c r="AK27" t="s">
        <v>930</v>
      </c>
      <c r="AL27" t="s">
        <v>930</v>
      </c>
      <c r="AM27" t="s">
        <v>931</v>
      </c>
      <c r="AN27" t="s">
        <v>927</v>
      </c>
      <c r="AO27" t="s">
        <v>927</v>
      </c>
      <c r="AP27" t="s">
        <v>927</v>
      </c>
      <c r="AQ27" t="s">
        <v>932</v>
      </c>
      <c r="AR27" t="s">
        <v>933</v>
      </c>
      <c r="AS27" t="s">
        <v>934</v>
      </c>
      <c r="AT27" t="s">
        <v>935</v>
      </c>
      <c r="AU27" t="s">
        <v>936</v>
      </c>
      <c r="AV27" t="s">
        <v>937</v>
      </c>
      <c r="AW27" t="s">
        <v>938</v>
      </c>
      <c r="AX27" t="s">
        <v>939</v>
      </c>
      <c r="AY27" t="s">
        <v>940</v>
      </c>
      <c r="AZ27" t="s">
        <v>941</v>
      </c>
      <c r="BA27" t="s">
        <v>942</v>
      </c>
      <c r="BB27" t="s">
        <v>943</v>
      </c>
      <c r="BC27" t="s">
        <v>944</v>
      </c>
      <c r="BD27" t="s">
        <v>945</v>
      </c>
      <c r="BE27" t="s">
        <v>946</v>
      </c>
      <c r="BF27" t="s">
        <v>947</v>
      </c>
      <c r="BG27" t="s">
        <v>948</v>
      </c>
      <c r="BH27" t="s">
        <v>949</v>
      </c>
      <c r="BI27" t="s">
        <v>950</v>
      </c>
      <c r="BJ27" t="s">
        <v>951</v>
      </c>
      <c r="BK27" t="s">
        <v>952</v>
      </c>
      <c r="BL27" t="s">
        <v>953</v>
      </c>
      <c r="BM27" t="s">
        <v>954</v>
      </c>
      <c r="BN27" t="s">
        <v>955</v>
      </c>
      <c r="BO27" t="s">
        <v>956</v>
      </c>
      <c r="BP27" t="s">
        <v>957</v>
      </c>
      <c r="BQ27" t="s">
        <v>958</v>
      </c>
      <c r="BR27" t="s">
        <v>274</v>
      </c>
    </row>
    <row r="28" spans="1:70" x14ac:dyDescent="0.3">
      <c r="A28" t="s">
        <v>49</v>
      </c>
      <c r="B28" t="s">
        <v>959</v>
      </c>
      <c r="C28" t="s">
        <v>578</v>
      </c>
      <c r="D28" t="s">
        <v>579</v>
      </c>
      <c r="E28" t="s">
        <v>274</v>
      </c>
      <c r="F28" t="s">
        <v>274</v>
      </c>
      <c r="G28" t="s">
        <v>274</v>
      </c>
      <c r="H28" t="s">
        <v>274</v>
      </c>
      <c r="I28" t="s">
        <v>274</v>
      </c>
      <c r="J28" t="s">
        <v>274</v>
      </c>
      <c r="K28" t="s">
        <v>274</v>
      </c>
      <c r="L28" t="s">
        <v>274</v>
      </c>
      <c r="M28" t="s">
        <v>274</v>
      </c>
      <c r="N28" t="s">
        <v>274</v>
      </c>
      <c r="O28" t="s">
        <v>274</v>
      </c>
      <c r="P28" t="s">
        <v>274</v>
      </c>
      <c r="Q28" t="s">
        <v>274</v>
      </c>
      <c r="R28" t="s">
        <v>274</v>
      </c>
      <c r="S28" t="s">
        <v>274</v>
      </c>
      <c r="T28" t="s">
        <v>274</v>
      </c>
      <c r="U28" t="s">
        <v>274</v>
      </c>
      <c r="V28" t="s">
        <v>274</v>
      </c>
      <c r="W28" t="s">
        <v>274</v>
      </c>
      <c r="X28" t="s">
        <v>274</v>
      </c>
      <c r="Y28" t="s">
        <v>274</v>
      </c>
      <c r="Z28" t="s">
        <v>274</v>
      </c>
      <c r="AA28" t="s">
        <v>274</v>
      </c>
      <c r="AB28" t="s">
        <v>274</v>
      </c>
      <c r="AC28" t="s">
        <v>274</v>
      </c>
      <c r="AD28" t="s">
        <v>274</v>
      </c>
      <c r="AE28" t="s">
        <v>274</v>
      </c>
      <c r="AF28" t="s">
        <v>274</v>
      </c>
      <c r="AG28" s="14" t="s">
        <v>274</v>
      </c>
      <c r="AH28" t="s">
        <v>274</v>
      </c>
      <c r="AI28" t="s">
        <v>274</v>
      </c>
      <c r="AJ28" t="s">
        <v>274</v>
      </c>
      <c r="AK28" t="s">
        <v>960</v>
      </c>
      <c r="AL28" t="s">
        <v>961</v>
      </c>
      <c r="AM28" t="s">
        <v>962</v>
      </c>
      <c r="AN28" t="s">
        <v>963</v>
      </c>
      <c r="AO28" t="s">
        <v>964</v>
      </c>
      <c r="AP28" t="s">
        <v>965</v>
      </c>
      <c r="AQ28" t="s">
        <v>966</v>
      </c>
      <c r="AR28" t="s">
        <v>967</v>
      </c>
      <c r="AS28" t="s">
        <v>968</v>
      </c>
      <c r="AT28" t="s">
        <v>969</v>
      </c>
      <c r="AU28" t="s">
        <v>970</v>
      </c>
      <c r="AV28" t="s">
        <v>971</v>
      </c>
      <c r="AW28" t="s">
        <v>972</v>
      </c>
      <c r="AX28" t="s">
        <v>973</v>
      </c>
      <c r="AY28" t="s">
        <v>974</v>
      </c>
      <c r="AZ28" t="s">
        <v>975</v>
      </c>
      <c r="BA28" t="s">
        <v>976</v>
      </c>
      <c r="BB28" t="s">
        <v>977</v>
      </c>
      <c r="BC28" t="s">
        <v>978</v>
      </c>
      <c r="BD28" t="s">
        <v>979</v>
      </c>
      <c r="BE28" t="s">
        <v>980</v>
      </c>
      <c r="BF28" t="s">
        <v>981</v>
      </c>
      <c r="BG28" t="s">
        <v>982</v>
      </c>
      <c r="BH28" t="s">
        <v>983</v>
      </c>
      <c r="BI28" t="s">
        <v>984</v>
      </c>
      <c r="BJ28" t="s">
        <v>985</v>
      </c>
      <c r="BK28" t="s">
        <v>986</v>
      </c>
      <c r="BL28" t="s">
        <v>987</v>
      </c>
      <c r="BM28" t="s">
        <v>988</v>
      </c>
      <c r="BN28" t="s">
        <v>989</v>
      </c>
      <c r="BO28" t="s">
        <v>990</v>
      </c>
      <c r="BP28" t="s">
        <v>991</v>
      </c>
      <c r="BQ28" t="s">
        <v>992</v>
      </c>
      <c r="BR28" t="s">
        <v>274</v>
      </c>
    </row>
    <row r="29" spans="1:70" x14ac:dyDescent="0.3">
      <c r="A29" t="s">
        <v>50</v>
      </c>
      <c r="B29" t="s">
        <v>993</v>
      </c>
      <c r="C29" t="s">
        <v>578</v>
      </c>
      <c r="D29" t="s">
        <v>579</v>
      </c>
      <c r="E29" t="s">
        <v>274</v>
      </c>
      <c r="F29" t="s">
        <v>274</v>
      </c>
      <c r="G29" t="s">
        <v>274</v>
      </c>
      <c r="H29" t="s">
        <v>274</v>
      </c>
      <c r="I29" t="s">
        <v>274</v>
      </c>
      <c r="J29" t="s">
        <v>274</v>
      </c>
      <c r="K29" t="s">
        <v>274</v>
      </c>
      <c r="L29" t="s">
        <v>274</v>
      </c>
      <c r="M29" t="s">
        <v>274</v>
      </c>
      <c r="N29" t="s">
        <v>274</v>
      </c>
      <c r="O29" t="s">
        <v>274</v>
      </c>
      <c r="P29" t="s">
        <v>274</v>
      </c>
      <c r="Q29" t="s">
        <v>274</v>
      </c>
      <c r="R29" t="s">
        <v>274</v>
      </c>
      <c r="S29" t="s">
        <v>274</v>
      </c>
      <c r="T29" t="s">
        <v>274</v>
      </c>
      <c r="U29" t="s">
        <v>274</v>
      </c>
      <c r="V29" t="s">
        <v>274</v>
      </c>
      <c r="W29" t="s">
        <v>274</v>
      </c>
      <c r="X29" t="s">
        <v>274</v>
      </c>
      <c r="Y29" t="s">
        <v>274</v>
      </c>
      <c r="Z29" t="s">
        <v>274</v>
      </c>
      <c r="AA29" t="s">
        <v>274</v>
      </c>
      <c r="AB29" t="s">
        <v>274</v>
      </c>
      <c r="AC29" t="s">
        <v>274</v>
      </c>
      <c r="AD29" t="s">
        <v>274</v>
      </c>
      <c r="AE29" t="s">
        <v>994</v>
      </c>
      <c r="AF29" t="s">
        <v>995</v>
      </c>
      <c r="AG29" s="14" t="s">
        <v>996</v>
      </c>
      <c r="AH29" t="s">
        <v>997</v>
      </c>
      <c r="AI29" t="s">
        <v>997</v>
      </c>
      <c r="AJ29" t="s">
        <v>998</v>
      </c>
      <c r="AK29" t="s">
        <v>999</v>
      </c>
      <c r="AL29" t="s">
        <v>1000</v>
      </c>
      <c r="AM29" t="s">
        <v>1001</v>
      </c>
      <c r="AN29" t="s">
        <v>1002</v>
      </c>
      <c r="AO29" t="s">
        <v>1003</v>
      </c>
      <c r="AP29" t="s">
        <v>1004</v>
      </c>
      <c r="AQ29" t="s">
        <v>1005</v>
      </c>
      <c r="AR29" t="s">
        <v>1006</v>
      </c>
      <c r="AS29" t="s">
        <v>1007</v>
      </c>
      <c r="AT29" t="s">
        <v>1008</v>
      </c>
      <c r="AU29" t="s">
        <v>1009</v>
      </c>
      <c r="AV29" t="s">
        <v>1010</v>
      </c>
      <c r="AW29" t="s">
        <v>1011</v>
      </c>
      <c r="AX29" t="s">
        <v>1012</v>
      </c>
      <c r="AY29" t="s">
        <v>1013</v>
      </c>
      <c r="AZ29" t="s">
        <v>1014</v>
      </c>
      <c r="BA29" t="s">
        <v>1015</v>
      </c>
      <c r="BB29" t="s">
        <v>1016</v>
      </c>
      <c r="BC29" t="s">
        <v>1017</v>
      </c>
      <c r="BD29" t="s">
        <v>1018</v>
      </c>
      <c r="BE29" t="s">
        <v>1019</v>
      </c>
      <c r="BF29" t="s">
        <v>1020</v>
      </c>
      <c r="BG29" t="s">
        <v>1021</v>
      </c>
      <c r="BH29" t="s">
        <v>1022</v>
      </c>
      <c r="BI29" t="s">
        <v>274</v>
      </c>
      <c r="BJ29" t="s">
        <v>274</v>
      </c>
      <c r="BK29" t="s">
        <v>274</v>
      </c>
      <c r="BL29" t="s">
        <v>274</v>
      </c>
      <c r="BM29" t="s">
        <v>274</v>
      </c>
      <c r="BN29" t="s">
        <v>274</v>
      </c>
      <c r="BO29" t="s">
        <v>274</v>
      </c>
      <c r="BP29" t="s">
        <v>274</v>
      </c>
      <c r="BQ29" t="s">
        <v>274</v>
      </c>
      <c r="BR29" t="s">
        <v>274</v>
      </c>
    </row>
    <row r="30" spans="1:70" x14ac:dyDescent="0.3">
      <c r="A30" t="s">
        <v>51</v>
      </c>
      <c r="B30" t="s">
        <v>1023</v>
      </c>
      <c r="C30" t="s">
        <v>578</v>
      </c>
      <c r="D30" t="s">
        <v>579</v>
      </c>
      <c r="E30" t="s">
        <v>274</v>
      </c>
      <c r="F30" t="s">
        <v>274</v>
      </c>
      <c r="G30" t="s">
        <v>274</v>
      </c>
      <c r="H30" t="s">
        <v>274</v>
      </c>
      <c r="I30" t="s">
        <v>274</v>
      </c>
      <c r="J30" t="s">
        <v>274</v>
      </c>
      <c r="K30" t="s">
        <v>274</v>
      </c>
      <c r="L30" t="s">
        <v>274</v>
      </c>
      <c r="M30" t="s">
        <v>274</v>
      </c>
      <c r="N30" t="s">
        <v>274</v>
      </c>
      <c r="O30" t="s">
        <v>274</v>
      </c>
      <c r="P30" t="s">
        <v>274</v>
      </c>
      <c r="Q30" t="s">
        <v>274</v>
      </c>
      <c r="R30" t="s">
        <v>274</v>
      </c>
      <c r="S30" t="s">
        <v>274</v>
      </c>
      <c r="T30" t="s">
        <v>274</v>
      </c>
      <c r="U30" t="s">
        <v>594</v>
      </c>
      <c r="V30" t="s">
        <v>594</v>
      </c>
      <c r="W30" t="s">
        <v>594</v>
      </c>
      <c r="X30" t="s">
        <v>800</v>
      </c>
      <c r="Y30" t="s">
        <v>1024</v>
      </c>
      <c r="Z30" t="s">
        <v>580</v>
      </c>
      <c r="AA30" t="s">
        <v>580</v>
      </c>
      <c r="AB30" t="s">
        <v>580</v>
      </c>
      <c r="AC30" t="s">
        <v>580</v>
      </c>
      <c r="AD30" t="s">
        <v>1025</v>
      </c>
      <c r="AE30" t="s">
        <v>309</v>
      </c>
      <c r="AF30" t="s">
        <v>597</v>
      </c>
      <c r="AG30" s="14" t="s">
        <v>597</v>
      </c>
      <c r="AH30" t="s">
        <v>597</v>
      </c>
      <c r="AI30" t="s">
        <v>597</v>
      </c>
      <c r="AJ30" t="s">
        <v>597</v>
      </c>
      <c r="AK30" t="s">
        <v>1026</v>
      </c>
      <c r="AL30" t="s">
        <v>1027</v>
      </c>
      <c r="AM30" t="s">
        <v>1028</v>
      </c>
      <c r="AN30" t="s">
        <v>1029</v>
      </c>
      <c r="AO30" t="s">
        <v>1029</v>
      </c>
      <c r="AP30" t="s">
        <v>1029</v>
      </c>
      <c r="AQ30" t="s">
        <v>1029</v>
      </c>
      <c r="AR30" t="s">
        <v>1030</v>
      </c>
      <c r="AS30" t="s">
        <v>604</v>
      </c>
      <c r="AT30" t="s">
        <v>604</v>
      </c>
      <c r="AU30" t="s">
        <v>604</v>
      </c>
      <c r="AV30" t="s">
        <v>604</v>
      </c>
      <c r="AW30" t="s">
        <v>604</v>
      </c>
      <c r="AX30" t="s">
        <v>1031</v>
      </c>
      <c r="AY30" t="s">
        <v>785</v>
      </c>
      <c r="AZ30" t="s">
        <v>785</v>
      </c>
      <c r="BA30" t="s">
        <v>785</v>
      </c>
      <c r="BB30" t="s">
        <v>785</v>
      </c>
      <c r="BC30" t="s">
        <v>785</v>
      </c>
      <c r="BD30" t="s">
        <v>1032</v>
      </c>
      <c r="BE30" t="s">
        <v>1033</v>
      </c>
      <c r="BF30" t="s">
        <v>1033</v>
      </c>
      <c r="BG30" t="s">
        <v>1033</v>
      </c>
      <c r="BH30" t="s">
        <v>1033</v>
      </c>
      <c r="BI30" t="s">
        <v>1033</v>
      </c>
      <c r="BJ30" t="s">
        <v>1034</v>
      </c>
      <c r="BK30" t="s">
        <v>1034</v>
      </c>
      <c r="BL30" t="s">
        <v>1034</v>
      </c>
      <c r="BM30" t="s">
        <v>1034</v>
      </c>
      <c r="BN30" t="s">
        <v>1034</v>
      </c>
      <c r="BO30" t="s">
        <v>1034</v>
      </c>
      <c r="BP30" t="s">
        <v>1034</v>
      </c>
      <c r="BQ30" t="s">
        <v>274</v>
      </c>
      <c r="BR30" t="s">
        <v>274</v>
      </c>
    </row>
    <row r="31" spans="1:70" x14ac:dyDescent="0.3">
      <c r="A31" t="s">
        <v>199</v>
      </c>
      <c r="B31" t="s">
        <v>1035</v>
      </c>
      <c r="C31" t="s">
        <v>578</v>
      </c>
      <c r="D31" t="s">
        <v>579</v>
      </c>
      <c r="E31" t="s">
        <v>274</v>
      </c>
      <c r="F31" t="s">
        <v>274</v>
      </c>
      <c r="G31" t="s">
        <v>274</v>
      </c>
      <c r="H31" t="s">
        <v>274</v>
      </c>
      <c r="I31" t="s">
        <v>274</v>
      </c>
      <c r="J31" t="s">
        <v>274</v>
      </c>
      <c r="K31" t="s">
        <v>274</v>
      </c>
      <c r="L31" t="s">
        <v>274</v>
      </c>
      <c r="M31" t="s">
        <v>274</v>
      </c>
      <c r="N31" t="s">
        <v>274</v>
      </c>
      <c r="O31" t="s">
        <v>274</v>
      </c>
      <c r="P31" t="s">
        <v>274</v>
      </c>
      <c r="Q31" t="s">
        <v>274</v>
      </c>
      <c r="R31" t="s">
        <v>274</v>
      </c>
      <c r="S31" t="s">
        <v>274</v>
      </c>
      <c r="T31" t="s">
        <v>274</v>
      </c>
      <c r="U31" t="s">
        <v>274</v>
      </c>
      <c r="V31" t="s">
        <v>274</v>
      </c>
      <c r="W31" t="s">
        <v>274</v>
      </c>
      <c r="X31" t="s">
        <v>274</v>
      </c>
      <c r="Y31" t="s">
        <v>274</v>
      </c>
      <c r="Z31" t="s">
        <v>274</v>
      </c>
      <c r="AA31" t="s">
        <v>274</v>
      </c>
      <c r="AB31" t="s">
        <v>274</v>
      </c>
      <c r="AC31" t="s">
        <v>274</v>
      </c>
      <c r="AD31" t="s">
        <v>274</v>
      </c>
      <c r="AE31" t="s">
        <v>274</v>
      </c>
      <c r="AF31" t="s">
        <v>274</v>
      </c>
      <c r="AG31" s="14" t="s">
        <v>274</v>
      </c>
      <c r="AH31" t="s">
        <v>274</v>
      </c>
      <c r="AI31" t="s">
        <v>274</v>
      </c>
      <c r="AJ31" t="s">
        <v>274</v>
      </c>
      <c r="AK31" t="s">
        <v>274</v>
      </c>
      <c r="AL31" t="s">
        <v>274</v>
      </c>
      <c r="AM31" t="s">
        <v>274</v>
      </c>
      <c r="AN31" t="s">
        <v>274</v>
      </c>
      <c r="AO31" t="s">
        <v>274</v>
      </c>
      <c r="AP31" t="s">
        <v>274</v>
      </c>
      <c r="AQ31" t="s">
        <v>274</v>
      </c>
      <c r="AR31" t="s">
        <v>274</v>
      </c>
      <c r="AS31" t="s">
        <v>274</v>
      </c>
      <c r="AT31" t="s">
        <v>274</v>
      </c>
      <c r="AU31" t="s">
        <v>1036</v>
      </c>
      <c r="AV31" t="s">
        <v>280</v>
      </c>
      <c r="AW31" t="s">
        <v>1037</v>
      </c>
      <c r="AX31" t="s">
        <v>1038</v>
      </c>
      <c r="AY31" t="s">
        <v>1039</v>
      </c>
      <c r="AZ31" t="s">
        <v>1040</v>
      </c>
      <c r="BA31" t="s">
        <v>1041</v>
      </c>
      <c r="BB31" t="s">
        <v>1042</v>
      </c>
      <c r="BC31" t="s">
        <v>1043</v>
      </c>
      <c r="BD31" t="s">
        <v>1044</v>
      </c>
      <c r="BE31" t="s">
        <v>1045</v>
      </c>
      <c r="BF31" t="s">
        <v>1046</v>
      </c>
      <c r="BG31" t="s">
        <v>1047</v>
      </c>
      <c r="BH31" t="s">
        <v>1048</v>
      </c>
      <c r="BI31" t="s">
        <v>1049</v>
      </c>
      <c r="BJ31" t="s">
        <v>1050</v>
      </c>
      <c r="BK31" t="s">
        <v>1051</v>
      </c>
      <c r="BL31" t="s">
        <v>1052</v>
      </c>
      <c r="BM31" t="s">
        <v>1053</v>
      </c>
      <c r="BN31" t="s">
        <v>1054</v>
      </c>
      <c r="BO31" t="s">
        <v>1055</v>
      </c>
      <c r="BP31" t="s">
        <v>1056</v>
      </c>
      <c r="BQ31" t="s">
        <v>1057</v>
      </c>
      <c r="BR31" t="s">
        <v>274</v>
      </c>
    </row>
    <row r="32" spans="1:70" x14ac:dyDescent="0.3">
      <c r="A32" t="s">
        <v>200</v>
      </c>
      <c r="B32" t="s">
        <v>1058</v>
      </c>
      <c r="C32" t="s">
        <v>578</v>
      </c>
      <c r="D32" t="s">
        <v>579</v>
      </c>
      <c r="E32" t="s">
        <v>274</v>
      </c>
      <c r="F32" t="s">
        <v>274</v>
      </c>
      <c r="G32" t="s">
        <v>274</v>
      </c>
      <c r="H32" t="s">
        <v>274</v>
      </c>
      <c r="I32" t="s">
        <v>274</v>
      </c>
      <c r="J32" t="s">
        <v>274</v>
      </c>
      <c r="K32" t="s">
        <v>274</v>
      </c>
      <c r="L32" t="s">
        <v>274</v>
      </c>
      <c r="M32" t="s">
        <v>274</v>
      </c>
      <c r="N32" t="s">
        <v>274</v>
      </c>
      <c r="O32" t="s">
        <v>274</v>
      </c>
      <c r="P32" t="s">
        <v>274</v>
      </c>
      <c r="Q32" t="s">
        <v>274</v>
      </c>
      <c r="R32" t="s">
        <v>274</v>
      </c>
      <c r="S32" t="s">
        <v>274</v>
      </c>
      <c r="T32" t="s">
        <v>274</v>
      </c>
      <c r="U32" t="s">
        <v>274</v>
      </c>
      <c r="V32" t="s">
        <v>274</v>
      </c>
      <c r="W32" t="s">
        <v>274</v>
      </c>
      <c r="X32" t="s">
        <v>274</v>
      </c>
      <c r="Y32" t="s">
        <v>274</v>
      </c>
      <c r="Z32" t="s">
        <v>274</v>
      </c>
      <c r="AA32" t="s">
        <v>274</v>
      </c>
      <c r="AB32" t="s">
        <v>274</v>
      </c>
      <c r="AC32" t="s">
        <v>274</v>
      </c>
      <c r="AD32" t="s">
        <v>274</v>
      </c>
      <c r="AE32" t="s">
        <v>274</v>
      </c>
      <c r="AF32" t="s">
        <v>274</v>
      </c>
      <c r="AG32" s="14" t="s">
        <v>274</v>
      </c>
      <c r="AH32" t="s">
        <v>274</v>
      </c>
      <c r="AI32" t="s">
        <v>274</v>
      </c>
      <c r="AJ32" t="s">
        <v>274</v>
      </c>
      <c r="AK32" t="s">
        <v>1059</v>
      </c>
      <c r="AL32" t="s">
        <v>1060</v>
      </c>
      <c r="AM32" t="s">
        <v>1061</v>
      </c>
      <c r="AN32" t="s">
        <v>1062</v>
      </c>
      <c r="AO32" t="s">
        <v>1063</v>
      </c>
      <c r="AP32" t="s">
        <v>1064</v>
      </c>
      <c r="AQ32" t="s">
        <v>1065</v>
      </c>
      <c r="AR32" t="s">
        <v>1066</v>
      </c>
      <c r="AS32" t="s">
        <v>1067</v>
      </c>
      <c r="AT32" t="s">
        <v>1068</v>
      </c>
      <c r="AU32" t="s">
        <v>1069</v>
      </c>
      <c r="AV32" t="s">
        <v>1070</v>
      </c>
      <c r="AW32" t="s">
        <v>1071</v>
      </c>
      <c r="AX32" t="s">
        <v>1072</v>
      </c>
      <c r="AY32" t="s">
        <v>1073</v>
      </c>
      <c r="AZ32" t="s">
        <v>1074</v>
      </c>
      <c r="BA32" t="s">
        <v>1075</v>
      </c>
      <c r="BB32" t="s">
        <v>1076</v>
      </c>
      <c r="BC32" t="s">
        <v>1077</v>
      </c>
      <c r="BD32" t="s">
        <v>1078</v>
      </c>
      <c r="BE32" t="s">
        <v>1079</v>
      </c>
      <c r="BF32" t="s">
        <v>1080</v>
      </c>
      <c r="BG32" t="s">
        <v>1081</v>
      </c>
      <c r="BH32" t="s">
        <v>1082</v>
      </c>
      <c r="BI32" t="s">
        <v>1083</v>
      </c>
      <c r="BJ32" t="s">
        <v>1084</v>
      </c>
      <c r="BK32" t="s">
        <v>1085</v>
      </c>
      <c r="BL32" t="s">
        <v>1086</v>
      </c>
      <c r="BM32" t="s">
        <v>1087</v>
      </c>
      <c r="BN32" t="s">
        <v>1088</v>
      </c>
      <c r="BO32" t="s">
        <v>1089</v>
      </c>
      <c r="BP32" t="s">
        <v>1090</v>
      </c>
      <c r="BQ32" t="s">
        <v>1091</v>
      </c>
      <c r="BR32" t="s">
        <v>274</v>
      </c>
    </row>
    <row r="33" spans="1:70" x14ac:dyDescent="0.3">
      <c r="A33" t="s">
        <v>53</v>
      </c>
      <c r="B33" t="s">
        <v>1092</v>
      </c>
      <c r="C33" t="s">
        <v>578</v>
      </c>
      <c r="D33" t="s">
        <v>579</v>
      </c>
      <c r="E33" t="s">
        <v>274</v>
      </c>
      <c r="F33" t="s">
        <v>274</v>
      </c>
      <c r="G33" t="s">
        <v>274</v>
      </c>
      <c r="H33" t="s">
        <v>274</v>
      </c>
      <c r="I33" t="s">
        <v>274</v>
      </c>
      <c r="J33" t="s">
        <v>274</v>
      </c>
      <c r="K33" t="s">
        <v>274</v>
      </c>
      <c r="L33" t="s">
        <v>274</v>
      </c>
      <c r="M33" t="s">
        <v>274</v>
      </c>
      <c r="N33" t="s">
        <v>274</v>
      </c>
      <c r="O33" t="s">
        <v>274</v>
      </c>
      <c r="P33" t="s">
        <v>274</v>
      </c>
      <c r="Q33" t="s">
        <v>274</v>
      </c>
      <c r="R33" t="s">
        <v>274</v>
      </c>
      <c r="S33" t="s">
        <v>274</v>
      </c>
      <c r="T33" t="s">
        <v>274</v>
      </c>
      <c r="U33" t="s">
        <v>274</v>
      </c>
      <c r="V33" t="s">
        <v>274</v>
      </c>
      <c r="W33" t="s">
        <v>274</v>
      </c>
      <c r="X33" t="s">
        <v>274</v>
      </c>
      <c r="Y33" t="s">
        <v>274</v>
      </c>
      <c r="Z33" t="s">
        <v>274</v>
      </c>
      <c r="AA33" t="s">
        <v>1093</v>
      </c>
      <c r="AB33" t="s">
        <v>1093</v>
      </c>
      <c r="AC33" t="s">
        <v>1093</v>
      </c>
      <c r="AD33" t="s">
        <v>1093</v>
      </c>
      <c r="AE33" t="s">
        <v>1094</v>
      </c>
      <c r="AF33" t="s">
        <v>1095</v>
      </c>
      <c r="AG33" s="14" t="s">
        <v>1096</v>
      </c>
      <c r="AH33" t="s">
        <v>872</v>
      </c>
      <c r="AI33" t="s">
        <v>1097</v>
      </c>
      <c r="AJ33" t="s">
        <v>1098</v>
      </c>
      <c r="AK33" t="s">
        <v>1099</v>
      </c>
      <c r="AL33" t="s">
        <v>1100</v>
      </c>
      <c r="AM33" t="s">
        <v>1101</v>
      </c>
      <c r="AN33" t="s">
        <v>1102</v>
      </c>
      <c r="AO33" t="s">
        <v>1103</v>
      </c>
      <c r="AP33" t="s">
        <v>1104</v>
      </c>
      <c r="AQ33" t="s">
        <v>1105</v>
      </c>
      <c r="AR33" t="s">
        <v>1106</v>
      </c>
      <c r="AS33" t="s">
        <v>1107</v>
      </c>
      <c r="AT33" t="s">
        <v>1108</v>
      </c>
      <c r="AU33" t="s">
        <v>1109</v>
      </c>
      <c r="AV33" t="s">
        <v>1110</v>
      </c>
      <c r="AW33" t="s">
        <v>1111</v>
      </c>
      <c r="AX33" t="s">
        <v>1112</v>
      </c>
      <c r="AY33" t="s">
        <v>1113</v>
      </c>
      <c r="AZ33" t="s">
        <v>1114</v>
      </c>
      <c r="BA33" t="s">
        <v>1115</v>
      </c>
      <c r="BB33" t="s">
        <v>1116</v>
      </c>
      <c r="BC33" t="s">
        <v>1117</v>
      </c>
      <c r="BD33" t="s">
        <v>1118</v>
      </c>
      <c r="BE33" t="s">
        <v>1119</v>
      </c>
      <c r="BF33" t="s">
        <v>1120</v>
      </c>
      <c r="BG33" t="s">
        <v>1121</v>
      </c>
      <c r="BH33" t="s">
        <v>1122</v>
      </c>
      <c r="BI33" t="s">
        <v>1123</v>
      </c>
      <c r="BJ33" t="s">
        <v>1124</v>
      </c>
      <c r="BK33" t="s">
        <v>1125</v>
      </c>
      <c r="BL33" t="s">
        <v>1126</v>
      </c>
      <c r="BM33" t="s">
        <v>1127</v>
      </c>
      <c r="BN33" t="s">
        <v>1128</v>
      </c>
      <c r="BO33" t="s">
        <v>1129</v>
      </c>
      <c r="BP33" t="s">
        <v>1130</v>
      </c>
      <c r="BQ33" t="s">
        <v>1131</v>
      </c>
      <c r="BR33" t="s">
        <v>274</v>
      </c>
    </row>
    <row r="34" spans="1:70" x14ac:dyDescent="0.3">
      <c r="A34" t="s">
        <v>54</v>
      </c>
      <c r="B34" t="s">
        <v>1132</v>
      </c>
      <c r="C34" t="s">
        <v>578</v>
      </c>
      <c r="D34" t="s">
        <v>579</v>
      </c>
      <c r="E34" t="s">
        <v>274</v>
      </c>
      <c r="F34" t="s">
        <v>274</v>
      </c>
      <c r="G34" t="s">
        <v>274</v>
      </c>
      <c r="H34" t="s">
        <v>274</v>
      </c>
      <c r="I34" t="s">
        <v>274</v>
      </c>
      <c r="J34" t="s">
        <v>274</v>
      </c>
      <c r="K34" t="s">
        <v>274</v>
      </c>
      <c r="L34" t="s">
        <v>274</v>
      </c>
      <c r="M34" t="s">
        <v>274</v>
      </c>
      <c r="N34" t="s">
        <v>274</v>
      </c>
      <c r="O34" t="s">
        <v>274</v>
      </c>
      <c r="P34" t="s">
        <v>274</v>
      </c>
      <c r="Q34" t="s">
        <v>274</v>
      </c>
      <c r="R34" t="s">
        <v>274</v>
      </c>
      <c r="S34" t="s">
        <v>274</v>
      </c>
      <c r="T34" t="s">
        <v>274</v>
      </c>
      <c r="U34" t="s">
        <v>274</v>
      </c>
      <c r="V34" t="s">
        <v>274</v>
      </c>
      <c r="W34" t="s">
        <v>274</v>
      </c>
      <c r="X34" t="s">
        <v>274</v>
      </c>
      <c r="Y34" t="s">
        <v>274</v>
      </c>
      <c r="Z34" t="s">
        <v>274</v>
      </c>
      <c r="AA34" t="s">
        <v>274</v>
      </c>
      <c r="AB34" t="s">
        <v>274</v>
      </c>
      <c r="AC34" t="s">
        <v>274</v>
      </c>
      <c r="AD34" t="s">
        <v>274</v>
      </c>
      <c r="AE34" t="s">
        <v>274</v>
      </c>
      <c r="AF34" t="s">
        <v>274</v>
      </c>
      <c r="AG34" s="14" t="s">
        <v>274</v>
      </c>
      <c r="AH34" t="s">
        <v>274</v>
      </c>
      <c r="AI34" t="s">
        <v>274</v>
      </c>
      <c r="AJ34" t="s">
        <v>274</v>
      </c>
      <c r="AK34" t="s">
        <v>274</v>
      </c>
      <c r="AL34" t="s">
        <v>274</v>
      </c>
      <c r="AM34" t="s">
        <v>274</v>
      </c>
      <c r="AN34" t="s">
        <v>274</v>
      </c>
      <c r="AO34" t="s">
        <v>274</v>
      </c>
      <c r="AP34" t="s">
        <v>274</v>
      </c>
      <c r="AQ34" t="s">
        <v>274</v>
      </c>
      <c r="AR34" t="s">
        <v>274</v>
      </c>
      <c r="AS34" t="s">
        <v>274</v>
      </c>
      <c r="AT34" t="s">
        <v>274</v>
      </c>
      <c r="AU34" t="s">
        <v>274</v>
      </c>
      <c r="AV34" t="s">
        <v>274</v>
      </c>
      <c r="AW34" t="s">
        <v>274</v>
      </c>
      <c r="AX34" t="s">
        <v>274</v>
      </c>
      <c r="AY34" t="s">
        <v>274</v>
      </c>
      <c r="AZ34" t="s">
        <v>274</v>
      </c>
      <c r="BA34" t="s">
        <v>274</v>
      </c>
      <c r="BB34" t="s">
        <v>274</v>
      </c>
      <c r="BC34" t="s">
        <v>274</v>
      </c>
      <c r="BD34" t="s">
        <v>274</v>
      </c>
      <c r="BE34" t="s">
        <v>274</v>
      </c>
      <c r="BF34" t="s">
        <v>274</v>
      </c>
      <c r="BG34" t="s">
        <v>274</v>
      </c>
      <c r="BH34" t="s">
        <v>274</v>
      </c>
      <c r="BI34" t="s">
        <v>274</v>
      </c>
      <c r="BJ34" t="s">
        <v>274</v>
      </c>
      <c r="BK34" t="s">
        <v>274</v>
      </c>
      <c r="BL34" t="s">
        <v>274</v>
      </c>
      <c r="BM34" t="s">
        <v>274</v>
      </c>
      <c r="BN34" t="s">
        <v>274</v>
      </c>
      <c r="BO34" t="s">
        <v>274</v>
      </c>
      <c r="BP34" t="s">
        <v>274</v>
      </c>
      <c r="BQ34" t="s">
        <v>274</v>
      </c>
      <c r="BR34" t="s">
        <v>274</v>
      </c>
    </row>
    <row r="35" spans="1:70" x14ac:dyDescent="0.3">
      <c r="A35" t="s">
        <v>55</v>
      </c>
      <c r="B35" t="s">
        <v>1133</v>
      </c>
      <c r="C35" t="s">
        <v>578</v>
      </c>
      <c r="D35" t="s">
        <v>579</v>
      </c>
      <c r="E35" t="s">
        <v>274</v>
      </c>
      <c r="F35" t="s">
        <v>274</v>
      </c>
      <c r="G35" t="s">
        <v>274</v>
      </c>
      <c r="H35" t="s">
        <v>274</v>
      </c>
      <c r="I35" t="s">
        <v>274</v>
      </c>
      <c r="J35" t="s">
        <v>274</v>
      </c>
      <c r="K35" t="s">
        <v>274</v>
      </c>
      <c r="L35" t="s">
        <v>274</v>
      </c>
      <c r="M35" t="s">
        <v>274</v>
      </c>
      <c r="N35" t="s">
        <v>274</v>
      </c>
      <c r="O35" t="s">
        <v>274</v>
      </c>
      <c r="P35" t="s">
        <v>274</v>
      </c>
      <c r="Q35" t="s">
        <v>274</v>
      </c>
      <c r="R35" t="s">
        <v>274</v>
      </c>
      <c r="S35" t="s">
        <v>274</v>
      </c>
      <c r="T35" t="s">
        <v>274</v>
      </c>
      <c r="U35" t="s">
        <v>274</v>
      </c>
      <c r="V35" t="s">
        <v>274</v>
      </c>
      <c r="W35" t="s">
        <v>274</v>
      </c>
      <c r="X35" t="s">
        <v>274</v>
      </c>
      <c r="Y35" t="s">
        <v>274</v>
      </c>
      <c r="Z35" t="s">
        <v>274</v>
      </c>
      <c r="AA35" t="s">
        <v>274</v>
      </c>
      <c r="AB35" t="s">
        <v>274</v>
      </c>
      <c r="AC35" t="s">
        <v>274</v>
      </c>
      <c r="AD35" t="s">
        <v>274</v>
      </c>
      <c r="AE35" t="s">
        <v>274</v>
      </c>
      <c r="AF35" t="s">
        <v>1134</v>
      </c>
      <c r="AG35" s="14" t="s">
        <v>1135</v>
      </c>
      <c r="AH35" t="s">
        <v>1136</v>
      </c>
      <c r="AI35" t="s">
        <v>1137</v>
      </c>
      <c r="AJ35" t="s">
        <v>1138</v>
      </c>
      <c r="AK35" t="s">
        <v>1139</v>
      </c>
      <c r="AL35" t="s">
        <v>1140</v>
      </c>
      <c r="AM35" t="s">
        <v>1141</v>
      </c>
      <c r="AN35" t="s">
        <v>1142</v>
      </c>
      <c r="AO35" t="s">
        <v>1143</v>
      </c>
      <c r="AP35" t="s">
        <v>1144</v>
      </c>
      <c r="AQ35" t="s">
        <v>1145</v>
      </c>
      <c r="AR35" t="s">
        <v>1146</v>
      </c>
      <c r="AS35" t="s">
        <v>1147</v>
      </c>
      <c r="AT35" t="s">
        <v>1148</v>
      </c>
      <c r="AU35" t="s">
        <v>1149</v>
      </c>
      <c r="AV35" t="s">
        <v>1150</v>
      </c>
      <c r="AW35" t="s">
        <v>1151</v>
      </c>
      <c r="AX35" t="s">
        <v>1152</v>
      </c>
      <c r="AY35" t="s">
        <v>1153</v>
      </c>
      <c r="AZ35" t="s">
        <v>1154</v>
      </c>
      <c r="BA35" t="s">
        <v>1155</v>
      </c>
      <c r="BB35" t="s">
        <v>1156</v>
      </c>
      <c r="BC35" t="s">
        <v>1157</v>
      </c>
      <c r="BD35" t="s">
        <v>1158</v>
      </c>
      <c r="BE35" t="s">
        <v>1159</v>
      </c>
      <c r="BF35" t="s">
        <v>1160</v>
      </c>
      <c r="BG35" t="s">
        <v>1161</v>
      </c>
      <c r="BH35" t="s">
        <v>1162</v>
      </c>
      <c r="BI35" t="s">
        <v>1163</v>
      </c>
      <c r="BJ35" t="s">
        <v>1164</v>
      </c>
      <c r="BK35" t="s">
        <v>1165</v>
      </c>
      <c r="BL35" t="s">
        <v>1166</v>
      </c>
      <c r="BM35" t="s">
        <v>1167</v>
      </c>
      <c r="BN35" t="s">
        <v>1168</v>
      </c>
      <c r="BO35" t="s">
        <v>1169</v>
      </c>
      <c r="BP35" t="s">
        <v>1170</v>
      </c>
      <c r="BQ35" t="s">
        <v>274</v>
      </c>
      <c r="BR35" t="s">
        <v>274</v>
      </c>
    </row>
    <row r="36" spans="1:70" x14ac:dyDescent="0.3">
      <c r="A36" t="s">
        <v>56</v>
      </c>
      <c r="B36" t="s">
        <v>1171</v>
      </c>
      <c r="C36" t="s">
        <v>578</v>
      </c>
      <c r="D36" t="s">
        <v>579</v>
      </c>
      <c r="E36" t="s">
        <v>274</v>
      </c>
      <c r="F36" t="s">
        <v>274</v>
      </c>
      <c r="G36" t="s">
        <v>274</v>
      </c>
      <c r="H36" t="s">
        <v>274</v>
      </c>
      <c r="I36" t="s">
        <v>274</v>
      </c>
      <c r="J36" t="s">
        <v>274</v>
      </c>
      <c r="K36" t="s">
        <v>274</v>
      </c>
      <c r="L36" t="s">
        <v>274</v>
      </c>
      <c r="M36" t="s">
        <v>274</v>
      </c>
      <c r="N36" t="s">
        <v>274</v>
      </c>
      <c r="O36" t="s">
        <v>274</v>
      </c>
      <c r="P36" t="s">
        <v>274</v>
      </c>
      <c r="Q36" t="s">
        <v>274</v>
      </c>
      <c r="R36" t="s">
        <v>274</v>
      </c>
      <c r="S36" t="s">
        <v>274</v>
      </c>
      <c r="T36" t="s">
        <v>274</v>
      </c>
      <c r="U36" t="s">
        <v>274</v>
      </c>
      <c r="V36" t="s">
        <v>274</v>
      </c>
      <c r="W36" t="s">
        <v>274</v>
      </c>
      <c r="X36" t="s">
        <v>274</v>
      </c>
      <c r="Y36" t="s">
        <v>274</v>
      </c>
      <c r="Z36" t="s">
        <v>274</v>
      </c>
      <c r="AA36" t="s">
        <v>274</v>
      </c>
      <c r="AB36" t="s">
        <v>274</v>
      </c>
      <c r="AC36" t="s">
        <v>274</v>
      </c>
      <c r="AD36" t="s">
        <v>274</v>
      </c>
      <c r="AE36" t="s">
        <v>274</v>
      </c>
      <c r="AF36" t="s">
        <v>274</v>
      </c>
      <c r="AG36" s="14" t="s">
        <v>274</v>
      </c>
      <c r="AH36" t="s">
        <v>274</v>
      </c>
      <c r="AI36" t="s">
        <v>274</v>
      </c>
      <c r="AJ36" t="s">
        <v>274</v>
      </c>
      <c r="AK36" t="s">
        <v>274</v>
      </c>
      <c r="AL36" t="s">
        <v>274</v>
      </c>
      <c r="AM36" t="s">
        <v>274</v>
      </c>
      <c r="AN36" t="s">
        <v>274</v>
      </c>
      <c r="AO36" t="s">
        <v>274</v>
      </c>
      <c r="AP36" t="s">
        <v>1172</v>
      </c>
      <c r="AQ36" t="s">
        <v>1173</v>
      </c>
      <c r="AR36" t="s">
        <v>1174</v>
      </c>
      <c r="AS36" t="s">
        <v>1175</v>
      </c>
      <c r="AT36" t="s">
        <v>1176</v>
      </c>
      <c r="AU36" t="s">
        <v>1177</v>
      </c>
      <c r="AV36" t="s">
        <v>1178</v>
      </c>
      <c r="AW36" t="s">
        <v>1179</v>
      </c>
      <c r="AX36" t="s">
        <v>1180</v>
      </c>
      <c r="AY36" t="s">
        <v>1181</v>
      </c>
      <c r="AZ36" t="s">
        <v>1182</v>
      </c>
      <c r="BA36" t="s">
        <v>1183</v>
      </c>
      <c r="BB36" t="s">
        <v>1184</v>
      </c>
      <c r="BC36" t="s">
        <v>1185</v>
      </c>
      <c r="BD36" t="s">
        <v>1186</v>
      </c>
      <c r="BE36" t="s">
        <v>1187</v>
      </c>
      <c r="BF36" t="s">
        <v>1188</v>
      </c>
      <c r="BG36" t="s">
        <v>1189</v>
      </c>
      <c r="BH36" t="s">
        <v>1190</v>
      </c>
      <c r="BI36" t="s">
        <v>1191</v>
      </c>
      <c r="BJ36" t="s">
        <v>1192</v>
      </c>
      <c r="BK36" t="s">
        <v>1193</v>
      </c>
      <c r="BL36" t="s">
        <v>1194</v>
      </c>
      <c r="BM36" t="s">
        <v>1195</v>
      </c>
      <c r="BN36" t="s">
        <v>1196</v>
      </c>
      <c r="BO36" t="s">
        <v>1197</v>
      </c>
      <c r="BP36" t="s">
        <v>1198</v>
      </c>
      <c r="BQ36" t="s">
        <v>1199</v>
      </c>
      <c r="BR36" t="s">
        <v>274</v>
      </c>
    </row>
    <row r="37" spans="1:70" x14ac:dyDescent="0.3">
      <c r="A37" t="s">
        <v>57</v>
      </c>
      <c r="B37" t="s">
        <v>1200</v>
      </c>
      <c r="C37" t="s">
        <v>578</v>
      </c>
      <c r="D37" t="s">
        <v>579</v>
      </c>
      <c r="E37" t="s">
        <v>274</v>
      </c>
      <c r="F37" t="s">
        <v>274</v>
      </c>
      <c r="G37" t="s">
        <v>274</v>
      </c>
      <c r="H37" t="s">
        <v>274</v>
      </c>
      <c r="I37" t="s">
        <v>274</v>
      </c>
      <c r="J37" t="s">
        <v>274</v>
      </c>
      <c r="K37" t="s">
        <v>274</v>
      </c>
      <c r="L37" t="s">
        <v>274</v>
      </c>
      <c r="M37" t="s">
        <v>274</v>
      </c>
      <c r="N37" t="s">
        <v>274</v>
      </c>
      <c r="O37" t="s">
        <v>274</v>
      </c>
      <c r="P37" t="s">
        <v>274</v>
      </c>
      <c r="Q37" t="s">
        <v>274</v>
      </c>
      <c r="R37" t="s">
        <v>274</v>
      </c>
      <c r="S37" t="s">
        <v>274</v>
      </c>
      <c r="T37" t="s">
        <v>274</v>
      </c>
      <c r="U37" t="s">
        <v>274</v>
      </c>
      <c r="V37" t="s">
        <v>274</v>
      </c>
      <c r="W37" t="s">
        <v>274</v>
      </c>
      <c r="X37" t="s">
        <v>274</v>
      </c>
      <c r="Y37" t="s">
        <v>274</v>
      </c>
      <c r="Z37" t="s">
        <v>1201</v>
      </c>
      <c r="AA37" t="s">
        <v>1202</v>
      </c>
      <c r="AB37" t="s">
        <v>1203</v>
      </c>
      <c r="AC37" t="s">
        <v>805</v>
      </c>
      <c r="AD37" t="s">
        <v>1204</v>
      </c>
      <c r="AE37" t="s">
        <v>1205</v>
      </c>
      <c r="AF37" t="s">
        <v>1206</v>
      </c>
      <c r="AG37" s="14" t="s">
        <v>1207</v>
      </c>
      <c r="AH37" t="s">
        <v>798</v>
      </c>
      <c r="AI37" t="s">
        <v>1208</v>
      </c>
      <c r="AJ37" t="s">
        <v>804</v>
      </c>
      <c r="AK37" t="s">
        <v>1209</v>
      </c>
      <c r="AL37" t="s">
        <v>1210</v>
      </c>
      <c r="AM37" t="s">
        <v>1211</v>
      </c>
      <c r="AN37" t="s">
        <v>1212</v>
      </c>
      <c r="AO37" t="s">
        <v>1212</v>
      </c>
      <c r="AP37" t="s">
        <v>1213</v>
      </c>
      <c r="AQ37" t="s">
        <v>1214</v>
      </c>
      <c r="AR37" t="s">
        <v>1215</v>
      </c>
      <c r="AS37" t="s">
        <v>1216</v>
      </c>
      <c r="AT37" t="s">
        <v>1217</v>
      </c>
      <c r="AU37" t="s">
        <v>599</v>
      </c>
      <c r="AV37" t="s">
        <v>599</v>
      </c>
      <c r="AW37" t="s">
        <v>1218</v>
      </c>
      <c r="AX37" t="s">
        <v>1219</v>
      </c>
      <c r="AY37" t="s">
        <v>1220</v>
      </c>
      <c r="AZ37" t="s">
        <v>1221</v>
      </c>
      <c r="BA37" t="s">
        <v>1222</v>
      </c>
      <c r="BB37" t="s">
        <v>1223</v>
      </c>
      <c r="BC37" t="s">
        <v>1224</v>
      </c>
      <c r="BD37" t="s">
        <v>1224</v>
      </c>
      <c r="BE37" t="s">
        <v>1224</v>
      </c>
      <c r="BF37" t="s">
        <v>1224</v>
      </c>
      <c r="BG37" t="s">
        <v>1225</v>
      </c>
      <c r="BH37" t="s">
        <v>1226</v>
      </c>
      <c r="BI37" t="s">
        <v>1227</v>
      </c>
      <c r="BJ37" t="s">
        <v>1227</v>
      </c>
      <c r="BK37" t="s">
        <v>1227</v>
      </c>
      <c r="BL37" t="s">
        <v>1227</v>
      </c>
      <c r="BM37" t="s">
        <v>1227</v>
      </c>
      <c r="BN37" t="s">
        <v>1227</v>
      </c>
      <c r="BO37" t="s">
        <v>1227</v>
      </c>
      <c r="BP37" t="s">
        <v>274</v>
      </c>
      <c r="BQ37" t="s">
        <v>274</v>
      </c>
      <c r="BR37" t="s">
        <v>274</v>
      </c>
    </row>
    <row r="38" spans="1:70" x14ac:dyDescent="0.3">
      <c r="A38" t="s">
        <v>1228</v>
      </c>
      <c r="B38" t="s">
        <v>1229</v>
      </c>
      <c r="C38" t="s">
        <v>578</v>
      </c>
      <c r="D38" t="s">
        <v>579</v>
      </c>
      <c r="E38" t="s">
        <v>274</v>
      </c>
      <c r="F38" t="s">
        <v>274</v>
      </c>
      <c r="G38" t="s">
        <v>274</v>
      </c>
      <c r="H38" t="s">
        <v>274</v>
      </c>
      <c r="I38" t="s">
        <v>274</v>
      </c>
      <c r="J38" t="s">
        <v>274</v>
      </c>
      <c r="K38" t="s">
        <v>274</v>
      </c>
      <c r="L38" t="s">
        <v>274</v>
      </c>
      <c r="M38" t="s">
        <v>274</v>
      </c>
      <c r="N38" t="s">
        <v>274</v>
      </c>
      <c r="O38" t="s">
        <v>274</v>
      </c>
      <c r="P38" t="s">
        <v>274</v>
      </c>
      <c r="Q38" t="s">
        <v>274</v>
      </c>
      <c r="R38" t="s">
        <v>274</v>
      </c>
      <c r="S38" t="s">
        <v>274</v>
      </c>
      <c r="T38" t="s">
        <v>274</v>
      </c>
      <c r="U38" t="s">
        <v>274</v>
      </c>
      <c r="V38" t="s">
        <v>274</v>
      </c>
      <c r="W38" t="s">
        <v>274</v>
      </c>
      <c r="X38" t="s">
        <v>274</v>
      </c>
      <c r="Y38" t="s">
        <v>274</v>
      </c>
      <c r="Z38" t="s">
        <v>274</v>
      </c>
      <c r="AA38" t="s">
        <v>274</v>
      </c>
      <c r="AB38" t="s">
        <v>274</v>
      </c>
      <c r="AC38" t="s">
        <v>274</v>
      </c>
      <c r="AD38" t="s">
        <v>274</v>
      </c>
      <c r="AE38" t="s">
        <v>274</v>
      </c>
      <c r="AF38" t="s">
        <v>274</v>
      </c>
      <c r="AG38" s="14" t="s">
        <v>274</v>
      </c>
      <c r="AH38" t="s">
        <v>274</v>
      </c>
      <c r="AI38" t="s">
        <v>274</v>
      </c>
      <c r="AJ38" t="s">
        <v>274</v>
      </c>
      <c r="AK38" t="s">
        <v>274</v>
      </c>
      <c r="AL38" t="s">
        <v>274</v>
      </c>
      <c r="AM38" t="s">
        <v>274</v>
      </c>
      <c r="AN38" t="s">
        <v>274</v>
      </c>
      <c r="AO38" t="s">
        <v>274</v>
      </c>
      <c r="AP38" t="s">
        <v>274</v>
      </c>
      <c r="AQ38" t="s">
        <v>1230</v>
      </c>
      <c r="AR38" t="s">
        <v>785</v>
      </c>
      <c r="AS38" t="s">
        <v>785</v>
      </c>
      <c r="AT38" t="s">
        <v>785</v>
      </c>
      <c r="AU38" t="s">
        <v>785</v>
      </c>
      <c r="AV38" t="s">
        <v>785</v>
      </c>
      <c r="AW38" t="s">
        <v>785</v>
      </c>
      <c r="AX38" t="s">
        <v>785</v>
      </c>
      <c r="AY38" t="s">
        <v>785</v>
      </c>
      <c r="AZ38" t="s">
        <v>785</v>
      </c>
      <c r="BA38" t="s">
        <v>785</v>
      </c>
      <c r="BB38" t="s">
        <v>785</v>
      </c>
      <c r="BC38" t="s">
        <v>785</v>
      </c>
      <c r="BD38" t="s">
        <v>785</v>
      </c>
      <c r="BE38" t="s">
        <v>785</v>
      </c>
      <c r="BF38" t="s">
        <v>785</v>
      </c>
      <c r="BG38" t="s">
        <v>785</v>
      </c>
      <c r="BH38" t="s">
        <v>785</v>
      </c>
      <c r="BI38" t="s">
        <v>785</v>
      </c>
      <c r="BJ38" t="s">
        <v>785</v>
      </c>
      <c r="BK38" t="s">
        <v>785</v>
      </c>
      <c r="BL38" t="s">
        <v>785</v>
      </c>
      <c r="BM38" t="s">
        <v>785</v>
      </c>
      <c r="BN38" t="s">
        <v>785</v>
      </c>
      <c r="BO38" t="s">
        <v>785</v>
      </c>
      <c r="BP38" t="s">
        <v>785</v>
      </c>
      <c r="BQ38" t="s">
        <v>785</v>
      </c>
      <c r="BR38" t="s">
        <v>274</v>
      </c>
    </row>
    <row r="39" spans="1:70" x14ac:dyDescent="0.3">
      <c r="A39" t="s">
        <v>1231</v>
      </c>
      <c r="B39" t="s">
        <v>1232</v>
      </c>
      <c r="C39" t="s">
        <v>578</v>
      </c>
      <c r="D39" t="s">
        <v>579</v>
      </c>
      <c r="E39" t="s">
        <v>274</v>
      </c>
      <c r="F39" t="s">
        <v>274</v>
      </c>
      <c r="G39" t="s">
        <v>274</v>
      </c>
      <c r="H39" t="s">
        <v>274</v>
      </c>
      <c r="I39" t="s">
        <v>274</v>
      </c>
      <c r="J39" t="s">
        <v>274</v>
      </c>
      <c r="K39" t="s">
        <v>274</v>
      </c>
      <c r="L39" t="s">
        <v>274</v>
      </c>
      <c r="M39" t="s">
        <v>274</v>
      </c>
      <c r="N39" t="s">
        <v>274</v>
      </c>
      <c r="O39" t="s">
        <v>274</v>
      </c>
      <c r="P39" t="s">
        <v>274</v>
      </c>
      <c r="Q39" t="s">
        <v>274</v>
      </c>
      <c r="R39" t="s">
        <v>274</v>
      </c>
      <c r="S39" t="s">
        <v>274</v>
      </c>
      <c r="T39" t="s">
        <v>274</v>
      </c>
      <c r="U39" t="s">
        <v>274</v>
      </c>
      <c r="V39" t="s">
        <v>274</v>
      </c>
      <c r="W39" t="s">
        <v>274</v>
      </c>
      <c r="X39" t="s">
        <v>274</v>
      </c>
      <c r="Y39" t="s">
        <v>274</v>
      </c>
      <c r="Z39" t="s">
        <v>274</v>
      </c>
      <c r="AA39" t="s">
        <v>616</v>
      </c>
      <c r="AB39" t="s">
        <v>616</v>
      </c>
      <c r="AC39" t="s">
        <v>616</v>
      </c>
      <c r="AD39" t="s">
        <v>616</v>
      </c>
      <c r="AE39" t="s">
        <v>616</v>
      </c>
      <c r="AF39" t="s">
        <v>616</v>
      </c>
      <c r="AG39" s="14" t="s">
        <v>616</v>
      </c>
      <c r="AH39" t="s">
        <v>616</v>
      </c>
      <c r="AI39" t="s">
        <v>616</v>
      </c>
      <c r="AJ39" t="s">
        <v>616</v>
      </c>
      <c r="AK39" t="s">
        <v>1233</v>
      </c>
      <c r="AL39" t="s">
        <v>1233</v>
      </c>
      <c r="AM39" t="s">
        <v>1234</v>
      </c>
      <c r="AN39" t="s">
        <v>1235</v>
      </c>
      <c r="AO39" t="s">
        <v>1235</v>
      </c>
      <c r="AP39" t="s">
        <v>1235</v>
      </c>
      <c r="AQ39" t="s">
        <v>1235</v>
      </c>
      <c r="AR39" t="s">
        <v>1235</v>
      </c>
      <c r="AS39" t="s">
        <v>1235</v>
      </c>
      <c r="AT39" t="s">
        <v>1236</v>
      </c>
      <c r="AU39" t="s">
        <v>1237</v>
      </c>
      <c r="AV39" t="s">
        <v>1238</v>
      </c>
      <c r="AW39" t="s">
        <v>616</v>
      </c>
      <c r="AX39" t="s">
        <v>1239</v>
      </c>
      <c r="AY39" t="s">
        <v>1240</v>
      </c>
      <c r="AZ39" t="s">
        <v>1240</v>
      </c>
      <c r="BA39" t="s">
        <v>1241</v>
      </c>
      <c r="BB39" t="s">
        <v>1242</v>
      </c>
      <c r="BC39" t="s">
        <v>1243</v>
      </c>
      <c r="BD39" t="s">
        <v>1240</v>
      </c>
      <c r="BE39" t="s">
        <v>1240</v>
      </c>
      <c r="BF39" t="s">
        <v>1244</v>
      </c>
      <c r="BG39" t="s">
        <v>1245</v>
      </c>
      <c r="BH39" t="s">
        <v>1246</v>
      </c>
      <c r="BI39" t="s">
        <v>1247</v>
      </c>
      <c r="BJ39" t="s">
        <v>1248</v>
      </c>
      <c r="BK39" t="s">
        <v>1240</v>
      </c>
      <c r="BL39" t="s">
        <v>1240</v>
      </c>
      <c r="BM39" t="s">
        <v>1240</v>
      </c>
      <c r="BN39" t="s">
        <v>1240</v>
      </c>
      <c r="BO39" t="s">
        <v>1240</v>
      </c>
      <c r="BP39" t="s">
        <v>1249</v>
      </c>
      <c r="BQ39" t="s">
        <v>274</v>
      </c>
      <c r="BR39" t="s">
        <v>274</v>
      </c>
    </row>
    <row r="40" spans="1:70" x14ac:dyDescent="0.3">
      <c r="A40" t="s">
        <v>202</v>
      </c>
      <c r="B40" t="s">
        <v>1250</v>
      </c>
      <c r="C40" t="s">
        <v>578</v>
      </c>
      <c r="D40" t="s">
        <v>579</v>
      </c>
      <c r="E40" t="s">
        <v>274</v>
      </c>
      <c r="F40" t="s">
        <v>274</v>
      </c>
      <c r="G40" t="s">
        <v>274</v>
      </c>
      <c r="H40" t="s">
        <v>274</v>
      </c>
      <c r="I40" t="s">
        <v>274</v>
      </c>
      <c r="J40" t="s">
        <v>274</v>
      </c>
      <c r="K40" t="s">
        <v>274</v>
      </c>
      <c r="L40" t="s">
        <v>274</v>
      </c>
      <c r="M40" t="s">
        <v>274</v>
      </c>
      <c r="N40" t="s">
        <v>274</v>
      </c>
      <c r="O40" t="s">
        <v>274</v>
      </c>
      <c r="P40" t="s">
        <v>274</v>
      </c>
      <c r="Q40" t="s">
        <v>274</v>
      </c>
      <c r="R40" t="s">
        <v>274</v>
      </c>
      <c r="S40" t="s">
        <v>274</v>
      </c>
      <c r="T40" t="s">
        <v>274</v>
      </c>
      <c r="U40" t="s">
        <v>274</v>
      </c>
      <c r="V40" t="s">
        <v>274</v>
      </c>
      <c r="W40" t="s">
        <v>274</v>
      </c>
      <c r="X40" t="s">
        <v>274</v>
      </c>
      <c r="Y40" t="s">
        <v>1251</v>
      </c>
      <c r="Z40" t="s">
        <v>1252</v>
      </c>
      <c r="AA40" t="s">
        <v>1253</v>
      </c>
      <c r="AB40" t="s">
        <v>1202</v>
      </c>
      <c r="AC40" t="s">
        <v>868</v>
      </c>
      <c r="AD40" t="s">
        <v>805</v>
      </c>
      <c r="AE40" t="s">
        <v>580</v>
      </c>
      <c r="AF40" t="s">
        <v>1212</v>
      </c>
      <c r="AG40" s="14" t="s">
        <v>1254</v>
      </c>
      <c r="AH40" t="s">
        <v>1255</v>
      </c>
      <c r="AI40" t="s">
        <v>1256</v>
      </c>
      <c r="AJ40" t="s">
        <v>802</v>
      </c>
      <c r="AK40" t="s">
        <v>1240</v>
      </c>
      <c r="AL40" t="s">
        <v>1257</v>
      </c>
      <c r="AM40" t="s">
        <v>1243</v>
      </c>
      <c r="AN40" t="s">
        <v>1258</v>
      </c>
      <c r="AO40" t="s">
        <v>1239</v>
      </c>
      <c r="AP40" t="s">
        <v>1259</v>
      </c>
      <c r="AQ40" t="s">
        <v>1260</v>
      </c>
      <c r="AR40" t="s">
        <v>1261</v>
      </c>
      <c r="AS40" t="s">
        <v>1262</v>
      </c>
      <c r="AT40" t="s">
        <v>346</v>
      </c>
      <c r="AU40" t="s">
        <v>1263</v>
      </c>
      <c r="AV40" t="s">
        <v>1264</v>
      </c>
      <c r="AW40" t="s">
        <v>346</v>
      </c>
      <c r="AX40" t="s">
        <v>1265</v>
      </c>
      <c r="AY40" t="s">
        <v>808</v>
      </c>
      <c r="AZ40" t="s">
        <v>1266</v>
      </c>
      <c r="BA40" t="s">
        <v>1267</v>
      </c>
      <c r="BB40" t="s">
        <v>1268</v>
      </c>
      <c r="BC40" t="s">
        <v>1201</v>
      </c>
      <c r="BD40" t="s">
        <v>580</v>
      </c>
      <c r="BE40" t="s">
        <v>580</v>
      </c>
      <c r="BF40" t="s">
        <v>1269</v>
      </c>
      <c r="BG40" t="s">
        <v>597</v>
      </c>
      <c r="BH40" t="s">
        <v>1270</v>
      </c>
      <c r="BI40" t="s">
        <v>600</v>
      </c>
      <c r="BJ40" t="s">
        <v>1028</v>
      </c>
      <c r="BK40" t="s">
        <v>1230</v>
      </c>
      <c r="BL40" t="s">
        <v>1271</v>
      </c>
      <c r="BM40" t="s">
        <v>1272</v>
      </c>
      <c r="BN40" t="s">
        <v>1273</v>
      </c>
      <c r="BO40" t="s">
        <v>1274</v>
      </c>
      <c r="BP40" t="s">
        <v>1275</v>
      </c>
      <c r="BQ40" t="s">
        <v>1276</v>
      </c>
      <c r="BR40" t="s">
        <v>274</v>
      </c>
    </row>
    <row r="41" spans="1:70" x14ac:dyDescent="0.3">
      <c r="A41" t="s">
        <v>58</v>
      </c>
      <c r="B41" t="s">
        <v>1277</v>
      </c>
      <c r="C41" t="s">
        <v>578</v>
      </c>
      <c r="D41" t="s">
        <v>579</v>
      </c>
      <c r="E41" t="s">
        <v>274</v>
      </c>
      <c r="F41" t="s">
        <v>274</v>
      </c>
      <c r="G41" t="s">
        <v>274</v>
      </c>
      <c r="H41" t="s">
        <v>274</v>
      </c>
      <c r="I41" t="s">
        <v>274</v>
      </c>
      <c r="J41" t="s">
        <v>274</v>
      </c>
      <c r="K41" t="s">
        <v>274</v>
      </c>
      <c r="L41" t="s">
        <v>274</v>
      </c>
      <c r="M41" t="s">
        <v>274</v>
      </c>
      <c r="N41" t="s">
        <v>274</v>
      </c>
      <c r="O41" t="s">
        <v>274</v>
      </c>
      <c r="P41" t="s">
        <v>274</v>
      </c>
      <c r="Q41" t="s">
        <v>274</v>
      </c>
      <c r="R41" t="s">
        <v>274</v>
      </c>
      <c r="S41" t="s">
        <v>274</v>
      </c>
      <c r="T41" t="s">
        <v>274</v>
      </c>
      <c r="U41" t="s">
        <v>274</v>
      </c>
      <c r="V41" t="s">
        <v>274</v>
      </c>
      <c r="W41" t="s">
        <v>274</v>
      </c>
      <c r="X41" t="s">
        <v>274</v>
      </c>
      <c r="Y41" t="s">
        <v>274</v>
      </c>
      <c r="Z41" t="s">
        <v>274</v>
      </c>
      <c r="AA41" t="s">
        <v>274</v>
      </c>
      <c r="AB41" t="s">
        <v>274</v>
      </c>
      <c r="AC41" t="s">
        <v>274</v>
      </c>
      <c r="AD41" t="s">
        <v>274</v>
      </c>
      <c r="AE41" t="s">
        <v>274</v>
      </c>
      <c r="AF41" t="s">
        <v>274</v>
      </c>
      <c r="AG41" s="14" t="s">
        <v>274</v>
      </c>
      <c r="AH41" t="s">
        <v>274</v>
      </c>
      <c r="AI41" t="s">
        <v>274</v>
      </c>
      <c r="AJ41" t="s">
        <v>274</v>
      </c>
      <c r="AK41" t="s">
        <v>274</v>
      </c>
      <c r="AL41" t="s">
        <v>274</v>
      </c>
      <c r="AM41" t="s">
        <v>274</v>
      </c>
      <c r="AN41" t="s">
        <v>274</v>
      </c>
      <c r="AO41" t="s">
        <v>274</v>
      </c>
      <c r="AP41" t="s">
        <v>274</v>
      </c>
      <c r="AQ41" t="s">
        <v>274</v>
      </c>
      <c r="AR41" t="s">
        <v>274</v>
      </c>
      <c r="AS41" t="s">
        <v>274</v>
      </c>
      <c r="AT41" t="s">
        <v>274</v>
      </c>
      <c r="AU41" t="s">
        <v>274</v>
      </c>
      <c r="AV41" t="s">
        <v>274</v>
      </c>
      <c r="AW41" t="s">
        <v>274</v>
      </c>
      <c r="AX41" t="s">
        <v>274</v>
      </c>
      <c r="AY41" t="s">
        <v>274</v>
      </c>
      <c r="AZ41" t="s">
        <v>274</v>
      </c>
      <c r="BA41" t="s">
        <v>274</v>
      </c>
      <c r="BB41" t="s">
        <v>274</v>
      </c>
      <c r="BC41" t="s">
        <v>274</v>
      </c>
      <c r="BD41" t="s">
        <v>274</v>
      </c>
      <c r="BE41" t="s">
        <v>274</v>
      </c>
      <c r="BF41" t="s">
        <v>274</v>
      </c>
      <c r="BG41" t="s">
        <v>274</v>
      </c>
      <c r="BH41" t="s">
        <v>274</v>
      </c>
      <c r="BI41" t="s">
        <v>274</v>
      </c>
      <c r="BJ41" t="s">
        <v>274</v>
      </c>
      <c r="BK41" t="s">
        <v>274</v>
      </c>
      <c r="BL41" t="s">
        <v>274</v>
      </c>
      <c r="BM41" t="s">
        <v>274</v>
      </c>
      <c r="BN41" t="s">
        <v>274</v>
      </c>
      <c r="BO41" t="s">
        <v>274</v>
      </c>
      <c r="BP41" t="s">
        <v>274</v>
      </c>
      <c r="BQ41" t="s">
        <v>274</v>
      </c>
      <c r="BR41" t="s">
        <v>274</v>
      </c>
    </row>
    <row r="42" spans="1:70" x14ac:dyDescent="0.3">
      <c r="A42" t="s">
        <v>59</v>
      </c>
      <c r="B42" t="s">
        <v>1278</v>
      </c>
      <c r="C42" t="s">
        <v>578</v>
      </c>
      <c r="D42" t="s">
        <v>579</v>
      </c>
      <c r="E42" t="s">
        <v>1272</v>
      </c>
      <c r="F42" t="s">
        <v>1279</v>
      </c>
      <c r="G42" t="s">
        <v>1280</v>
      </c>
      <c r="H42" t="s">
        <v>1272</v>
      </c>
      <c r="I42" t="s">
        <v>1272</v>
      </c>
      <c r="J42" t="s">
        <v>1281</v>
      </c>
      <c r="K42" t="s">
        <v>604</v>
      </c>
      <c r="L42" t="s">
        <v>1282</v>
      </c>
      <c r="M42" t="s">
        <v>1283</v>
      </c>
      <c r="N42" t="s">
        <v>1284</v>
      </c>
      <c r="O42" t="s">
        <v>1285</v>
      </c>
      <c r="P42" t="s">
        <v>1286</v>
      </c>
      <c r="Q42" t="s">
        <v>604</v>
      </c>
      <c r="R42" t="s">
        <v>1287</v>
      </c>
      <c r="S42" t="s">
        <v>1288</v>
      </c>
      <c r="T42" t="s">
        <v>812</v>
      </c>
      <c r="U42" t="s">
        <v>1289</v>
      </c>
      <c r="V42" t="s">
        <v>599</v>
      </c>
      <c r="W42" t="s">
        <v>1290</v>
      </c>
      <c r="X42" t="s">
        <v>1291</v>
      </c>
      <c r="Y42" t="s">
        <v>1248</v>
      </c>
      <c r="Z42" t="s">
        <v>1292</v>
      </c>
      <c r="AA42" t="s">
        <v>1293</v>
      </c>
      <c r="AB42" t="s">
        <v>1294</v>
      </c>
      <c r="AC42" t="s">
        <v>1295</v>
      </c>
      <c r="AD42" t="s">
        <v>811</v>
      </c>
      <c r="AE42" t="s">
        <v>1296</v>
      </c>
      <c r="AF42" t="s">
        <v>1297</v>
      </c>
      <c r="AG42" s="14" t="s">
        <v>1024</v>
      </c>
      <c r="AH42" t="s">
        <v>1298</v>
      </c>
      <c r="AI42" t="s">
        <v>1299</v>
      </c>
      <c r="AJ42" t="s">
        <v>1300</v>
      </c>
      <c r="AK42" t="s">
        <v>1301</v>
      </c>
      <c r="AL42" t="s">
        <v>1302</v>
      </c>
      <c r="AM42" t="s">
        <v>1028</v>
      </c>
      <c r="AN42" t="s">
        <v>1303</v>
      </c>
      <c r="AO42" t="s">
        <v>1304</v>
      </c>
      <c r="AP42" t="s">
        <v>1305</v>
      </c>
      <c r="AQ42" t="s">
        <v>1306</v>
      </c>
      <c r="AR42" t="s">
        <v>1307</v>
      </c>
      <c r="AS42" t="s">
        <v>1308</v>
      </c>
      <c r="AT42" t="s">
        <v>1309</v>
      </c>
      <c r="AU42" t="s">
        <v>1310</v>
      </c>
      <c r="AV42" t="s">
        <v>1311</v>
      </c>
      <c r="AW42" t="s">
        <v>1312</v>
      </c>
      <c r="AX42" t="s">
        <v>1313</v>
      </c>
      <c r="AY42" t="s">
        <v>1309</v>
      </c>
      <c r="AZ42" t="s">
        <v>1314</v>
      </c>
      <c r="BA42" t="s">
        <v>1315</v>
      </c>
      <c r="BB42" t="s">
        <v>1316</v>
      </c>
      <c r="BC42" t="s">
        <v>1317</v>
      </c>
      <c r="BD42" t="s">
        <v>1318</v>
      </c>
      <c r="BE42" t="s">
        <v>1318</v>
      </c>
      <c r="BF42" t="s">
        <v>1318</v>
      </c>
      <c r="BG42" t="s">
        <v>1318</v>
      </c>
      <c r="BH42" t="s">
        <v>1319</v>
      </c>
      <c r="BI42" t="s">
        <v>1320</v>
      </c>
      <c r="BJ42" t="s">
        <v>1320</v>
      </c>
      <c r="BK42" t="s">
        <v>274</v>
      </c>
      <c r="BL42" t="s">
        <v>274</v>
      </c>
      <c r="BM42" t="s">
        <v>274</v>
      </c>
      <c r="BN42" t="s">
        <v>274</v>
      </c>
      <c r="BO42" t="s">
        <v>274</v>
      </c>
      <c r="BP42" t="s">
        <v>274</v>
      </c>
      <c r="BQ42" t="s">
        <v>274</v>
      </c>
      <c r="BR42" t="s">
        <v>274</v>
      </c>
    </row>
    <row r="43" spans="1:70" x14ac:dyDescent="0.3">
      <c r="A43" t="s">
        <v>1321</v>
      </c>
      <c r="B43" t="s">
        <v>1322</v>
      </c>
      <c r="C43" t="s">
        <v>578</v>
      </c>
      <c r="D43" t="s">
        <v>579</v>
      </c>
      <c r="E43" t="s">
        <v>274</v>
      </c>
      <c r="F43" t="s">
        <v>274</v>
      </c>
      <c r="G43" t="s">
        <v>274</v>
      </c>
      <c r="H43" t="s">
        <v>274</v>
      </c>
      <c r="I43" t="s">
        <v>274</v>
      </c>
      <c r="J43" t="s">
        <v>274</v>
      </c>
      <c r="K43" t="s">
        <v>274</v>
      </c>
      <c r="L43" t="s">
        <v>274</v>
      </c>
      <c r="M43" t="s">
        <v>274</v>
      </c>
      <c r="N43" t="s">
        <v>274</v>
      </c>
      <c r="O43" t="s">
        <v>274</v>
      </c>
      <c r="P43" t="s">
        <v>274</v>
      </c>
      <c r="Q43" t="s">
        <v>274</v>
      </c>
      <c r="R43" t="s">
        <v>274</v>
      </c>
      <c r="S43" t="s">
        <v>274</v>
      </c>
      <c r="T43" t="s">
        <v>274</v>
      </c>
      <c r="U43" t="s">
        <v>274</v>
      </c>
      <c r="V43" t="s">
        <v>274</v>
      </c>
      <c r="W43" t="s">
        <v>274</v>
      </c>
      <c r="X43" t="s">
        <v>274</v>
      </c>
      <c r="Y43" t="s">
        <v>274</v>
      </c>
      <c r="Z43" t="s">
        <v>274</v>
      </c>
      <c r="AA43" t="s">
        <v>274</v>
      </c>
      <c r="AB43" t="s">
        <v>274</v>
      </c>
      <c r="AC43" t="s">
        <v>274</v>
      </c>
      <c r="AD43" t="s">
        <v>274</v>
      </c>
      <c r="AE43" t="s">
        <v>274</v>
      </c>
      <c r="AF43" t="s">
        <v>274</v>
      </c>
      <c r="AG43" s="14" t="s">
        <v>274</v>
      </c>
      <c r="AH43" t="s">
        <v>274</v>
      </c>
      <c r="AI43" t="s">
        <v>274</v>
      </c>
      <c r="AJ43" t="s">
        <v>274</v>
      </c>
      <c r="AK43" t="s">
        <v>274</v>
      </c>
      <c r="AL43" t="s">
        <v>274</v>
      </c>
      <c r="AM43" t="s">
        <v>274</v>
      </c>
      <c r="AN43" t="s">
        <v>274</v>
      </c>
      <c r="AO43" t="s">
        <v>274</v>
      </c>
      <c r="AP43" t="s">
        <v>274</v>
      </c>
      <c r="AQ43" t="s">
        <v>274</v>
      </c>
      <c r="AR43" t="s">
        <v>274</v>
      </c>
      <c r="AS43" t="s">
        <v>274</v>
      </c>
      <c r="AT43" t="s">
        <v>274</v>
      </c>
      <c r="AU43" t="s">
        <v>274</v>
      </c>
      <c r="AV43" t="s">
        <v>274</v>
      </c>
      <c r="AW43" t="s">
        <v>274</v>
      </c>
      <c r="AX43" t="s">
        <v>274</v>
      </c>
      <c r="AY43" t="s">
        <v>274</v>
      </c>
      <c r="AZ43" t="s">
        <v>274</v>
      </c>
      <c r="BA43" t="s">
        <v>274</v>
      </c>
      <c r="BB43" t="s">
        <v>274</v>
      </c>
      <c r="BC43" t="s">
        <v>274</v>
      </c>
      <c r="BD43" t="s">
        <v>274</v>
      </c>
      <c r="BE43" t="s">
        <v>274</v>
      </c>
      <c r="BF43" t="s">
        <v>274</v>
      </c>
      <c r="BG43" t="s">
        <v>274</v>
      </c>
      <c r="BH43" t="s">
        <v>274</v>
      </c>
      <c r="BI43" t="s">
        <v>274</v>
      </c>
      <c r="BJ43" t="s">
        <v>274</v>
      </c>
      <c r="BK43" t="s">
        <v>274</v>
      </c>
      <c r="BL43" t="s">
        <v>274</v>
      </c>
      <c r="BM43" t="s">
        <v>274</v>
      </c>
      <c r="BN43" t="s">
        <v>274</v>
      </c>
      <c r="BO43" t="s">
        <v>274</v>
      </c>
      <c r="BP43" t="s">
        <v>274</v>
      </c>
      <c r="BQ43" t="s">
        <v>274</v>
      </c>
      <c r="BR43" t="s">
        <v>274</v>
      </c>
    </row>
    <row r="44" spans="1:70" x14ac:dyDescent="0.3">
      <c r="A44" t="s">
        <v>60</v>
      </c>
      <c r="B44" t="s">
        <v>1323</v>
      </c>
      <c r="C44" t="s">
        <v>578</v>
      </c>
      <c r="D44" t="s">
        <v>579</v>
      </c>
      <c r="E44" t="s">
        <v>274</v>
      </c>
      <c r="F44" t="s">
        <v>274</v>
      </c>
      <c r="G44" t="s">
        <v>274</v>
      </c>
      <c r="H44" t="s">
        <v>274</v>
      </c>
      <c r="I44" t="s">
        <v>274</v>
      </c>
      <c r="J44" t="s">
        <v>274</v>
      </c>
      <c r="K44" t="s">
        <v>274</v>
      </c>
      <c r="L44" t="s">
        <v>274</v>
      </c>
      <c r="M44" t="s">
        <v>274</v>
      </c>
      <c r="N44" t="s">
        <v>274</v>
      </c>
      <c r="O44" t="s">
        <v>274</v>
      </c>
      <c r="P44" t="s">
        <v>274</v>
      </c>
      <c r="Q44" t="s">
        <v>274</v>
      </c>
      <c r="R44" t="s">
        <v>274</v>
      </c>
      <c r="S44" t="s">
        <v>274</v>
      </c>
      <c r="T44" t="s">
        <v>274</v>
      </c>
      <c r="U44" t="s">
        <v>274</v>
      </c>
      <c r="V44" t="s">
        <v>274</v>
      </c>
      <c r="W44" t="s">
        <v>274</v>
      </c>
      <c r="X44" t="s">
        <v>274</v>
      </c>
      <c r="Y44" t="s">
        <v>274</v>
      </c>
      <c r="Z44" t="s">
        <v>274</v>
      </c>
      <c r="AA44" t="s">
        <v>274</v>
      </c>
      <c r="AB44" t="s">
        <v>274</v>
      </c>
      <c r="AC44" t="s">
        <v>274</v>
      </c>
      <c r="AD44" t="s">
        <v>274</v>
      </c>
      <c r="AE44" t="s">
        <v>274</v>
      </c>
      <c r="AF44" t="s">
        <v>274</v>
      </c>
      <c r="AG44" s="14" t="s">
        <v>274</v>
      </c>
      <c r="AH44" t="s">
        <v>274</v>
      </c>
      <c r="AI44" t="s">
        <v>274</v>
      </c>
      <c r="AJ44" t="s">
        <v>274</v>
      </c>
      <c r="AK44" t="s">
        <v>274</v>
      </c>
      <c r="AL44" t="s">
        <v>274</v>
      </c>
      <c r="AM44" t="s">
        <v>274</v>
      </c>
      <c r="AN44" t="s">
        <v>274</v>
      </c>
      <c r="AO44" t="s">
        <v>274</v>
      </c>
      <c r="AP44" t="s">
        <v>274</v>
      </c>
      <c r="AQ44" t="s">
        <v>274</v>
      </c>
      <c r="AR44" t="s">
        <v>274</v>
      </c>
      <c r="AS44" t="s">
        <v>274</v>
      </c>
      <c r="AT44" t="s">
        <v>274</v>
      </c>
      <c r="AU44" t="s">
        <v>274</v>
      </c>
      <c r="AV44" t="s">
        <v>274</v>
      </c>
      <c r="AW44" t="s">
        <v>274</v>
      </c>
      <c r="AX44" t="s">
        <v>274</v>
      </c>
      <c r="AY44" t="s">
        <v>274</v>
      </c>
      <c r="AZ44" t="s">
        <v>274</v>
      </c>
      <c r="BA44" t="s">
        <v>1324</v>
      </c>
      <c r="BB44" t="s">
        <v>1325</v>
      </c>
      <c r="BC44" t="s">
        <v>1326</v>
      </c>
      <c r="BD44" t="s">
        <v>1327</v>
      </c>
      <c r="BE44" t="s">
        <v>1328</v>
      </c>
      <c r="BF44" t="s">
        <v>1329</v>
      </c>
      <c r="BG44" t="s">
        <v>1330</v>
      </c>
      <c r="BH44" t="s">
        <v>1331</v>
      </c>
      <c r="BI44" t="s">
        <v>1332</v>
      </c>
      <c r="BJ44" t="s">
        <v>1333</v>
      </c>
      <c r="BK44" t="s">
        <v>1334</v>
      </c>
      <c r="BL44" t="s">
        <v>1335</v>
      </c>
      <c r="BM44" t="s">
        <v>1336</v>
      </c>
      <c r="BN44" t="s">
        <v>1337</v>
      </c>
      <c r="BO44" t="s">
        <v>1338</v>
      </c>
      <c r="BP44" t="s">
        <v>1339</v>
      </c>
      <c r="BQ44" t="s">
        <v>1340</v>
      </c>
      <c r="BR44" t="s">
        <v>274</v>
      </c>
    </row>
    <row r="45" spans="1:70" x14ac:dyDescent="0.3">
      <c r="A45" t="s">
        <v>1341</v>
      </c>
      <c r="B45" t="s">
        <v>1342</v>
      </c>
      <c r="C45" t="s">
        <v>578</v>
      </c>
      <c r="D45" t="s">
        <v>579</v>
      </c>
      <c r="E45" t="s">
        <v>274</v>
      </c>
      <c r="F45" t="s">
        <v>274</v>
      </c>
      <c r="G45" t="s">
        <v>274</v>
      </c>
      <c r="H45" t="s">
        <v>274</v>
      </c>
      <c r="I45" t="s">
        <v>274</v>
      </c>
      <c r="J45" t="s">
        <v>274</v>
      </c>
      <c r="K45" t="s">
        <v>274</v>
      </c>
      <c r="L45" t="s">
        <v>274</v>
      </c>
      <c r="M45" t="s">
        <v>274</v>
      </c>
      <c r="N45" t="s">
        <v>274</v>
      </c>
      <c r="O45" t="s">
        <v>274</v>
      </c>
      <c r="P45" t="s">
        <v>274</v>
      </c>
      <c r="Q45" t="s">
        <v>274</v>
      </c>
      <c r="R45" t="s">
        <v>274</v>
      </c>
      <c r="S45" t="s">
        <v>274</v>
      </c>
      <c r="T45" t="s">
        <v>274</v>
      </c>
      <c r="U45" t="s">
        <v>274</v>
      </c>
      <c r="V45" t="s">
        <v>274</v>
      </c>
      <c r="W45" t="s">
        <v>274</v>
      </c>
      <c r="X45" t="s">
        <v>274</v>
      </c>
      <c r="Y45" t="s">
        <v>274</v>
      </c>
      <c r="Z45" t="s">
        <v>274</v>
      </c>
      <c r="AA45" t="s">
        <v>274</v>
      </c>
      <c r="AB45" t="s">
        <v>274</v>
      </c>
      <c r="AC45" t="s">
        <v>274</v>
      </c>
      <c r="AD45" t="s">
        <v>274</v>
      </c>
      <c r="AE45" t="s">
        <v>274</v>
      </c>
      <c r="AF45" t="s">
        <v>274</v>
      </c>
      <c r="AG45" s="14" t="s">
        <v>274</v>
      </c>
      <c r="AH45" t="s">
        <v>274</v>
      </c>
      <c r="AI45" t="s">
        <v>274</v>
      </c>
      <c r="AJ45" t="s">
        <v>274</v>
      </c>
      <c r="AK45" t="s">
        <v>274</v>
      </c>
      <c r="AL45" t="s">
        <v>274</v>
      </c>
      <c r="AM45" t="s">
        <v>274</v>
      </c>
      <c r="AN45" t="s">
        <v>274</v>
      </c>
      <c r="AO45" t="s">
        <v>274</v>
      </c>
      <c r="AP45" t="s">
        <v>274</v>
      </c>
      <c r="AQ45" t="s">
        <v>274</v>
      </c>
      <c r="AR45" t="s">
        <v>274</v>
      </c>
      <c r="AS45" t="s">
        <v>274</v>
      </c>
      <c r="AT45" t="s">
        <v>274</v>
      </c>
      <c r="AU45" t="s">
        <v>274</v>
      </c>
      <c r="AV45" t="s">
        <v>274</v>
      </c>
      <c r="AW45" t="s">
        <v>274</v>
      </c>
      <c r="AX45" t="s">
        <v>274</v>
      </c>
      <c r="AY45" t="s">
        <v>274</v>
      </c>
      <c r="AZ45" t="s">
        <v>274</v>
      </c>
      <c r="BA45" t="s">
        <v>274</v>
      </c>
      <c r="BB45" t="s">
        <v>274</v>
      </c>
      <c r="BC45" t="s">
        <v>274</v>
      </c>
      <c r="BD45" t="s">
        <v>274</v>
      </c>
      <c r="BE45" t="s">
        <v>274</v>
      </c>
      <c r="BF45" t="s">
        <v>274</v>
      </c>
      <c r="BG45" t="s">
        <v>274</v>
      </c>
      <c r="BH45" t="s">
        <v>274</v>
      </c>
      <c r="BI45" t="s">
        <v>274</v>
      </c>
      <c r="BJ45" t="s">
        <v>274</v>
      </c>
      <c r="BK45" t="s">
        <v>274</v>
      </c>
      <c r="BL45" t="s">
        <v>274</v>
      </c>
      <c r="BM45" t="s">
        <v>274</v>
      </c>
      <c r="BN45" t="s">
        <v>274</v>
      </c>
      <c r="BO45" t="s">
        <v>274</v>
      </c>
      <c r="BP45" t="s">
        <v>274</v>
      </c>
      <c r="BQ45" t="s">
        <v>274</v>
      </c>
      <c r="BR45" t="s">
        <v>274</v>
      </c>
    </row>
    <row r="46" spans="1:70" x14ac:dyDescent="0.3">
      <c r="A46" t="s">
        <v>61</v>
      </c>
      <c r="B46" t="s">
        <v>1343</v>
      </c>
      <c r="C46" t="s">
        <v>578</v>
      </c>
      <c r="D46" t="s">
        <v>579</v>
      </c>
      <c r="E46" t="s">
        <v>274</v>
      </c>
      <c r="F46" t="s">
        <v>274</v>
      </c>
      <c r="G46" t="s">
        <v>274</v>
      </c>
      <c r="H46" t="s">
        <v>274</v>
      </c>
      <c r="I46" t="s">
        <v>274</v>
      </c>
      <c r="J46" t="s">
        <v>274</v>
      </c>
      <c r="K46" t="s">
        <v>274</v>
      </c>
      <c r="L46" t="s">
        <v>274</v>
      </c>
      <c r="M46" t="s">
        <v>274</v>
      </c>
      <c r="N46" t="s">
        <v>274</v>
      </c>
      <c r="O46" t="s">
        <v>274</v>
      </c>
      <c r="P46" t="s">
        <v>274</v>
      </c>
      <c r="Q46" t="s">
        <v>274</v>
      </c>
      <c r="R46" t="s">
        <v>274</v>
      </c>
      <c r="S46" t="s">
        <v>274</v>
      </c>
      <c r="T46" t="s">
        <v>274</v>
      </c>
      <c r="U46" t="s">
        <v>274</v>
      </c>
      <c r="V46" t="s">
        <v>274</v>
      </c>
      <c r="W46" t="s">
        <v>274</v>
      </c>
      <c r="X46" t="s">
        <v>274</v>
      </c>
      <c r="Y46" t="s">
        <v>274</v>
      </c>
      <c r="Z46" t="s">
        <v>274</v>
      </c>
      <c r="AA46" t="s">
        <v>274</v>
      </c>
      <c r="AB46" t="s">
        <v>274</v>
      </c>
      <c r="AC46" t="s">
        <v>274</v>
      </c>
      <c r="AD46" t="s">
        <v>1344</v>
      </c>
      <c r="AE46" t="s">
        <v>1345</v>
      </c>
      <c r="AF46" t="s">
        <v>1346</v>
      </c>
      <c r="AG46" s="14" t="s">
        <v>1347</v>
      </c>
      <c r="AH46" t="s">
        <v>1348</v>
      </c>
      <c r="AI46" t="s">
        <v>1349</v>
      </c>
      <c r="AJ46" t="s">
        <v>1350</v>
      </c>
      <c r="AK46" t="s">
        <v>1351</v>
      </c>
      <c r="AL46" t="s">
        <v>1352</v>
      </c>
      <c r="AM46" t="s">
        <v>1353</v>
      </c>
      <c r="AN46" t="s">
        <v>1354</v>
      </c>
      <c r="AO46" t="s">
        <v>1355</v>
      </c>
      <c r="AP46" t="s">
        <v>1356</v>
      </c>
      <c r="AQ46" t="s">
        <v>1357</v>
      </c>
      <c r="AR46" t="s">
        <v>1358</v>
      </c>
      <c r="AS46" t="s">
        <v>1359</v>
      </c>
      <c r="AT46" t="s">
        <v>1360</v>
      </c>
      <c r="AU46" t="s">
        <v>1361</v>
      </c>
      <c r="AV46" t="s">
        <v>1362</v>
      </c>
      <c r="AW46" t="s">
        <v>1363</v>
      </c>
      <c r="AX46" t="s">
        <v>1364</v>
      </c>
      <c r="AY46" t="s">
        <v>1365</v>
      </c>
      <c r="AZ46" t="s">
        <v>1366</v>
      </c>
      <c r="BA46" t="s">
        <v>1367</v>
      </c>
      <c r="BB46" t="s">
        <v>1368</v>
      </c>
      <c r="BC46" t="s">
        <v>1369</v>
      </c>
      <c r="BD46" t="s">
        <v>1370</v>
      </c>
      <c r="BE46" t="s">
        <v>1371</v>
      </c>
      <c r="BF46" t="s">
        <v>1372</v>
      </c>
      <c r="BG46" t="s">
        <v>1373</v>
      </c>
      <c r="BH46" t="s">
        <v>1374</v>
      </c>
      <c r="BI46" t="s">
        <v>1375</v>
      </c>
      <c r="BJ46" t="s">
        <v>1376</v>
      </c>
      <c r="BK46" t="s">
        <v>1377</v>
      </c>
      <c r="BL46" t="s">
        <v>274</v>
      </c>
      <c r="BM46" t="s">
        <v>274</v>
      </c>
      <c r="BN46" t="s">
        <v>274</v>
      </c>
      <c r="BO46" t="s">
        <v>274</v>
      </c>
      <c r="BP46" t="s">
        <v>274</v>
      </c>
      <c r="BQ46" t="s">
        <v>274</v>
      </c>
      <c r="BR46" t="s">
        <v>274</v>
      </c>
    </row>
    <row r="47" spans="1:70" x14ac:dyDescent="0.3">
      <c r="A47" t="s">
        <v>62</v>
      </c>
      <c r="B47" t="s">
        <v>1378</v>
      </c>
      <c r="C47" t="s">
        <v>578</v>
      </c>
      <c r="D47" t="s">
        <v>579</v>
      </c>
      <c r="E47" t="s">
        <v>274</v>
      </c>
      <c r="F47" t="s">
        <v>274</v>
      </c>
      <c r="G47" t="s">
        <v>274</v>
      </c>
      <c r="H47" t="s">
        <v>274</v>
      </c>
      <c r="I47" t="s">
        <v>274</v>
      </c>
      <c r="J47" t="s">
        <v>274</v>
      </c>
      <c r="K47" t="s">
        <v>274</v>
      </c>
      <c r="L47" t="s">
        <v>274</v>
      </c>
      <c r="M47" t="s">
        <v>274</v>
      </c>
      <c r="N47" t="s">
        <v>274</v>
      </c>
      <c r="O47" t="s">
        <v>274</v>
      </c>
      <c r="P47" t="s">
        <v>274</v>
      </c>
      <c r="Q47" t="s">
        <v>274</v>
      </c>
      <c r="R47" t="s">
        <v>274</v>
      </c>
      <c r="S47" t="s">
        <v>274</v>
      </c>
      <c r="T47" t="s">
        <v>274</v>
      </c>
      <c r="U47" t="s">
        <v>274</v>
      </c>
      <c r="V47" t="s">
        <v>274</v>
      </c>
      <c r="W47" t="s">
        <v>274</v>
      </c>
      <c r="X47" t="s">
        <v>274</v>
      </c>
      <c r="Y47" t="s">
        <v>1379</v>
      </c>
      <c r="Z47" t="s">
        <v>1379</v>
      </c>
      <c r="AA47" t="s">
        <v>1380</v>
      </c>
      <c r="AB47" t="s">
        <v>1380</v>
      </c>
      <c r="AC47" t="s">
        <v>1380</v>
      </c>
      <c r="AD47" t="s">
        <v>1381</v>
      </c>
      <c r="AE47" t="s">
        <v>1382</v>
      </c>
      <c r="AF47" t="s">
        <v>1382</v>
      </c>
      <c r="AG47" s="14" t="s">
        <v>597</v>
      </c>
      <c r="AH47" t="s">
        <v>1383</v>
      </c>
      <c r="AI47" t="s">
        <v>1384</v>
      </c>
      <c r="AJ47" t="s">
        <v>1385</v>
      </c>
      <c r="AK47" t="s">
        <v>1385</v>
      </c>
      <c r="AL47" t="s">
        <v>1386</v>
      </c>
      <c r="AM47" t="s">
        <v>1386</v>
      </c>
      <c r="AN47" t="s">
        <v>1387</v>
      </c>
      <c r="AO47" t="s">
        <v>1388</v>
      </c>
      <c r="AP47" t="s">
        <v>1385</v>
      </c>
      <c r="AQ47" t="s">
        <v>1389</v>
      </c>
      <c r="AR47" t="s">
        <v>332</v>
      </c>
      <c r="AS47" t="s">
        <v>332</v>
      </c>
      <c r="AT47" t="s">
        <v>332</v>
      </c>
      <c r="AU47" t="s">
        <v>1390</v>
      </c>
      <c r="AV47" t="s">
        <v>1390</v>
      </c>
      <c r="AW47" t="s">
        <v>1391</v>
      </c>
      <c r="AX47" t="s">
        <v>1391</v>
      </c>
      <c r="AY47" t="s">
        <v>1392</v>
      </c>
      <c r="AZ47" t="s">
        <v>1393</v>
      </c>
      <c r="BA47" t="s">
        <v>1390</v>
      </c>
      <c r="BB47" t="s">
        <v>1390</v>
      </c>
      <c r="BC47" t="s">
        <v>1394</v>
      </c>
      <c r="BD47" t="s">
        <v>1395</v>
      </c>
      <c r="BE47" t="s">
        <v>604</v>
      </c>
      <c r="BF47" t="s">
        <v>604</v>
      </c>
      <c r="BG47" t="s">
        <v>1396</v>
      </c>
      <c r="BH47" t="s">
        <v>1397</v>
      </c>
      <c r="BI47" t="s">
        <v>1397</v>
      </c>
      <c r="BJ47" t="s">
        <v>1397</v>
      </c>
      <c r="BK47" t="s">
        <v>1397</v>
      </c>
      <c r="BL47" t="s">
        <v>1397</v>
      </c>
      <c r="BM47" t="s">
        <v>1397</v>
      </c>
      <c r="BN47" t="s">
        <v>1397</v>
      </c>
      <c r="BO47" t="s">
        <v>1397</v>
      </c>
      <c r="BP47" t="s">
        <v>1397</v>
      </c>
      <c r="BQ47" t="s">
        <v>1397</v>
      </c>
      <c r="BR47" t="s">
        <v>274</v>
      </c>
    </row>
    <row r="48" spans="1:70" x14ac:dyDescent="0.3">
      <c r="A48" t="s">
        <v>63</v>
      </c>
      <c r="B48" t="s">
        <v>1398</v>
      </c>
      <c r="C48" t="s">
        <v>578</v>
      </c>
      <c r="D48" t="s">
        <v>579</v>
      </c>
      <c r="E48" t="s">
        <v>274</v>
      </c>
      <c r="F48" t="s">
        <v>274</v>
      </c>
      <c r="G48" t="s">
        <v>274</v>
      </c>
      <c r="H48" t="s">
        <v>274</v>
      </c>
      <c r="I48" t="s">
        <v>274</v>
      </c>
      <c r="J48" t="s">
        <v>274</v>
      </c>
      <c r="K48" t="s">
        <v>274</v>
      </c>
      <c r="L48" t="s">
        <v>274</v>
      </c>
      <c r="M48" t="s">
        <v>274</v>
      </c>
      <c r="N48" t="s">
        <v>274</v>
      </c>
      <c r="O48" t="s">
        <v>274</v>
      </c>
      <c r="P48" t="s">
        <v>274</v>
      </c>
      <c r="Q48" t="s">
        <v>274</v>
      </c>
      <c r="R48" t="s">
        <v>274</v>
      </c>
      <c r="S48" t="s">
        <v>274</v>
      </c>
      <c r="T48" t="s">
        <v>274</v>
      </c>
      <c r="U48" t="s">
        <v>274</v>
      </c>
      <c r="V48" t="s">
        <v>274</v>
      </c>
      <c r="W48" t="s">
        <v>274</v>
      </c>
      <c r="X48" t="s">
        <v>274</v>
      </c>
      <c r="Y48" t="s">
        <v>274</v>
      </c>
      <c r="Z48" t="s">
        <v>274</v>
      </c>
      <c r="AA48" t="s">
        <v>274</v>
      </c>
      <c r="AB48" t="s">
        <v>274</v>
      </c>
      <c r="AC48" t="s">
        <v>274</v>
      </c>
      <c r="AD48" t="s">
        <v>274</v>
      </c>
      <c r="AE48" t="s">
        <v>274</v>
      </c>
      <c r="AF48" t="s">
        <v>274</v>
      </c>
      <c r="AG48" s="14" t="s">
        <v>274</v>
      </c>
      <c r="AH48" t="s">
        <v>274</v>
      </c>
      <c r="AI48" t="s">
        <v>274</v>
      </c>
      <c r="AJ48" t="s">
        <v>274</v>
      </c>
      <c r="AK48" t="s">
        <v>274</v>
      </c>
      <c r="AL48" t="s">
        <v>274</v>
      </c>
      <c r="AM48" t="s">
        <v>274</v>
      </c>
      <c r="AN48" t="s">
        <v>274</v>
      </c>
      <c r="AO48" t="s">
        <v>274</v>
      </c>
      <c r="AP48" t="s">
        <v>274</v>
      </c>
      <c r="AQ48" t="s">
        <v>274</v>
      </c>
      <c r="AR48" t="s">
        <v>274</v>
      </c>
      <c r="AS48" t="s">
        <v>274</v>
      </c>
      <c r="AT48" t="s">
        <v>274</v>
      </c>
      <c r="AU48" t="s">
        <v>274</v>
      </c>
      <c r="AV48" t="s">
        <v>274</v>
      </c>
      <c r="AW48" t="s">
        <v>274</v>
      </c>
      <c r="AX48" t="s">
        <v>1399</v>
      </c>
      <c r="AY48" t="s">
        <v>904</v>
      </c>
      <c r="AZ48" t="s">
        <v>905</v>
      </c>
      <c r="BA48" t="s">
        <v>906</v>
      </c>
      <c r="BB48" t="s">
        <v>907</v>
      </c>
      <c r="BC48" t="s">
        <v>908</v>
      </c>
      <c r="BD48" t="s">
        <v>909</v>
      </c>
      <c r="BE48" t="s">
        <v>910</v>
      </c>
      <c r="BF48" t="s">
        <v>911</v>
      </c>
      <c r="BG48" t="s">
        <v>912</v>
      </c>
      <c r="BH48" t="s">
        <v>913</v>
      </c>
      <c r="BI48" t="s">
        <v>914</v>
      </c>
      <c r="BJ48" t="s">
        <v>1400</v>
      </c>
      <c r="BK48" t="s">
        <v>274</v>
      </c>
      <c r="BL48" t="s">
        <v>274</v>
      </c>
      <c r="BM48" t="s">
        <v>274</v>
      </c>
      <c r="BN48" t="s">
        <v>274</v>
      </c>
      <c r="BO48" t="s">
        <v>274</v>
      </c>
      <c r="BP48" t="s">
        <v>274</v>
      </c>
      <c r="BQ48" t="s">
        <v>274</v>
      </c>
      <c r="BR48" t="s">
        <v>274</v>
      </c>
    </row>
    <row r="49" spans="1:70" x14ac:dyDescent="0.3">
      <c r="A49" t="s">
        <v>64</v>
      </c>
      <c r="B49" t="s">
        <v>1401</v>
      </c>
      <c r="C49" t="s">
        <v>578</v>
      </c>
      <c r="D49" t="s">
        <v>579</v>
      </c>
      <c r="E49" t="s">
        <v>274</v>
      </c>
      <c r="F49" t="s">
        <v>274</v>
      </c>
      <c r="G49" t="s">
        <v>274</v>
      </c>
      <c r="H49" t="s">
        <v>274</v>
      </c>
      <c r="I49" t="s">
        <v>274</v>
      </c>
      <c r="J49" t="s">
        <v>274</v>
      </c>
      <c r="K49" t="s">
        <v>274</v>
      </c>
      <c r="L49" t="s">
        <v>274</v>
      </c>
      <c r="M49" t="s">
        <v>274</v>
      </c>
      <c r="N49" t="s">
        <v>274</v>
      </c>
      <c r="O49" t="s">
        <v>274</v>
      </c>
      <c r="P49" t="s">
        <v>274</v>
      </c>
      <c r="Q49" t="s">
        <v>274</v>
      </c>
      <c r="R49" t="s">
        <v>274</v>
      </c>
      <c r="S49" t="s">
        <v>274</v>
      </c>
      <c r="T49" t="s">
        <v>274</v>
      </c>
      <c r="U49" t="s">
        <v>274</v>
      </c>
      <c r="V49" t="s">
        <v>274</v>
      </c>
      <c r="W49" t="s">
        <v>274</v>
      </c>
      <c r="X49" t="s">
        <v>274</v>
      </c>
      <c r="Y49" t="s">
        <v>274</v>
      </c>
      <c r="Z49" t="s">
        <v>274</v>
      </c>
      <c r="AA49" t="s">
        <v>274</v>
      </c>
      <c r="AB49" t="s">
        <v>274</v>
      </c>
      <c r="AC49" t="s">
        <v>274</v>
      </c>
      <c r="AD49" t="s">
        <v>274</v>
      </c>
      <c r="AE49" t="s">
        <v>274</v>
      </c>
      <c r="AF49" t="s">
        <v>274</v>
      </c>
      <c r="AG49" s="14" t="s">
        <v>274</v>
      </c>
      <c r="AH49" t="s">
        <v>274</v>
      </c>
      <c r="AI49" t="s">
        <v>274</v>
      </c>
      <c r="AJ49" t="s">
        <v>274</v>
      </c>
      <c r="AK49" t="s">
        <v>274</v>
      </c>
      <c r="AL49" t="s">
        <v>274</v>
      </c>
      <c r="AM49" t="s">
        <v>274</v>
      </c>
      <c r="AN49" t="s">
        <v>274</v>
      </c>
      <c r="AO49" t="s">
        <v>274</v>
      </c>
      <c r="AP49" t="s">
        <v>274</v>
      </c>
      <c r="AQ49" t="s">
        <v>274</v>
      </c>
      <c r="AR49" t="s">
        <v>274</v>
      </c>
      <c r="AS49" t="s">
        <v>274</v>
      </c>
      <c r="AT49" t="s">
        <v>274</v>
      </c>
      <c r="AU49" t="s">
        <v>274</v>
      </c>
      <c r="AV49" t="s">
        <v>274</v>
      </c>
      <c r="AW49" t="s">
        <v>274</v>
      </c>
      <c r="AX49" t="s">
        <v>274</v>
      </c>
      <c r="AY49" t="s">
        <v>274</v>
      </c>
      <c r="AZ49" t="s">
        <v>274</v>
      </c>
      <c r="BA49" t="s">
        <v>274</v>
      </c>
      <c r="BB49" t="s">
        <v>274</v>
      </c>
      <c r="BC49" t="s">
        <v>274</v>
      </c>
      <c r="BD49" t="s">
        <v>274</v>
      </c>
      <c r="BE49" t="s">
        <v>274</v>
      </c>
      <c r="BF49" t="s">
        <v>274</v>
      </c>
      <c r="BG49" t="s">
        <v>274</v>
      </c>
      <c r="BH49" t="s">
        <v>274</v>
      </c>
      <c r="BI49" t="s">
        <v>274</v>
      </c>
      <c r="BJ49" t="s">
        <v>274</v>
      </c>
      <c r="BK49" t="s">
        <v>274</v>
      </c>
      <c r="BL49" t="s">
        <v>274</v>
      </c>
      <c r="BM49" t="s">
        <v>274</v>
      </c>
      <c r="BN49" t="s">
        <v>274</v>
      </c>
      <c r="BO49" t="s">
        <v>274</v>
      </c>
      <c r="BP49" t="s">
        <v>274</v>
      </c>
      <c r="BQ49" t="s">
        <v>274</v>
      </c>
      <c r="BR49" t="s">
        <v>274</v>
      </c>
    </row>
    <row r="50" spans="1:70" x14ac:dyDescent="0.3">
      <c r="A50" t="s">
        <v>187</v>
      </c>
      <c r="B50" t="s">
        <v>1402</v>
      </c>
      <c r="C50" t="s">
        <v>578</v>
      </c>
      <c r="D50" t="s">
        <v>579</v>
      </c>
      <c r="E50" t="s">
        <v>274</v>
      </c>
      <c r="F50" t="s">
        <v>274</v>
      </c>
      <c r="G50" t="s">
        <v>274</v>
      </c>
      <c r="H50" t="s">
        <v>274</v>
      </c>
      <c r="I50" t="s">
        <v>274</v>
      </c>
      <c r="J50" t="s">
        <v>274</v>
      </c>
      <c r="K50" t="s">
        <v>274</v>
      </c>
      <c r="L50" t="s">
        <v>274</v>
      </c>
      <c r="M50" t="s">
        <v>274</v>
      </c>
      <c r="N50" t="s">
        <v>274</v>
      </c>
      <c r="O50" t="s">
        <v>274</v>
      </c>
      <c r="P50" t="s">
        <v>274</v>
      </c>
      <c r="Q50" t="s">
        <v>274</v>
      </c>
      <c r="R50" t="s">
        <v>274</v>
      </c>
      <c r="S50" t="s">
        <v>274</v>
      </c>
      <c r="T50" t="s">
        <v>274</v>
      </c>
      <c r="U50" t="s">
        <v>274</v>
      </c>
      <c r="V50" t="s">
        <v>274</v>
      </c>
      <c r="W50" t="s">
        <v>274</v>
      </c>
      <c r="X50" t="s">
        <v>274</v>
      </c>
      <c r="Y50" t="s">
        <v>274</v>
      </c>
      <c r="Z50" t="s">
        <v>274</v>
      </c>
      <c r="AA50" t="s">
        <v>274</v>
      </c>
      <c r="AB50" t="s">
        <v>274</v>
      </c>
      <c r="AC50" t="s">
        <v>274</v>
      </c>
      <c r="AD50" t="s">
        <v>274</v>
      </c>
      <c r="AE50" t="s">
        <v>274</v>
      </c>
      <c r="AF50" t="s">
        <v>274</v>
      </c>
      <c r="AG50" s="14" t="s">
        <v>274</v>
      </c>
      <c r="AH50" t="s">
        <v>274</v>
      </c>
      <c r="AI50" t="s">
        <v>274</v>
      </c>
      <c r="AJ50" t="s">
        <v>274</v>
      </c>
      <c r="AK50" t="s">
        <v>274</v>
      </c>
      <c r="AL50" t="s">
        <v>274</v>
      </c>
      <c r="AM50" t="s">
        <v>274</v>
      </c>
      <c r="AN50" t="s">
        <v>274</v>
      </c>
      <c r="AO50" t="s">
        <v>274</v>
      </c>
      <c r="AP50" t="s">
        <v>274</v>
      </c>
      <c r="AQ50" t="s">
        <v>274</v>
      </c>
      <c r="AR50" t="s">
        <v>274</v>
      </c>
      <c r="AS50" t="s">
        <v>274</v>
      </c>
      <c r="AT50" t="s">
        <v>274</v>
      </c>
      <c r="AU50" t="s">
        <v>274</v>
      </c>
      <c r="AV50" t="s">
        <v>274</v>
      </c>
      <c r="AW50" t="s">
        <v>274</v>
      </c>
      <c r="AX50" t="s">
        <v>274</v>
      </c>
      <c r="AY50" t="s">
        <v>1403</v>
      </c>
      <c r="AZ50" t="s">
        <v>1404</v>
      </c>
      <c r="BA50" t="s">
        <v>1405</v>
      </c>
      <c r="BB50" t="s">
        <v>1406</v>
      </c>
      <c r="BC50" t="s">
        <v>1407</v>
      </c>
      <c r="BD50" t="s">
        <v>1408</v>
      </c>
      <c r="BE50" t="s">
        <v>1409</v>
      </c>
      <c r="BF50" t="s">
        <v>1410</v>
      </c>
      <c r="BG50" t="s">
        <v>1411</v>
      </c>
      <c r="BH50" t="s">
        <v>1412</v>
      </c>
      <c r="BI50" t="s">
        <v>1413</v>
      </c>
      <c r="BJ50" t="s">
        <v>1414</v>
      </c>
      <c r="BK50" t="s">
        <v>1415</v>
      </c>
      <c r="BL50" t="s">
        <v>1416</v>
      </c>
      <c r="BM50" t="s">
        <v>1417</v>
      </c>
      <c r="BN50" t="s">
        <v>1418</v>
      </c>
      <c r="BO50" t="s">
        <v>274</v>
      </c>
      <c r="BP50" t="s">
        <v>274</v>
      </c>
      <c r="BQ50" t="s">
        <v>274</v>
      </c>
      <c r="BR50" t="s">
        <v>274</v>
      </c>
    </row>
    <row r="51" spans="1:70" x14ac:dyDescent="0.3">
      <c r="A51" t="s">
        <v>65</v>
      </c>
      <c r="B51" t="s">
        <v>1419</v>
      </c>
      <c r="C51" t="s">
        <v>578</v>
      </c>
      <c r="D51" t="s">
        <v>579</v>
      </c>
      <c r="E51" t="s">
        <v>274</v>
      </c>
      <c r="F51" t="s">
        <v>274</v>
      </c>
      <c r="G51" t="s">
        <v>274</v>
      </c>
      <c r="H51" t="s">
        <v>274</v>
      </c>
      <c r="I51" t="s">
        <v>274</v>
      </c>
      <c r="J51" t="s">
        <v>274</v>
      </c>
      <c r="K51" t="s">
        <v>274</v>
      </c>
      <c r="L51" t="s">
        <v>274</v>
      </c>
      <c r="M51" t="s">
        <v>274</v>
      </c>
      <c r="N51" t="s">
        <v>274</v>
      </c>
      <c r="O51" t="s">
        <v>274</v>
      </c>
      <c r="P51" t="s">
        <v>274</v>
      </c>
      <c r="Q51" t="s">
        <v>274</v>
      </c>
      <c r="R51" t="s">
        <v>274</v>
      </c>
      <c r="S51" t="s">
        <v>274</v>
      </c>
      <c r="T51" t="s">
        <v>274</v>
      </c>
      <c r="U51" t="s">
        <v>274</v>
      </c>
      <c r="V51" t="s">
        <v>274</v>
      </c>
      <c r="W51" t="s">
        <v>274</v>
      </c>
      <c r="X51" t="s">
        <v>274</v>
      </c>
      <c r="Y51" t="s">
        <v>274</v>
      </c>
      <c r="Z51" t="s">
        <v>274</v>
      </c>
      <c r="AA51" t="s">
        <v>274</v>
      </c>
      <c r="AB51" t="s">
        <v>274</v>
      </c>
      <c r="AC51" t="s">
        <v>274</v>
      </c>
      <c r="AD51" t="s">
        <v>274</v>
      </c>
      <c r="AE51" t="s">
        <v>274</v>
      </c>
      <c r="AF51" t="s">
        <v>274</v>
      </c>
      <c r="AG51" s="14" t="s">
        <v>274</v>
      </c>
      <c r="AH51" t="s">
        <v>274</v>
      </c>
      <c r="AI51" t="s">
        <v>274</v>
      </c>
      <c r="AJ51" t="s">
        <v>274</v>
      </c>
      <c r="AK51" t="s">
        <v>274</v>
      </c>
      <c r="AL51" t="s">
        <v>274</v>
      </c>
      <c r="AM51" t="s">
        <v>274</v>
      </c>
      <c r="AN51" t="s">
        <v>274</v>
      </c>
      <c r="AO51" t="s">
        <v>274</v>
      </c>
      <c r="AP51" t="s">
        <v>274</v>
      </c>
      <c r="AQ51" t="s">
        <v>274</v>
      </c>
      <c r="AR51" t="s">
        <v>274</v>
      </c>
      <c r="AS51" t="s">
        <v>274</v>
      </c>
      <c r="AT51" t="s">
        <v>274</v>
      </c>
      <c r="AU51" t="s">
        <v>274</v>
      </c>
      <c r="AV51" t="s">
        <v>274</v>
      </c>
      <c r="AW51" t="s">
        <v>274</v>
      </c>
      <c r="AX51" t="s">
        <v>274</v>
      </c>
      <c r="AY51" t="s">
        <v>274</v>
      </c>
      <c r="AZ51" t="s">
        <v>274</v>
      </c>
      <c r="BA51" t="s">
        <v>274</v>
      </c>
      <c r="BB51" t="s">
        <v>274</v>
      </c>
      <c r="BC51" t="s">
        <v>274</v>
      </c>
      <c r="BD51" t="s">
        <v>274</v>
      </c>
      <c r="BE51" t="s">
        <v>274</v>
      </c>
      <c r="BF51" t="s">
        <v>274</v>
      </c>
      <c r="BG51" t="s">
        <v>274</v>
      </c>
      <c r="BH51" t="s">
        <v>274</v>
      </c>
      <c r="BI51" t="s">
        <v>274</v>
      </c>
      <c r="BJ51" t="s">
        <v>274</v>
      </c>
      <c r="BK51" t="s">
        <v>274</v>
      </c>
      <c r="BL51" t="s">
        <v>274</v>
      </c>
      <c r="BM51" t="s">
        <v>274</v>
      </c>
      <c r="BN51" t="s">
        <v>274</v>
      </c>
      <c r="BO51" t="s">
        <v>274</v>
      </c>
      <c r="BP51" t="s">
        <v>274</v>
      </c>
      <c r="BQ51" t="s">
        <v>274</v>
      </c>
      <c r="BR51" t="s">
        <v>274</v>
      </c>
    </row>
    <row r="52" spans="1:70" x14ac:dyDescent="0.3">
      <c r="A52" t="s">
        <v>66</v>
      </c>
      <c r="B52" t="s">
        <v>1420</v>
      </c>
      <c r="C52" t="s">
        <v>578</v>
      </c>
      <c r="D52" t="s">
        <v>579</v>
      </c>
      <c r="E52" t="s">
        <v>274</v>
      </c>
      <c r="F52" t="s">
        <v>274</v>
      </c>
      <c r="G52" t="s">
        <v>274</v>
      </c>
      <c r="H52" t="s">
        <v>274</v>
      </c>
      <c r="I52" t="s">
        <v>274</v>
      </c>
      <c r="J52" t="s">
        <v>274</v>
      </c>
      <c r="K52" t="s">
        <v>274</v>
      </c>
      <c r="L52" t="s">
        <v>274</v>
      </c>
      <c r="M52" t="s">
        <v>274</v>
      </c>
      <c r="N52" t="s">
        <v>274</v>
      </c>
      <c r="O52" t="s">
        <v>274</v>
      </c>
      <c r="P52" t="s">
        <v>274</v>
      </c>
      <c r="Q52" t="s">
        <v>274</v>
      </c>
      <c r="R52" t="s">
        <v>274</v>
      </c>
      <c r="S52" t="s">
        <v>274</v>
      </c>
      <c r="T52" t="s">
        <v>274</v>
      </c>
      <c r="U52" t="s">
        <v>274</v>
      </c>
      <c r="V52" t="s">
        <v>274</v>
      </c>
      <c r="W52" t="s">
        <v>274</v>
      </c>
      <c r="X52" t="s">
        <v>274</v>
      </c>
      <c r="Y52" t="s">
        <v>274</v>
      </c>
      <c r="Z52" t="s">
        <v>274</v>
      </c>
      <c r="AA52" t="s">
        <v>274</v>
      </c>
      <c r="AB52" t="s">
        <v>274</v>
      </c>
      <c r="AC52" t="s">
        <v>274</v>
      </c>
      <c r="AD52" t="s">
        <v>274</v>
      </c>
      <c r="AE52" t="s">
        <v>1421</v>
      </c>
      <c r="AF52" t="s">
        <v>1422</v>
      </c>
      <c r="AG52" s="14" t="s">
        <v>1423</v>
      </c>
      <c r="AH52" t="s">
        <v>1424</v>
      </c>
      <c r="AI52" t="s">
        <v>1425</v>
      </c>
      <c r="AJ52" t="s">
        <v>1426</v>
      </c>
      <c r="AK52" t="s">
        <v>1427</v>
      </c>
      <c r="AL52" t="s">
        <v>1428</v>
      </c>
      <c r="AM52" t="s">
        <v>1429</v>
      </c>
      <c r="AN52" t="s">
        <v>1430</v>
      </c>
      <c r="AO52" t="s">
        <v>1431</v>
      </c>
      <c r="AP52" t="s">
        <v>1432</v>
      </c>
      <c r="AQ52" t="s">
        <v>1433</v>
      </c>
      <c r="AR52" t="s">
        <v>1434</v>
      </c>
      <c r="AS52" t="s">
        <v>1435</v>
      </c>
      <c r="AT52" t="s">
        <v>1436</v>
      </c>
      <c r="AU52" t="s">
        <v>1437</v>
      </c>
      <c r="AV52" t="s">
        <v>1438</v>
      </c>
      <c r="AW52" t="s">
        <v>1439</v>
      </c>
      <c r="AX52" t="s">
        <v>1440</v>
      </c>
      <c r="AY52" t="s">
        <v>1441</v>
      </c>
      <c r="AZ52" t="s">
        <v>1442</v>
      </c>
      <c r="BA52" t="s">
        <v>1443</v>
      </c>
      <c r="BB52" t="s">
        <v>1444</v>
      </c>
      <c r="BC52" t="s">
        <v>1445</v>
      </c>
      <c r="BD52" t="s">
        <v>1446</v>
      </c>
      <c r="BE52" t="s">
        <v>1447</v>
      </c>
      <c r="BF52" t="s">
        <v>1448</v>
      </c>
      <c r="BG52" t="s">
        <v>1449</v>
      </c>
      <c r="BH52" t="s">
        <v>1450</v>
      </c>
      <c r="BI52" t="s">
        <v>1451</v>
      </c>
      <c r="BJ52" t="s">
        <v>1452</v>
      </c>
      <c r="BK52" t="s">
        <v>1453</v>
      </c>
      <c r="BL52" t="s">
        <v>1454</v>
      </c>
      <c r="BM52" t="s">
        <v>1455</v>
      </c>
      <c r="BN52" t="s">
        <v>1456</v>
      </c>
      <c r="BO52" t="s">
        <v>1457</v>
      </c>
      <c r="BP52" t="s">
        <v>1458</v>
      </c>
      <c r="BQ52" t="s">
        <v>1459</v>
      </c>
      <c r="BR52" t="s">
        <v>274</v>
      </c>
    </row>
    <row r="53" spans="1:70" x14ac:dyDescent="0.3">
      <c r="A53" t="s">
        <v>67</v>
      </c>
      <c r="B53" t="s">
        <v>1460</v>
      </c>
      <c r="C53" t="s">
        <v>578</v>
      </c>
      <c r="D53" t="s">
        <v>579</v>
      </c>
      <c r="E53" t="s">
        <v>274</v>
      </c>
      <c r="F53" t="s">
        <v>274</v>
      </c>
      <c r="G53" t="s">
        <v>274</v>
      </c>
      <c r="H53" t="s">
        <v>274</v>
      </c>
      <c r="I53" t="s">
        <v>274</v>
      </c>
      <c r="J53" t="s">
        <v>274</v>
      </c>
      <c r="K53" t="s">
        <v>274</v>
      </c>
      <c r="L53" t="s">
        <v>274</v>
      </c>
      <c r="M53" t="s">
        <v>274</v>
      </c>
      <c r="N53" t="s">
        <v>274</v>
      </c>
      <c r="O53" t="s">
        <v>274</v>
      </c>
      <c r="P53" t="s">
        <v>274</v>
      </c>
      <c r="Q53" t="s">
        <v>274</v>
      </c>
      <c r="R53" t="s">
        <v>274</v>
      </c>
      <c r="S53" t="s">
        <v>274</v>
      </c>
      <c r="T53" t="s">
        <v>274</v>
      </c>
      <c r="U53" t="s">
        <v>274</v>
      </c>
      <c r="V53" t="s">
        <v>274</v>
      </c>
      <c r="W53" t="s">
        <v>274</v>
      </c>
      <c r="X53" t="s">
        <v>274</v>
      </c>
      <c r="Y53" t="s">
        <v>274</v>
      </c>
      <c r="Z53" t="s">
        <v>274</v>
      </c>
      <c r="AA53" t="s">
        <v>274</v>
      </c>
      <c r="AB53" t="s">
        <v>274</v>
      </c>
      <c r="AC53" t="s">
        <v>274</v>
      </c>
      <c r="AD53" t="s">
        <v>274</v>
      </c>
      <c r="AE53" t="s">
        <v>274</v>
      </c>
      <c r="AF53" t="s">
        <v>274</v>
      </c>
      <c r="AG53" s="14" t="s">
        <v>274</v>
      </c>
      <c r="AH53" t="s">
        <v>274</v>
      </c>
      <c r="AI53" t="s">
        <v>274</v>
      </c>
      <c r="AJ53" t="s">
        <v>274</v>
      </c>
      <c r="AK53" t="s">
        <v>274</v>
      </c>
      <c r="AL53" t="s">
        <v>274</v>
      </c>
      <c r="AM53" t="s">
        <v>274</v>
      </c>
      <c r="AN53" t="s">
        <v>274</v>
      </c>
      <c r="AO53" t="s">
        <v>274</v>
      </c>
      <c r="AP53" t="s">
        <v>274</v>
      </c>
      <c r="AQ53" t="s">
        <v>274</v>
      </c>
      <c r="AR53" t="s">
        <v>1461</v>
      </c>
      <c r="AS53" t="s">
        <v>868</v>
      </c>
      <c r="AT53" t="s">
        <v>868</v>
      </c>
      <c r="AU53" t="s">
        <v>868</v>
      </c>
      <c r="AV53" t="s">
        <v>802</v>
      </c>
      <c r="AW53" t="s">
        <v>580</v>
      </c>
      <c r="AX53" t="s">
        <v>580</v>
      </c>
      <c r="AY53" t="s">
        <v>596</v>
      </c>
      <c r="AZ53" t="s">
        <v>596</v>
      </c>
      <c r="BA53" t="s">
        <v>596</v>
      </c>
      <c r="BB53" t="s">
        <v>596</v>
      </c>
      <c r="BC53" t="s">
        <v>596</v>
      </c>
      <c r="BD53" t="s">
        <v>596</v>
      </c>
      <c r="BE53" t="s">
        <v>596</v>
      </c>
      <c r="BF53" t="s">
        <v>596</v>
      </c>
      <c r="BG53" t="s">
        <v>596</v>
      </c>
      <c r="BH53" t="s">
        <v>596</v>
      </c>
      <c r="BI53" t="s">
        <v>596</v>
      </c>
      <c r="BJ53" t="s">
        <v>596</v>
      </c>
      <c r="BK53" t="s">
        <v>596</v>
      </c>
      <c r="BL53" t="s">
        <v>596</v>
      </c>
      <c r="BM53" t="s">
        <v>1462</v>
      </c>
      <c r="BN53" t="s">
        <v>1256</v>
      </c>
      <c r="BO53" t="s">
        <v>1463</v>
      </c>
      <c r="BP53" t="s">
        <v>274</v>
      </c>
      <c r="BQ53" t="s">
        <v>274</v>
      </c>
      <c r="BR53" t="s">
        <v>274</v>
      </c>
    </row>
    <row r="54" spans="1:70" x14ac:dyDescent="0.3">
      <c r="A54" t="s">
        <v>1464</v>
      </c>
      <c r="B54" t="s">
        <v>1465</v>
      </c>
      <c r="C54" t="s">
        <v>578</v>
      </c>
      <c r="D54" t="s">
        <v>579</v>
      </c>
      <c r="E54" t="s">
        <v>274</v>
      </c>
      <c r="F54" t="s">
        <v>274</v>
      </c>
      <c r="G54" t="s">
        <v>274</v>
      </c>
      <c r="H54" t="s">
        <v>274</v>
      </c>
      <c r="I54" t="s">
        <v>274</v>
      </c>
      <c r="J54" t="s">
        <v>274</v>
      </c>
      <c r="K54" t="s">
        <v>274</v>
      </c>
      <c r="L54" t="s">
        <v>274</v>
      </c>
      <c r="M54" t="s">
        <v>274</v>
      </c>
      <c r="N54" t="s">
        <v>274</v>
      </c>
      <c r="O54" t="s">
        <v>274</v>
      </c>
      <c r="P54" t="s">
        <v>274</v>
      </c>
      <c r="Q54" t="s">
        <v>274</v>
      </c>
      <c r="R54" t="s">
        <v>274</v>
      </c>
      <c r="S54" t="s">
        <v>274</v>
      </c>
      <c r="T54" t="s">
        <v>274</v>
      </c>
      <c r="U54" t="s">
        <v>274</v>
      </c>
      <c r="V54" t="s">
        <v>274</v>
      </c>
      <c r="W54" t="s">
        <v>274</v>
      </c>
      <c r="X54" t="s">
        <v>274</v>
      </c>
      <c r="Y54" t="s">
        <v>274</v>
      </c>
      <c r="Z54" t="s">
        <v>274</v>
      </c>
      <c r="AA54" t="s">
        <v>274</v>
      </c>
      <c r="AB54" t="s">
        <v>274</v>
      </c>
      <c r="AC54" t="s">
        <v>274</v>
      </c>
      <c r="AD54" t="s">
        <v>274</v>
      </c>
      <c r="AE54" t="s">
        <v>274</v>
      </c>
      <c r="AF54" t="s">
        <v>274</v>
      </c>
      <c r="AG54" s="14" t="s">
        <v>274</v>
      </c>
      <c r="AH54" t="s">
        <v>274</v>
      </c>
      <c r="AI54" t="s">
        <v>274</v>
      </c>
      <c r="AJ54" t="s">
        <v>274</v>
      </c>
      <c r="AK54" t="s">
        <v>274</v>
      </c>
      <c r="AL54" t="s">
        <v>274</v>
      </c>
      <c r="AM54" t="s">
        <v>274</v>
      </c>
      <c r="AN54" t="s">
        <v>274</v>
      </c>
      <c r="AO54" t="s">
        <v>274</v>
      </c>
      <c r="AP54" t="s">
        <v>274</v>
      </c>
      <c r="AQ54" t="s">
        <v>274</v>
      </c>
      <c r="AR54" t="s">
        <v>274</v>
      </c>
      <c r="AS54" t="s">
        <v>274</v>
      </c>
      <c r="AT54" t="s">
        <v>274</v>
      </c>
      <c r="AU54" t="s">
        <v>274</v>
      </c>
      <c r="AV54" t="s">
        <v>274</v>
      </c>
      <c r="AW54" t="s">
        <v>274</v>
      </c>
      <c r="AX54" t="s">
        <v>274</v>
      </c>
      <c r="AY54" t="s">
        <v>1466</v>
      </c>
      <c r="AZ54" t="s">
        <v>1467</v>
      </c>
      <c r="BA54" t="s">
        <v>1468</v>
      </c>
      <c r="BB54" t="s">
        <v>1469</v>
      </c>
      <c r="BC54" t="s">
        <v>1470</v>
      </c>
      <c r="BD54" t="s">
        <v>1471</v>
      </c>
      <c r="BE54" t="s">
        <v>1472</v>
      </c>
      <c r="BF54" t="s">
        <v>1473</v>
      </c>
      <c r="BG54" t="s">
        <v>1474</v>
      </c>
      <c r="BH54" t="s">
        <v>1475</v>
      </c>
      <c r="BI54" t="s">
        <v>1476</v>
      </c>
      <c r="BJ54" t="s">
        <v>1477</v>
      </c>
      <c r="BK54" t="s">
        <v>1478</v>
      </c>
      <c r="BL54" t="s">
        <v>1479</v>
      </c>
      <c r="BM54" t="s">
        <v>1480</v>
      </c>
      <c r="BN54" t="s">
        <v>1481</v>
      </c>
      <c r="BO54" t="s">
        <v>1482</v>
      </c>
      <c r="BP54" t="s">
        <v>1483</v>
      </c>
      <c r="BQ54" t="s">
        <v>1484</v>
      </c>
      <c r="BR54" t="s">
        <v>274</v>
      </c>
    </row>
    <row r="55" spans="1:70" x14ac:dyDescent="0.3">
      <c r="A55" t="s">
        <v>68</v>
      </c>
      <c r="B55" t="s">
        <v>1485</v>
      </c>
      <c r="C55" t="s">
        <v>578</v>
      </c>
      <c r="D55" t="s">
        <v>579</v>
      </c>
      <c r="E55" t="s">
        <v>274</v>
      </c>
      <c r="F55" t="s">
        <v>274</v>
      </c>
      <c r="G55" t="s">
        <v>274</v>
      </c>
      <c r="H55" t="s">
        <v>274</v>
      </c>
      <c r="I55" t="s">
        <v>274</v>
      </c>
      <c r="J55" t="s">
        <v>274</v>
      </c>
      <c r="K55" t="s">
        <v>274</v>
      </c>
      <c r="L55" t="s">
        <v>274</v>
      </c>
      <c r="M55" t="s">
        <v>274</v>
      </c>
      <c r="N55" t="s">
        <v>274</v>
      </c>
      <c r="O55" t="s">
        <v>274</v>
      </c>
      <c r="P55" t="s">
        <v>274</v>
      </c>
      <c r="Q55" t="s">
        <v>274</v>
      </c>
      <c r="R55" t="s">
        <v>274</v>
      </c>
      <c r="S55" t="s">
        <v>274</v>
      </c>
      <c r="T55" t="s">
        <v>274</v>
      </c>
      <c r="U55" t="s">
        <v>274</v>
      </c>
      <c r="V55" t="s">
        <v>274</v>
      </c>
      <c r="W55" t="s">
        <v>274</v>
      </c>
      <c r="X55" t="s">
        <v>274</v>
      </c>
      <c r="Y55" t="s">
        <v>274</v>
      </c>
      <c r="Z55" t="s">
        <v>274</v>
      </c>
      <c r="AA55" t="s">
        <v>1486</v>
      </c>
      <c r="AB55" t="s">
        <v>1487</v>
      </c>
      <c r="AC55" t="s">
        <v>1488</v>
      </c>
      <c r="AD55" t="s">
        <v>1489</v>
      </c>
      <c r="AE55" t="s">
        <v>1490</v>
      </c>
      <c r="AF55" t="s">
        <v>1491</v>
      </c>
      <c r="AG55" s="14" t="s">
        <v>1492</v>
      </c>
      <c r="AH55" t="s">
        <v>1493</v>
      </c>
      <c r="AI55" t="s">
        <v>1494</v>
      </c>
      <c r="AJ55" t="s">
        <v>1495</v>
      </c>
      <c r="AK55" t="s">
        <v>1496</v>
      </c>
      <c r="AL55" t="s">
        <v>1497</v>
      </c>
      <c r="AM55" t="s">
        <v>1498</v>
      </c>
      <c r="AN55" t="s">
        <v>1499</v>
      </c>
      <c r="AO55" t="s">
        <v>1500</v>
      </c>
      <c r="AP55" t="s">
        <v>1501</v>
      </c>
      <c r="AQ55" t="s">
        <v>1502</v>
      </c>
      <c r="AR55" t="s">
        <v>1503</v>
      </c>
      <c r="AS55" t="s">
        <v>1504</v>
      </c>
      <c r="AT55" t="s">
        <v>1505</v>
      </c>
      <c r="AU55" t="s">
        <v>1506</v>
      </c>
      <c r="AV55" t="s">
        <v>1507</v>
      </c>
      <c r="AW55" t="s">
        <v>1508</v>
      </c>
      <c r="AX55" t="s">
        <v>1509</v>
      </c>
      <c r="AY55" t="s">
        <v>1510</v>
      </c>
      <c r="AZ55" t="s">
        <v>1511</v>
      </c>
      <c r="BA55" t="s">
        <v>1512</v>
      </c>
      <c r="BB55" t="s">
        <v>1513</v>
      </c>
      <c r="BC55" t="s">
        <v>1514</v>
      </c>
      <c r="BD55" t="s">
        <v>1515</v>
      </c>
      <c r="BE55" t="s">
        <v>1516</v>
      </c>
      <c r="BF55" t="s">
        <v>1517</v>
      </c>
      <c r="BG55" t="s">
        <v>1518</v>
      </c>
      <c r="BH55" t="s">
        <v>1519</v>
      </c>
      <c r="BI55" t="s">
        <v>1520</v>
      </c>
      <c r="BJ55" t="s">
        <v>1521</v>
      </c>
      <c r="BK55" t="s">
        <v>1522</v>
      </c>
      <c r="BL55" t="s">
        <v>1523</v>
      </c>
      <c r="BM55" t="s">
        <v>1524</v>
      </c>
      <c r="BN55" t="s">
        <v>1525</v>
      </c>
      <c r="BO55" t="s">
        <v>1526</v>
      </c>
      <c r="BP55" t="s">
        <v>1527</v>
      </c>
      <c r="BQ55" t="s">
        <v>1528</v>
      </c>
      <c r="BR55" t="s">
        <v>274</v>
      </c>
    </row>
    <row r="56" spans="1:70" x14ac:dyDescent="0.3">
      <c r="A56" t="s">
        <v>1529</v>
      </c>
      <c r="B56" t="s">
        <v>1530</v>
      </c>
      <c r="C56" t="s">
        <v>578</v>
      </c>
      <c r="D56" t="s">
        <v>579</v>
      </c>
      <c r="E56" t="s">
        <v>274</v>
      </c>
      <c r="F56" t="s">
        <v>274</v>
      </c>
      <c r="G56" t="s">
        <v>274</v>
      </c>
      <c r="H56" t="s">
        <v>274</v>
      </c>
      <c r="I56" t="s">
        <v>274</v>
      </c>
      <c r="J56" t="s">
        <v>274</v>
      </c>
      <c r="K56" t="s">
        <v>274</v>
      </c>
      <c r="L56" t="s">
        <v>274</v>
      </c>
      <c r="M56" t="s">
        <v>274</v>
      </c>
      <c r="N56" t="s">
        <v>274</v>
      </c>
      <c r="O56" t="s">
        <v>274</v>
      </c>
      <c r="P56" t="s">
        <v>274</v>
      </c>
      <c r="Q56" t="s">
        <v>274</v>
      </c>
      <c r="R56" t="s">
        <v>274</v>
      </c>
      <c r="S56" t="s">
        <v>274</v>
      </c>
      <c r="T56" t="s">
        <v>274</v>
      </c>
      <c r="U56" t="s">
        <v>274</v>
      </c>
      <c r="V56" t="s">
        <v>274</v>
      </c>
      <c r="W56" t="s">
        <v>274</v>
      </c>
      <c r="X56" t="s">
        <v>274</v>
      </c>
      <c r="Y56" t="s">
        <v>274</v>
      </c>
      <c r="Z56" t="s">
        <v>274</v>
      </c>
      <c r="AA56" t="s">
        <v>274</v>
      </c>
      <c r="AB56" t="s">
        <v>274</v>
      </c>
      <c r="AC56" t="s">
        <v>274</v>
      </c>
      <c r="AD56" t="s">
        <v>274</v>
      </c>
      <c r="AE56" t="s">
        <v>274</v>
      </c>
      <c r="AF56" t="s">
        <v>274</v>
      </c>
      <c r="AG56" s="14" t="s">
        <v>274</v>
      </c>
      <c r="AH56" t="s">
        <v>274</v>
      </c>
      <c r="AI56" t="s">
        <v>274</v>
      </c>
      <c r="AJ56" t="s">
        <v>274</v>
      </c>
      <c r="AK56" t="s">
        <v>274</v>
      </c>
      <c r="AL56" t="s">
        <v>274</v>
      </c>
      <c r="AM56" t="s">
        <v>274</v>
      </c>
      <c r="AN56" t="s">
        <v>274</v>
      </c>
      <c r="AO56" t="s">
        <v>274</v>
      </c>
      <c r="AP56" t="s">
        <v>274</v>
      </c>
      <c r="AQ56" t="s">
        <v>274</v>
      </c>
      <c r="AR56" t="s">
        <v>274</v>
      </c>
      <c r="AS56" t="s">
        <v>274</v>
      </c>
      <c r="AT56" t="s">
        <v>274</v>
      </c>
      <c r="AU56" t="s">
        <v>274</v>
      </c>
      <c r="AV56" t="s">
        <v>274</v>
      </c>
      <c r="AW56" t="s">
        <v>274</v>
      </c>
      <c r="AX56" t="s">
        <v>274</v>
      </c>
      <c r="AY56" t="s">
        <v>274</v>
      </c>
      <c r="AZ56" t="s">
        <v>274</v>
      </c>
      <c r="BA56" t="s">
        <v>274</v>
      </c>
      <c r="BB56" t="s">
        <v>274</v>
      </c>
      <c r="BC56" t="s">
        <v>274</v>
      </c>
      <c r="BD56" t="s">
        <v>274</v>
      </c>
      <c r="BE56" t="s">
        <v>274</v>
      </c>
      <c r="BF56" t="s">
        <v>274</v>
      </c>
      <c r="BG56" t="s">
        <v>274</v>
      </c>
      <c r="BH56" t="s">
        <v>274</v>
      </c>
      <c r="BI56" t="s">
        <v>274</v>
      </c>
      <c r="BJ56" t="s">
        <v>274</v>
      </c>
      <c r="BK56" t="s">
        <v>274</v>
      </c>
      <c r="BL56" t="s">
        <v>274</v>
      </c>
      <c r="BM56" t="s">
        <v>274</v>
      </c>
      <c r="BN56" t="s">
        <v>274</v>
      </c>
      <c r="BO56" t="s">
        <v>274</v>
      </c>
      <c r="BP56" t="s">
        <v>274</v>
      </c>
      <c r="BQ56" t="s">
        <v>274</v>
      </c>
      <c r="BR56" t="s">
        <v>274</v>
      </c>
    </row>
    <row r="57" spans="1:70" x14ac:dyDescent="0.3">
      <c r="A57" t="s">
        <v>70</v>
      </c>
      <c r="B57" t="s">
        <v>1531</v>
      </c>
      <c r="C57" t="s">
        <v>578</v>
      </c>
      <c r="D57" t="s">
        <v>579</v>
      </c>
      <c r="E57" t="s">
        <v>274</v>
      </c>
      <c r="F57" t="s">
        <v>274</v>
      </c>
      <c r="G57" t="s">
        <v>274</v>
      </c>
      <c r="H57" t="s">
        <v>274</v>
      </c>
      <c r="I57" t="s">
        <v>274</v>
      </c>
      <c r="J57" t="s">
        <v>274</v>
      </c>
      <c r="K57" t="s">
        <v>274</v>
      </c>
      <c r="L57" t="s">
        <v>274</v>
      </c>
      <c r="M57" t="s">
        <v>274</v>
      </c>
      <c r="N57" t="s">
        <v>274</v>
      </c>
      <c r="O57" t="s">
        <v>274</v>
      </c>
      <c r="P57" t="s">
        <v>274</v>
      </c>
      <c r="Q57" t="s">
        <v>274</v>
      </c>
      <c r="R57" t="s">
        <v>274</v>
      </c>
      <c r="S57" t="s">
        <v>274</v>
      </c>
      <c r="T57" t="s">
        <v>274</v>
      </c>
      <c r="U57" t="s">
        <v>274</v>
      </c>
      <c r="V57" t="s">
        <v>274</v>
      </c>
      <c r="W57" t="s">
        <v>274</v>
      </c>
      <c r="X57" t="s">
        <v>274</v>
      </c>
      <c r="Y57" t="s">
        <v>274</v>
      </c>
      <c r="Z57" t="s">
        <v>274</v>
      </c>
      <c r="AA57" t="s">
        <v>274</v>
      </c>
      <c r="AB57" t="s">
        <v>274</v>
      </c>
      <c r="AC57" t="s">
        <v>274</v>
      </c>
      <c r="AD57" t="s">
        <v>274</v>
      </c>
      <c r="AE57" t="s">
        <v>274</v>
      </c>
      <c r="AF57" t="s">
        <v>274</v>
      </c>
      <c r="AG57" s="14" t="s">
        <v>274</v>
      </c>
      <c r="AH57" t="s">
        <v>274</v>
      </c>
      <c r="AI57" t="s">
        <v>274</v>
      </c>
      <c r="AJ57" t="s">
        <v>274</v>
      </c>
      <c r="AK57" t="s">
        <v>274</v>
      </c>
      <c r="AL57" t="s">
        <v>274</v>
      </c>
      <c r="AM57" t="s">
        <v>274</v>
      </c>
      <c r="AN57" t="s">
        <v>274</v>
      </c>
      <c r="AO57" t="s">
        <v>274</v>
      </c>
      <c r="AP57" t="s">
        <v>274</v>
      </c>
      <c r="AQ57" t="s">
        <v>274</v>
      </c>
      <c r="AR57" t="s">
        <v>274</v>
      </c>
      <c r="AS57" t="s">
        <v>274</v>
      </c>
      <c r="AT57" t="s">
        <v>274</v>
      </c>
      <c r="AU57" t="s">
        <v>274</v>
      </c>
      <c r="AV57" t="s">
        <v>274</v>
      </c>
      <c r="AW57" t="s">
        <v>274</v>
      </c>
      <c r="AX57" t="s">
        <v>274</v>
      </c>
      <c r="AY57" t="s">
        <v>274</v>
      </c>
      <c r="AZ57" t="s">
        <v>274</v>
      </c>
      <c r="BA57" t="s">
        <v>274</v>
      </c>
      <c r="BB57" t="s">
        <v>274</v>
      </c>
      <c r="BC57" t="s">
        <v>274</v>
      </c>
      <c r="BD57" t="s">
        <v>274</v>
      </c>
      <c r="BE57" t="s">
        <v>274</v>
      </c>
      <c r="BF57" t="s">
        <v>274</v>
      </c>
      <c r="BG57" t="s">
        <v>274</v>
      </c>
      <c r="BH57" t="s">
        <v>274</v>
      </c>
      <c r="BI57" t="s">
        <v>274</v>
      </c>
      <c r="BJ57" t="s">
        <v>274</v>
      </c>
      <c r="BK57" t="s">
        <v>274</v>
      </c>
      <c r="BL57" t="s">
        <v>274</v>
      </c>
      <c r="BM57" t="s">
        <v>274</v>
      </c>
      <c r="BN57" t="s">
        <v>274</v>
      </c>
      <c r="BO57" t="s">
        <v>274</v>
      </c>
      <c r="BP57" t="s">
        <v>274</v>
      </c>
      <c r="BQ57" t="s">
        <v>274</v>
      </c>
      <c r="BR57" t="s">
        <v>274</v>
      </c>
    </row>
    <row r="58" spans="1:70" x14ac:dyDescent="0.3">
      <c r="A58" t="s">
        <v>1532</v>
      </c>
      <c r="B58" t="s">
        <v>1533</v>
      </c>
      <c r="C58" t="s">
        <v>578</v>
      </c>
      <c r="D58" t="s">
        <v>579</v>
      </c>
      <c r="E58" t="s">
        <v>274</v>
      </c>
      <c r="F58" t="s">
        <v>274</v>
      </c>
      <c r="G58" t="s">
        <v>274</v>
      </c>
      <c r="H58" t="s">
        <v>274</v>
      </c>
      <c r="I58" t="s">
        <v>274</v>
      </c>
      <c r="J58" t="s">
        <v>274</v>
      </c>
      <c r="K58" t="s">
        <v>274</v>
      </c>
      <c r="L58" t="s">
        <v>274</v>
      </c>
      <c r="M58" t="s">
        <v>274</v>
      </c>
      <c r="N58" t="s">
        <v>274</v>
      </c>
      <c r="O58" t="s">
        <v>274</v>
      </c>
      <c r="P58" t="s">
        <v>274</v>
      </c>
      <c r="Q58" t="s">
        <v>274</v>
      </c>
      <c r="R58" t="s">
        <v>274</v>
      </c>
      <c r="S58" t="s">
        <v>274</v>
      </c>
      <c r="T58" t="s">
        <v>274</v>
      </c>
      <c r="U58" t="s">
        <v>274</v>
      </c>
      <c r="V58" t="s">
        <v>274</v>
      </c>
      <c r="W58" t="s">
        <v>274</v>
      </c>
      <c r="X58" t="s">
        <v>274</v>
      </c>
      <c r="Y58" t="s">
        <v>274</v>
      </c>
      <c r="Z58" t="s">
        <v>274</v>
      </c>
      <c r="AA58" t="s">
        <v>274</v>
      </c>
      <c r="AB58" t="s">
        <v>274</v>
      </c>
      <c r="AC58" t="s">
        <v>274</v>
      </c>
      <c r="AD58" t="s">
        <v>274</v>
      </c>
      <c r="AE58" t="s">
        <v>274</v>
      </c>
      <c r="AF58" t="s">
        <v>274</v>
      </c>
      <c r="AG58" s="14" t="s">
        <v>274</v>
      </c>
      <c r="AH58" t="s">
        <v>274</v>
      </c>
      <c r="AI58" t="s">
        <v>274</v>
      </c>
      <c r="AJ58" t="s">
        <v>274</v>
      </c>
      <c r="AK58" t="s">
        <v>274</v>
      </c>
      <c r="AL58" t="s">
        <v>274</v>
      </c>
      <c r="AM58" t="s">
        <v>274</v>
      </c>
      <c r="AN58" t="s">
        <v>274</v>
      </c>
      <c r="AO58" t="s">
        <v>274</v>
      </c>
      <c r="AP58" t="s">
        <v>274</v>
      </c>
      <c r="AQ58" t="s">
        <v>274</v>
      </c>
      <c r="AR58" t="s">
        <v>274</v>
      </c>
      <c r="AS58" t="s">
        <v>274</v>
      </c>
      <c r="AT58" t="s">
        <v>274</v>
      </c>
      <c r="AU58" t="s">
        <v>274</v>
      </c>
      <c r="AV58" t="s">
        <v>274</v>
      </c>
      <c r="AW58" t="s">
        <v>274</v>
      </c>
      <c r="AX58" t="s">
        <v>274</v>
      </c>
      <c r="AY58" t="s">
        <v>274</v>
      </c>
      <c r="AZ58" t="s">
        <v>274</v>
      </c>
      <c r="BA58" t="s">
        <v>274</v>
      </c>
      <c r="BB58" t="s">
        <v>274</v>
      </c>
      <c r="BC58" t="s">
        <v>274</v>
      </c>
      <c r="BD58" t="s">
        <v>274</v>
      </c>
      <c r="BE58" t="s">
        <v>274</v>
      </c>
      <c r="BF58" t="s">
        <v>274</v>
      </c>
      <c r="BG58" t="s">
        <v>274</v>
      </c>
      <c r="BH58" t="s">
        <v>274</v>
      </c>
      <c r="BI58" t="s">
        <v>274</v>
      </c>
      <c r="BJ58" t="s">
        <v>274</v>
      </c>
      <c r="BK58" t="s">
        <v>274</v>
      </c>
      <c r="BL58" t="s">
        <v>274</v>
      </c>
      <c r="BM58" t="s">
        <v>274</v>
      </c>
      <c r="BN58" t="s">
        <v>274</v>
      </c>
      <c r="BO58" t="s">
        <v>274</v>
      </c>
      <c r="BP58" t="s">
        <v>274</v>
      </c>
      <c r="BQ58" t="s">
        <v>274</v>
      </c>
      <c r="BR58" t="s">
        <v>274</v>
      </c>
    </row>
    <row r="59" spans="1:70" x14ac:dyDescent="0.3">
      <c r="A59" t="s">
        <v>203</v>
      </c>
      <c r="B59" t="s">
        <v>1534</v>
      </c>
      <c r="C59" t="s">
        <v>578</v>
      </c>
      <c r="D59" t="s">
        <v>579</v>
      </c>
      <c r="E59" t="s">
        <v>274</v>
      </c>
      <c r="F59" t="s">
        <v>274</v>
      </c>
      <c r="G59" t="s">
        <v>274</v>
      </c>
      <c r="H59" t="s">
        <v>274</v>
      </c>
      <c r="I59" t="s">
        <v>274</v>
      </c>
      <c r="J59" t="s">
        <v>274</v>
      </c>
      <c r="K59" t="s">
        <v>274</v>
      </c>
      <c r="L59" t="s">
        <v>274</v>
      </c>
      <c r="M59" t="s">
        <v>274</v>
      </c>
      <c r="N59" t="s">
        <v>274</v>
      </c>
      <c r="O59" t="s">
        <v>274</v>
      </c>
      <c r="P59" t="s">
        <v>274</v>
      </c>
      <c r="Q59" t="s">
        <v>274</v>
      </c>
      <c r="R59" t="s">
        <v>274</v>
      </c>
      <c r="S59" t="s">
        <v>274</v>
      </c>
      <c r="T59" t="s">
        <v>274</v>
      </c>
      <c r="U59" t="s">
        <v>274</v>
      </c>
      <c r="V59" t="s">
        <v>274</v>
      </c>
      <c r="W59" t="s">
        <v>274</v>
      </c>
      <c r="X59" t="s">
        <v>274</v>
      </c>
      <c r="Y59" t="s">
        <v>274</v>
      </c>
      <c r="Z59" t="s">
        <v>274</v>
      </c>
      <c r="AA59" t="s">
        <v>274</v>
      </c>
      <c r="AB59" t="s">
        <v>274</v>
      </c>
      <c r="AC59" t="s">
        <v>274</v>
      </c>
      <c r="AD59" t="s">
        <v>274</v>
      </c>
      <c r="AE59" t="s">
        <v>274</v>
      </c>
      <c r="AF59" t="s">
        <v>274</v>
      </c>
      <c r="AG59" s="14" t="s">
        <v>274</v>
      </c>
      <c r="AH59" t="s">
        <v>274</v>
      </c>
      <c r="AI59" t="s">
        <v>274</v>
      </c>
      <c r="AJ59" t="s">
        <v>274</v>
      </c>
      <c r="AK59" t="s">
        <v>274</v>
      </c>
      <c r="AL59" t="s">
        <v>274</v>
      </c>
      <c r="AM59" t="s">
        <v>274</v>
      </c>
      <c r="AN59" t="s">
        <v>274</v>
      </c>
      <c r="AO59" t="s">
        <v>274</v>
      </c>
      <c r="AP59" t="s">
        <v>274</v>
      </c>
      <c r="AQ59" t="s">
        <v>274</v>
      </c>
      <c r="AR59" t="s">
        <v>274</v>
      </c>
      <c r="AS59" t="s">
        <v>274</v>
      </c>
      <c r="AT59" t="s">
        <v>274</v>
      </c>
      <c r="AU59" t="s">
        <v>274</v>
      </c>
      <c r="AV59" t="s">
        <v>274</v>
      </c>
      <c r="AW59" t="s">
        <v>274</v>
      </c>
      <c r="AX59" t="s">
        <v>274</v>
      </c>
      <c r="AY59" t="s">
        <v>274</v>
      </c>
      <c r="AZ59" t="s">
        <v>274</v>
      </c>
      <c r="BA59" t="s">
        <v>274</v>
      </c>
      <c r="BB59" t="s">
        <v>274</v>
      </c>
      <c r="BC59" t="s">
        <v>274</v>
      </c>
      <c r="BD59" t="s">
        <v>274</v>
      </c>
      <c r="BE59" t="s">
        <v>274</v>
      </c>
      <c r="BF59" t="s">
        <v>274</v>
      </c>
      <c r="BG59" t="s">
        <v>274</v>
      </c>
      <c r="BH59" t="s">
        <v>274</v>
      </c>
      <c r="BI59" t="s">
        <v>274</v>
      </c>
      <c r="BJ59" t="s">
        <v>274</v>
      </c>
      <c r="BK59" t="s">
        <v>274</v>
      </c>
      <c r="BL59" t="s">
        <v>274</v>
      </c>
      <c r="BM59" t="s">
        <v>274</v>
      </c>
      <c r="BN59" t="s">
        <v>274</v>
      </c>
      <c r="BO59" t="s">
        <v>274</v>
      </c>
      <c r="BP59" t="s">
        <v>274</v>
      </c>
      <c r="BQ59" t="s">
        <v>274</v>
      </c>
      <c r="BR59" t="s">
        <v>274</v>
      </c>
    </row>
    <row r="60" spans="1:70" x14ac:dyDescent="0.3">
      <c r="A60" t="s">
        <v>71</v>
      </c>
      <c r="B60" t="s">
        <v>1535</v>
      </c>
      <c r="C60" t="s">
        <v>578</v>
      </c>
      <c r="D60" t="s">
        <v>579</v>
      </c>
      <c r="E60" t="s">
        <v>274</v>
      </c>
      <c r="F60" t="s">
        <v>274</v>
      </c>
      <c r="G60" t="s">
        <v>274</v>
      </c>
      <c r="H60" t="s">
        <v>274</v>
      </c>
      <c r="I60" t="s">
        <v>274</v>
      </c>
      <c r="J60" t="s">
        <v>274</v>
      </c>
      <c r="K60" t="s">
        <v>274</v>
      </c>
      <c r="L60" t="s">
        <v>274</v>
      </c>
      <c r="M60" t="s">
        <v>274</v>
      </c>
      <c r="N60" t="s">
        <v>274</v>
      </c>
      <c r="O60" t="s">
        <v>274</v>
      </c>
      <c r="P60" t="s">
        <v>274</v>
      </c>
      <c r="Q60" t="s">
        <v>274</v>
      </c>
      <c r="R60" t="s">
        <v>274</v>
      </c>
      <c r="S60" t="s">
        <v>274</v>
      </c>
      <c r="T60" t="s">
        <v>274</v>
      </c>
      <c r="U60" t="s">
        <v>274</v>
      </c>
      <c r="V60" t="s">
        <v>274</v>
      </c>
      <c r="W60" t="s">
        <v>274</v>
      </c>
      <c r="X60" t="s">
        <v>274</v>
      </c>
      <c r="Y60" t="s">
        <v>274</v>
      </c>
      <c r="Z60" t="s">
        <v>274</v>
      </c>
      <c r="AA60" t="s">
        <v>274</v>
      </c>
      <c r="AB60" t="s">
        <v>274</v>
      </c>
      <c r="AC60" t="s">
        <v>274</v>
      </c>
      <c r="AD60" t="s">
        <v>274</v>
      </c>
      <c r="AE60" t="s">
        <v>274</v>
      </c>
      <c r="AF60" t="s">
        <v>274</v>
      </c>
      <c r="AG60" s="14" t="s">
        <v>274</v>
      </c>
      <c r="AH60" t="s">
        <v>274</v>
      </c>
      <c r="AI60" t="s">
        <v>274</v>
      </c>
      <c r="AJ60" t="s">
        <v>274</v>
      </c>
      <c r="AK60" t="s">
        <v>274</v>
      </c>
      <c r="AL60" t="s">
        <v>274</v>
      </c>
      <c r="AM60" t="s">
        <v>274</v>
      </c>
      <c r="AN60" t="s">
        <v>274</v>
      </c>
      <c r="AO60" t="s">
        <v>274</v>
      </c>
      <c r="AP60" t="s">
        <v>274</v>
      </c>
      <c r="AQ60" t="s">
        <v>274</v>
      </c>
      <c r="AR60" t="s">
        <v>274</v>
      </c>
      <c r="AS60" t="s">
        <v>274</v>
      </c>
      <c r="AT60" t="s">
        <v>274</v>
      </c>
      <c r="AU60" t="s">
        <v>274</v>
      </c>
      <c r="AV60" t="s">
        <v>274</v>
      </c>
      <c r="AW60" t="s">
        <v>274</v>
      </c>
      <c r="AX60" t="s">
        <v>274</v>
      </c>
      <c r="AY60" t="s">
        <v>274</v>
      </c>
      <c r="AZ60" t="s">
        <v>274</v>
      </c>
      <c r="BA60" t="s">
        <v>274</v>
      </c>
      <c r="BB60" t="s">
        <v>274</v>
      </c>
      <c r="BC60" t="s">
        <v>274</v>
      </c>
      <c r="BD60" t="s">
        <v>274</v>
      </c>
      <c r="BE60" t="s">
        <v>274</v>
      </c>
      <c r="BF60" t="s">
        <v>274</v>
      </c>
      <c r="BG60" t="s">
        <v>274</v>
      </c>
      <c r="BH60" t="s">
        <v>274</v>
      </c>
      <c r="BI60" t="s">
        <v>274</v>
      </c>
      <c r="BJ60" t="s">
        <v>274</v>
      </c>
      <c r="BK60" t="s">
        <v>274</v>
      </c>
      <c r="BL60" t="s">
        <v>274</v>
      </c>
      <c r="BM60" t="s">
        <v>274</v>
      </c>
      <c r="BN60" t="s">
        <v>274</v>
      </c>
      <c r="BO60" t="s">
        <v>274</v>
      </c>
      <c r="BP60" t="s">
        <v>274</v>
      </c>
      <c r="BQ60" t="s">
        <v>274</v>
      </c>
      <c r="BR60" t="s">
        <v>274</v>
      </c>
    </row>
    <row r="61" spans="1:70" x14ac:dyDescent="0.3">
      <c r="A61" t="s">
        <v>1536</v>
      </c>
      <c r="B61" t="s">
        <v>1537</v>
      </c>
      <c r="C61" t="s">
        <v>578</v>
      </c>
      <c r="D61" t="s">
        <v>579</v>
      </c>
      <c r="E61" t="s">
        <v>274</v>
      </c>
      <c r="F61" t="s">
        <v>274</v>
      </c>
      <c r="G61" t="s">
        <v>274</v>
      </c>
      <c r="H61" t="s">
        <v>274</v>
      </c>
      <c r="I61" t="s">
        <v>274</v>
      </c>
      <c r="J61" t="s">
        <v>274</v>
      </c>
      <c r="K61" t="s">
        <v>274</v>
      </c>
      <c r="L61" t="s">
        <v>274</v>
      </c>
      <c r="M61" t="s">
        <v>274</v>
      </c>
      <c r="N61" t="s">
        <v>274</v>
      </c>
      <c r="O61" t="s">
        <v>274</v>
      </c>
      <c r="P61" t="s">
        <v>274</v>
      </c>
      <c r="Q61" t="s">
        <v>274</v>
      </c>
      <c r="R61" t="s">
        <v>274</v>
      </c>
      <c r="S61" t="s">
        <v>274</v>
      </c>
      <c r="T61" t="s">
        <v>274</v>
      </c>
      <c r="U61" t="s">
        <v>274</v>
      </c>
      <c r="V61" t="s">
        <v>274</v>
      </c>
      <c r="W61" t="s">
        <v>274</v>
      </c>
      <c r="X61" t="s">
        <v>274</v>
      </c>
      <c r="Y61" t="s">
        <v>274</v>
      </c>
      <c r="Z61" t="s">
        <v>274</v>
      </c>
      <c r="AA61" t="s">
        <v>274</v>
      </c>
      <c r="AB61" t="s">
        <v>274</v>
      </c>
      <c r="AC61" t="s">
        <v>274</v>
      </c>
      <c r="AD61" t="s">
        <v>274</v>
      </c>
      <c r="AE61" t="s">
        <v>274</v>
      </c>
      <c r="AF61" t="s">
        <v>274</v>
      </c>
      <c r="AG61" s="14" t="s">
        <v>274</v>
      </c>
      <c r="AH61" t="s">
        <v>274</v>
      </c>
      <c r="AI61" t="s">
        <v>274</v>
      </c>
      <c r="AJ61" t="s">
        <v>274</v>
      </c>
      <c r="AK61" t="s">
        <v>274</v>
      </c>
      <c r="AL61" t="s">
        <v>1538</v>
      </c>
      <c r="AM61" t="s">
        <v>1539</v>
      </c>
      <c r="AN61" t="s">
        <v>1540</v>
      </c>
      <c r="AO61" t="s">
        <v>1541</v>
      </c>
      <c r="AP61" t="s">
        <v>1542</v>
      </c>
      <c r="AQ61" t="s">
        <v>1543</v>
      </c>
      <c r="AR61" t="s">
        <v>1544</v>
      </c>
      <c r="AS61" t="s">
        <v>1545</v>
      </c>
      <c r="AT61" t="s">
        <v>1546</v>
      </c>
      <c r="AU61" t="s">
        <v>1547</v>
      </c>
      <c r="AV61" t="s">
        <v>1548</v>
      </c>
      <c r="AW61" t="s">
        <v>1549</v>
      </c>
      <c r="AX61" t="s">
        <v>1550</v>
      </c>
      <c r="AY61" t="s">
        <v>1551</v>
      </c>
      <c r="AZ61" t="s">
        <v>1552</v>
      </c>
      <c r="BA61" t="s">
        <v>1553</v>
      </c>
      <c r="BB61" t="s">
        <v>1554</v>
      </c>
      <c r="BC61" t="s">
        <v>1555</v>
      </c>
      <c r="BD61" t="s">
        <v>1556</v>
      </c>
      <c r="BE61" t="s">
        <v>1557</v>
      </c>
      <c r="BF61" t="s">
        <v>1558</v>
      </c>
      <c r="BG61" t="s">
        <v>1559</v>
      </c>
      <c r="BH61" t="s">
        <v>1560</v>
      </c>
      <c r="BI61" t="s">
        <v>1561</v>
      </c>
      <c r="BJ61" t="s">
        <v>1562</v>
      </c>
      <c r="BK61" t="s">
        <v>1563</v>
      </c>
      <c r="BL61" t="s">
        <v>1564</v>
      </c>
      <c r="BM61" t="s">
        <v>1565</v>
      </c>
      <c r="BN61" t="s">
        <v>1566</v>
      </c>
      <c r="BO61" t="s">
        <v>1567</v>
      </c>
      <c r="BP61" t="s">
        <v>1568</v>
      </c>
      <c r="BQ61" t="s">
        <v>1569</v>
      </c>
      <c r="BR61" t="s">
        <v>274</v>
      </c>
    </row>
    <row r="62" spans="1:70" x14ac:dyDescent="0.3">
      <c r="A62" t="s">
        <v>72</v>
      </c>
      <c r="B62" t="s">
        <v>1570</v>
      </c>
      <c r="C62" t="s">
        <v>578</v>
      </c>
      <c r="D62" t="s">
        <v>579</v>
      </c>
      <c r="E62" t="s">
        <v>274</v>
      </c>
      <c r="F62" t="s">
        <v>274</v>
      </c>
      <c r="G62" t="s">
        <v>274</v>
      </c>
      <c r="H62" t="s">
        <v>274</v>
      </c>
      <c r="I62" t="s">
        <v>274</v>
      </c>
      <c r="J62" t="s">
        <v>274</v>
      </c>
      <c r="K62" t="s">
        <v>274</v>
      </c>
      <c r="L62" t="s">
        <v>274</v>
      </c>
      <c r="M62" t="s">
        <v>274</v>
      </c>
      <c r="N62" t="s">
        <v>274</v>
      </c>
      <c r="O62" t="s">
        <v>274</v>
      </c>
      <c r="P62" t="s">
        <v>274</v>
      </c>
      <c r="Q62" t="s">
        <v>274</v>
      </c>
      <c r="R62" t="s">
        <v>274</v>
      </c>
      <c r="S62" t="s">
        <v>274</v>
      </c>
      <c r="T62" t="s">
        <v>274</v>
      </c>
      <c r="U62" t="s">
        <v>274</v>
      </c>
      <c r="V62" t="s">
        <v>274</v>
      </c>
      <c r="W62" t="s">
        <v>274</v>
      </c>
      <c r="X62" t="s">
        <v>274</v>
      </c>
      <c r="Y62" t="s">
        <v>274</v>
      </c>
      <c r="Z62" t="s">
        <v>274</v>
      </c>
      <c r="AA62" t="s">
        <v>274</v>
      </c>
      <c r="AB62" t="s">
        <v>274</v>
      </c>
      <c r="AC62" t="s">
        <v>274</v>
      </c>
      <c r="AD62" t="s">
        <v>274</v>
      </c>
      <c r="AE62" t="s">
        <v>274</v>
      </c>
      <c r="AF62" t="s">
        <v>274</v>
      </c>
      <c r="AG62" s="14" t="s">
        <v>274</v>
      </c>
      <c r="AH62" t="s">
        <v>274</v>
      </c>
      <c r="AI62" t="s">
        <v>274</v>
      </c>
      <c r="AJ62" t="s">
        <v>274</v>
      </c>
      <c r="AK62" t="s">
        <v>274</v>
      </c>
      <c r="AL62" t="s">
        <v>274</v>
      </c>
      <c r="AM62" t="s">
        <v>274</v>
      </c>
      <c r="AN62" t="s">
        <v>274</v>
      </c>
      <c r="AO62" t="s">
        <v>274</v>
      </c>
      <c r="AP62" t="s">
        <v>274</v>
      </c>
      <c r="AQ62" t="s">
        <v>274</v>
      </c>
      <c r="AR62" t="s">
        <v>274</v>
      </c>
      <c r="AS62" t="s">
        <v>274</v>
      </c>
      <c r="AT62" t="s">
        <v>274</v>
      </c>
      <c r="AU62" t="s">
        <v>274</v>
      </c>
      <c r="AV62" t="s">
        <v>274</v>
      </c>
      <c r="AW62" t="s">
        <v>274</v>
      </c>
      <c r="AX62" t="s">
        <v>274</v>
      </c>
      <c r="AY62" t="s">
        <v>274</v>
      </c>
      <c r="AZ62" t="s">
        <v>274</v>
      </c>
      <c r="BA62" t="s">
        <v>274</v>
      </c>
      <c r="BB62" t="s">
        <v>274</v>
      </c>
      <c r="BC62" t="s">
        <v>274</v>
      </c>
      <c r="BD62" t="s">
        <v>274</v>
      </c>
      <c r="BE62" t="s">
        <v>274</v>
      </c>
      <c r="BF62" t="s">
        <v>274</v>
      </c>
      <c r="BG62" t="s">
        <v>274</v>
      </c>
      <c r="BH62" t="s">
        <v>274</v>
      </c>
      <c r="BI62" t="s">
        <v>274</v>
      </c>
      <c r="BJ62" t="s">
        <v>274</v>
      </c>
      <c r="BK62" t="s">
        <v>274</v>
      </c>
      <c r="BL62" t="s">
        <v>274</v>
      </c>
      <c r="BM62" t="s">
        <v>274</v>
      </c>
      <c r="BN62" t="s">
        <v>274</v>
      </c>
      <c r="BO62" t="s">
        <v>274</v>
      </c>
      <c r="BP62" t="s">
        <v>274</v>
      </c>
      <c r="BQ62" t="s">
        <v>274</v>
      </c>
      <c r="BR62" t="s">
        <v>274</v>
      </c>
    </row>
    <row r="63" spans="1:70" x14ac:dyDescent="0.3">
      <c r="A63" t="s">
        <v>73</v>
      </c>
      <c r="B63" t="s">
        <v>1571</v>
      </c>
      <c r="C63" t="s">
        <v>578</v>
      </c>
      <c r="D63" t="s">
        <v>579</v>
      </c>
      <c r="E63" t="s">
        <v>274</v>
      </c>
      <c r="F63" t="s">
        <v>274</v>
      </c>
      <c r="G63" t="s">
        <v>274</v>
      </c>
      <c r="H63" t="s">
        <v>274</v>
      </c>
      <c r="I63" t="s">
        <v>274</v>
      </c>
      <c r="J63" t="s">
        <v>274</v>
      </c>
      <c r="K63" t="s">
        <v>274</v>
      </c>
      <c r="L63" t="s">
        <v>274</v>
      </c>
      <c r="M63" t="s">
        <v>274</v>
      </c>
      <c r="N63" t="s">
        <v>274</v>
      </c>
      <c r="O63" t="s">
        <v>274</v>
      </c>
      <c r="P63" t="s">
        <v>274</v>
      </c>
      <c r="Q63" t="s">
        <v>274</v>
      </c>
      <c r="R63" t="s">
        <v>274</v>
      </c>
      <c r="S63" t="s">
        <v>274</v>
      </c>
      <c r="T63" t="s">
        <v>274</v>
      </c>
      <c r="U63" t="s">
        <v>274</v>
      </c>
      <c r="V63" t="s">
        <v>274</v>
      </c>
      <c r="W63" t="s">
        <v>274</v>
      </c>
      <c r="X63" t="s">
        <v>274</v>
      </c>
      <c r="Y63" t="s">
        <v>274</v>
      </c>
      <c r="Z63" t="s">
        <v>274</v>
      </c>
      <c r="AA63" t="s">
        <v>274</v>
      </c>
      <c r="AB63" t="s">
        <v>274</v>
      </c>
      <c r="AC63" t="s">
        <v>274</v>
      </c>
      <c r="AD63" t="s">
        <v>274</v>
      </c>
      <c r="AE63" t="s">
        <v>274</v>
      </c>
      <c r="AF63" t="s">
        <v>274</v>
      </c>
      <c r="AG63" s="14" t="s">
        <v>274</v>
      </c>
      <c r="AH63" t="s">
        <v>274</v>
      </c>
      <c r="AI63" t="s">
        <v>274</v>
      </c>
      <c r="AJ63" t="s">
        <v>274</v>
      </c>
      <c r="AK63" t="s">
        <v>274</v>
      </c>
      <c r="AL63" t="s">
        <v>274</v>
      </c>
      <c r="AM63" t="s">
        <v>274</v>
      </c>
      <c r="AN63" t="s">
        <v>274</v>
      </c>
      <c r="AO63" t="s">
        <v>274</v>
      </c>
      <c r="AP63" t="s">
        <v>274</v>
      </c>
      <c r="AQ63" t="s">
        <v>274</v>
      </c>
      <c r="AR63" t="s">
        <v>274</v>
      </c>
      <c r="AS63" t="s">
        <v>274</v>
      </c>
      <c r="AT63" t="s">
        <v>274</v>
      </c>
      <c r="AU63" t="s">
        <v>274</v>
      </c>
      <c r="AV63" t="s">
        <v>274</v>
      </c>
      <c r="AW63" t="s">
        <v>274</v>
      </c>
      <c r="AX63" t="s">
        <v>274</v>
      </c>
      <c r="AY63" t="s">
        <v>274</v>
      </c>
      <c r="AZ63" t="s">
        <v>274</v>
      </c>
      <c r="BA63" t="s">
        <v>274</v>
      </c>
      <c r="BB63" t="s">
        <v>274</v>
      </c>
      <c r="BC63" t="s">
        <v>274</v>
      </c>
      <c r="BD63" t="s">
        <v>274</v>
      </c>
      <c r="BE63" t="s">
        <v>274</v>
      </c>
      <c r="BF63" t="s">
        <v>274</v>
      </c>
      <c r="BG63" t="s">
        <v>274</v>
      </c>
      <c r="BH63" t="s">
        <v>274</v>
      </c>
      <c r="BI63" t="s">
        <v>274</v>
      </c>
      <c r="BJ63" t="s">
        <v>274</v>
      </c>
      <c r="BK63" t="s">
        <v>274</v>
      </c>
      <c r="BL63" t="s">
        <v>274</v>
      </c>
      <c r="BM63" t="s">
        <v>274</v>
      </c>
      <c r="BN63" t="s">
        <v>274</v>
      </c>
      <c r="BO63" t="s">
        <v>274</v>
      </c>
      <c r="BP63" t="s">
        <v>274</v>
      </c>
      <c r="BQ63" t="s">
        <v>274</v>
      </c>
      <c r="BR63" t="s">
        <v>274</v>
      </c>
    </row>
    <row r="64" spans="1:70" x14ac:dyDescent="0.3">
      <c r="A64" t="s">
        <v>205</v>
      </c>
      <c r="B64" t="s">
        <v>1572</v>
      </c>
      <c r="C64" t="s">
        <v>578</v>
      </c>
      <c r="D64" t="s">
        <v>579</v>
      </c>
      <c r="E64" t="s">
        <v>274</v>
      </c>
      <c r="F64" t="s">
        <v>274</v>
      </c>
      <c r="G64" t="s">
        <v>274</v>
      </c>
      <c r="H64" t="s">
        <v>274</v>
      </c>
      <c r="I64" t="s">
        <v>274</v>
      </c>
      <c r="J64" t="s">
        <v>274</v>
      </c>
      <c r="K64" t="s">
        <v>274</v>
      </c>
      <c r="L64" t="s">
        <v>274</v>
      </c>
      <c r="M64" t="s">
        <v>274</v>
      </c>
      <c r="N64" t="s">
        <v>274</v>
      </c>
      <c r="O64" t="s">
        <v>274</v>
      </c>
      <c r="P64" t="s">
        <v>274</v>
      </c>
      <c r="Q64" t="s">
        <v>274</v>
      </c>
      <c r="R64" t="s">
        <v>274</v>
      </c>
      <c r="S64" t="s">
        <v>274</v>
      </c>
      <c r="T64" t="s">
        <v>274</v>
      </c>
      <c r="U64" t="s">
        <v>274</v>
      </c>
      <c r="V64" t="s">
        <v>274</v>
      </c>
      <c r="W64" t="s">
        <v>274</v>
      </c>
      <c r="X64" t="s">
        <v>274</v>
      </c>
      <c r="Y64" t="s">
        <v>274</v>
      </c>
      <c r="Z64" t="s">
        <v>274</v>
      </c>
      <c r="AA64" t="s">
        <v>1573</v>
      </c>
      <c r="AB64" t="s">
        <v>1574</v>
      </c>
      <c r="AC64" t="s">
        <v>1575</v>
      </c>
      <c r="AD64" t="s">
        <v>1576</v>
      </c>
      <c r="AE64" t="s">
        <v>1577</v>
      </c>
      <c r="AF64" t="s">
        <v>1578</v>
      </c>
      <c r="AG64" s="14" t="s">
        <v>1578</v>
      </c>
      <c r="AH64" t="s">
        <v>1578</v>
      </c>
      <c r="AI64" t="s">
        <v>1578</v>
      </c>
      <c r="AJ64" t="s">
        <v>1579</v>
      </c>
      <c r="AK64" t="s">
        <v>1580</v>
      </c>
      <c r="AL64" t="s">
        <v>1581</v>
      </c>
      <c r="AM64" t="s">
        <v>1582</v>
      </c>
      <c r="AN64" t="s">
        <v>1583</v>
      </c>
      <c r="AO64" t="s">
        <v>1584</v>
      </c>
      <c r="AP64" t="s">
        <v>1585</v>
      </c>
      <c r="AQ64" t="s">
        <v>1586</v>
      </c>
      <c r="AR64" t="s">
        <v>1587</v>
      </c>
      <c r="AS64" t="s">
        <v>1588</v>
      </c>
      <c r="AT64" t="s">
        <v>1589</v>
      </c>
      <c r="AU64" t="s">
        <v>1590</v>
      </c>
      <c r="AV64" t="s">
        <v>1591</v>
      </c>
      <c r="AW64" t="s">
        <v>1592</v>
      </c>
      <c r="AX64" t="s">
        <v>1593</v>
      </c>
      <c r="AY64" t="s">
        <v>1594</v>
      </c>
      <c r="AZ64" t="s">
        <v>1595</v>
      </c>
      <c r="BA64" t="s">
        <v>1596</v>
      </c>
      <c r="BB64" t="s">
        <v>1597</v>
      </c>
      <c r="BC64" t="s">
        <v>1598</v>
      </c>
      <c r="BD64" t="s">
        <v>1599</v>
      </c>
      <c r="BE64" t="s">
        <v>1600</v>
      </c>
      <c r="BF64" t="s">
        <v>1601</v>
      </c>
      <c r="BG64" t="s">
        <v>1602</v>
      </c>
      <c r="BH64" t="s">
        <v>1603</v>
      </c>
      <c r="BI64" t="s">
        <v>1604</v>
      </c>
      <c r="BJ64" t="s">
        <v>1605</v>
      </c>
      <c r="BK64" t="s">
        <v>1606</v>
      </c>
      <c r="BL64" t="s">
        <v>1607</v>
      </c>
      <c r="BM64" t="s">
        <v>1608</v>
      </c>
      <c r="BN64" t="s">
        <v>1609</v>
      </c>
      <c r="BO64" t="s">
        <v>1610</v>
      </c>
      <c r="BP64" t="s">
        <v>1611</v>
      </c>
      <c r="BQ64" t="s">
        <v>1612</v>
      </c>
      <c r="BR64" t="s">
        <v>274</v>
      </c>
    </row>
    <row r="65" spans="1:70" x14ac:dyDescent="0.3">
      <c r="A65" t="s">
        <v>74</v>
      </c>
      <c r="B65" t="s">
        <v>1613</v>
      </c>
      <c r="C65" t="s">
        <v>578</v>
      </c>
      <c r="D65" t="s">
        <v>579</v>
      </c>
      <c r="E65" t="s">
        <v>274</v>
      </c>
      <c r="F65" t="s">
        <v>274</v>
      </c>
      <c r="G65" t="s">
        <v>274</v>
      </c>
      <c r="H65" t="s">
        <v>274</v>
      </c>
      <c r="I65" t="s">
        <v>274</v>
      </c>
      <c r="J65" t="s">
        <v>274</v>
      </c>
      <c r="K65" t="s">
        <v>274</v>
      </c>
      <c r="L65" t="s">
        <v>274</v>
      </c>
      <c r="M65" t="s">
        <v>274</v>
      </c>
      <c r="N65" t="s">
        <v>274</v>
      </c>
      <c r="O65" t="s">
        <v>274</v>
      </c>
      <c r="P65" t="s">
        <v>274</v>
      </c>
      <c r="Q65" t="s">
        <v>274</v>
      </c>
      <c r="R65" t="s">
        <v>274</v>
      </c>
      <c r="S65" t="s">
        <v>274</v>
      </c>
      <c r="T65" t="s">
        <v>274</v>
      </c>
      <c r="U65" t="s">
        <v>274</v>
      </c>
      <c r="V65" t="s">
        <v>274</v>
      </c>
      <c r="W65" t="s">
        <v>274</v>
      </c>
      <c r="X65" t="s">
        <v>274</v>
      </c>
      <c r="Y65" t="s">
        <v>274</v>
      </c>
      <c r="Z65" t="s">
        <v>274</v>
      </c>
      <c r="AA65" t="s">
        <v>274</v>
      </c>
      <c r="AB65" t="s">
        <v>274</v>
      </c>
      <c r="AC65" t="s">
        <v>274</v>
      </c>
      <c r="AD65" t="s">
        <v>274</v>
      </c>
      <c r="AE65" t="s">
        <v>274</v>
      </c>
      <c r="AF65" t="s">
        <v>274</v>
      </c>
      <c r="AG65" s="14" t="s">
        <v>274</v>
      </c>
      <c r="AH65" t="s">
        <v>274</v>
      </c>
      <c r="AI65" t="s">
        <v>274</v>
      </c>
      <c r="AJ65" t="s">
        <v>274</v>
      </c>
      <c r="AK65" t="s">
        <v>274</v>
      </c>
      <c r="AL65" t="s">
        <v>274</v>
      </c>
      <c r="AM65" t="s">
        <v>274</v>
      </c>
      <c r="AN65" t="s">
        <v>274</v>
      </c>
      <c r="AO65" t="s">
        <v>274</v>
      </c>
      <c r="AP65" t="s">
        <v>274</v>
      </c>
      <c r="AQ65" t="s">
        <v>274</v>
      </c>
      <c r="AR65" t="s">
        <v>274</v>
      </c>
      <c r="AS65" t="s">
        <v>274</v>
      </c>
      <c r="AT65" t="s">
        <v>274</v>
      </c>
      <c r="AU65" t="s">
        <v>274</v>
      </c>
      <c r="AV65" t="s">
        <v>274</v>
      </c>
      <c r="AW65" t="s">
        <v>274</v>
      </c>
      <c r="AX65" t="s">
        <v>274</v>
      </c>
      <c r="AY65" t="s">
        <v>274</v>
      </c>
      <c r="AZ65" t="s">
        <v>274</v>
      </c>
      <c r="BA65" t="s">
        <v>274</v>
      </c>
      <c r="BB65" t="s">
        <v>274</v>
      </c>
      <c r="BC65" t="s">
        <v>274</v>
      </c>
      <c r="BD65" t="s">
        <v>274</v>
      </c>
      <c r="BE65" t="s">
        <v>274</v>
      </c>
      <c r="BF65" t="s">
        <v>274</v>
      </c>
      <c r="BG65" t="s">
        <v>274</v>
      </c>
      <c r="BH65" t="s">
        <v>274</v>
      </c>
      <c r="BI65" t="s">
        <v>274</v>
      </c>
      <c r="BJ65" t="s">
        <v>274</v>
      </c>
      <c r="BK65" t="s">
        <v>274</v>
      </c>
      <c r="BL65" t="s">
        <v>274</v>
      </c>
      <c r="BM65" t="s">
        <v>274</v>
      </c>
      <c r="BN65" t="s">
        <v>274</v>
      </c>
      <c r="BO65" t="s">
        <v>274</v>
      </c>
      <c r="BP65" t="s">
        <v>274</v>
      </c>
      <c r="BQ65" t="s">
        <v>274</v>
      </c>
      <c r="BR65" t="s">
        <v>274</v>
      </c>
    </row>
    <row r="66" spans="1:70" x14ac:dyDescent="0.3">
      <c r="A66" t="s">
        <v>75</v>
      </c>
      <c r="B66" t="s">
        <v>1614</v>
      </c>
      <c r="C66" t="s">
        <v>578</v>
      </c>
      <c r="D66" t="s">
        <v>579</v>
      </c>
      <c r="E66" t="s">
        <v>274</v>
      </c>
      <c r="F66" t="s">
        <v>274</v>
      </c>
      <c r="G66" t="s">
        <v>274</v>
      </c>
      <c r="H66" t="s">
        <v>274</v>
      </c>
      <c r="I66" t="s">
        <v>274</v>
      </c>
      <c r="J66" t="s">
        <v>274</v>
      </c>
      <c r="K66" t="s">
        <v>274</v>
      </c>
      <c r="L66" t="s">
        <v>274</v>
      </c>
      <c r="M66" t="s">
        <v>274</v>
      </c>
      <c r="N66" t="s">
        <v>274</v>
      </c>
      <c r="O66" t="s">
        <v>274</v>
      </c>
      <c r="P66" t="s">
        <v>274</v>
      </c>
      <c r="Q66" t="s">
        <v>274</v>
      </c>
      <c r="R66" t="s">
        <v>274</v>
      </c>
      <c r="S66" t="s">
        <v>274</v>
      </c>
      <c r="T66" t="s">
        <v>274</v>
      </c>
      <c r="U66" t="s">
        <v>274</v>
      </c>
      <c r="V66" t="s">
        <v>274</v>
      </c>
      <c r="W66" t="s">
        <v>274</v>
      </c>
      <c r="X66" t="s">
        <v>274</v>
      </c>
      <c r="Y66" t="s">
        <v>274</v>
      </c>
      <c r="Z66" t="s">
        <v>274</v>
      </c>
      <c r="AA66" t="s">
        <v>274</v>
      </c>
      <c r="AB66" t="s">
        <v>274</v>
      </c>
      <c r="AC66" t="s">
        <v>274</v>
      </c>
      <c r="AD66" t="s">
        <v>274</v>
      </c>
      <c r="AE66" t="s">
        <v>274</v>
      </c>
      <c r="AF66" t="s">
        <v>274</v>
      </c>
      <c r="AG66" s="14" t="s">
        <v>274</v>
      </c>
      <c r="AH66" t="s">
        <v>274</v>
      </c>
      <c r="AI66" t="s">
        <v>274</v>
      </c>
      <c r="AJ66" t="s">
        <v>1615</v>
      </c>
      <c r="AK66" t="s">
        <v>1616</v>
      </c>
      <c r="AL66" t="s">
        <v>1617</v>
      </c>
      <c r="AM66" t="s">
        <v>1618</v>
      </c>
      <c r="AN66" t="s">
        <v>1619</v>
      </c>
      <c r="AO66" t="s">
        <v>1620</v>
      </c>
      <c r="AP66" t="s">
        <v>1621</v>
      </c>
      <c r="AQ66" t="s">
        <v>1622</v>
      </c>
      <c r="AR66" t="s">
        <v>1623</v>
      </c>
      <c r="AS66" t="s">
        <v>1624</v>
      </c>
      <c r="AT66" t="s">
        <v>1625</v>
      </c>
      <c r="AU66" t="s">
        <v>1626</v>
      </c>
      <c r="AV66" t="s">
        <v>1627</v>
      </c>
      <c r="AW66" t="s">
        <v>1628</v>
      </c>
      <c r="AX66" t="s">
        <v>1629</v>
      </c>
      <c r="AY66" t="s">
        <v>1630</v>
      </c>
      <c r="AZ66" t="s">
        <v>1512</v>
      </c>
      <c r="BA66" t="s">
        <v>1631</v>
      </c>
      <c r="BB66" t="s">
        <v>1632</v>
      </c>
      <c r="BC66" t="s">
        <v>1633</v>
      </c>
      <c r="BD66" t="s">
        <v>1634</v>
      </c>
      <c r="BE66" t="s">
        <v>1635</v>
      </c>
      <c r="BF66" t="s">
        <v>1636</v>
      </c>
      <c r="BG66" t="s">
        <v>1637</v>
      </c>
      <c r="BH66" t="s">
        <v>1638</v>
      </c>
      <c r="BI66" t="s">
        <v>1639</v>
      </c>
      <c r="BJ66" t="s">
        <v>1640</v>
      </c>
      <c r="BK66" t="s">
        <v>1641</v>
      </c>
      <c r="BL66" t="s">
        <v>1642</v>
      </c>
      <c r="BM66" t="s">
        <v>1643</v>
      </c>
      <c r="BN66" t="s">
        <v>1644</v>
      </c>
      <c r="BO66" t="s">
        <v>1645</v>
      </c>
      <c r="BP66" t="s">
        <v>1646</v>
      </c>
      <c r="BQ66" t="s">
        <v>1647</v>
      </c>
      <c r="BR66" t="s">
        <v>274</v>
      </c>
    </row>
    <row r="67" spans="1:70" x14ac:dyDescent="0.3">
      <c r="A67" t="s">
        <v>76</v>
      </c>
      <c r="B67" t="s">
        <v>1648</v>
      </c>
      <c r="C67" t="s">
        <v>578</v>
      </c>
      <c r="D67" t="s">
        <v>579</v>
      </c>
      <c r="E67" t="s">
        <v>274</v>
      </c>
      <c r="F67" t="s">
        <v>274</v>
      </c>
      <c r="G67" t="s">
        <v>274</v>
      </c>
      <c r="H67" t="s">
        <v>274</v>
      </c>
      <c r="I67" t="s">
        <v>274</v>
      </c>
      <c r="J67" t="s">
        <v>274</v>
      </c>
      <c r="K67" t="s">
        <v>274</v>
      </c>
      <c r="L67" t="s">
        <v>274</v>
      </c>
      <c r="M67" t="s">
        <v>274</v>
      </c>
      <c r="N67" t="s">
        <v>274</v>
      </c>
      <c r="O67" t="s">
        <v>274</v>
      </c>
      <c r="P67" t="s">
        <v>274</v>
      </c>
      <c r="Q67" t="s">
        <v>274</v>
      </c>
      <c r="R67" t="s">
        <v>274</v>
      </c>
      <c r="S67" t="s">
        <v>274</v>
      </c>
      <c r="T67" t="s">
        <v>274</v>
      </c>
      <c r="U67" t="s">
        <v>274</v>
      </c>
      <c r="V67" t="s">
        <v>274</v>
      </c>
      <c r="W67" t="s">
        <v>274</v>
      </c>
      <c r="X67" t="s">
        <v>274</v>
      </c>
      <c r="Y67" t="s">
        <v>274</v>
      </c>
      <c r="Z67" t="s">
        <v>274</v>
      </c>
      <c r="AA67" t="s">
        <v>274</v>
      </c>
      <c r="AB67" t="s">
        <v>274</v>
      </c>
      <c r="AC67" t="s">
        <v>274</v>
      </c>
      <c r="AD67" t="s">
        <v>274</v>
      </c>
      <c r="AE67" t="s">
        <v>274</v>
      </c>
      <c r="AF67" t="s">
        <v>274</v>
      </c>
      <c r="AG67" s="14" t="s">
        <v>274</v>
      </c>
      <c r="AH67" t="s">
        <v>274</v>
      </c>
      <c r="AI67" t="s">
        <v>274</v>
      </c>
      <c r="AJ67" t="s">
        <v>274</v>
      </c>
      <c r="AK67" t="s">
        <v>274</v>
      </c>
      <c r="AL67" t="s">
        <v>274</v>
      </c>
      <c r="AM67" t="s">
        <v>274</v>
      </c>
      <c r="AN67" t="s">
        <v>1649</v>
      </c>
      <c r="AO67" t="s">
        <v>1650</v>
      </c>
      <c r="AP67" t="s">
        <v>1651</v>
      </c>
      <c r="AQ67" t="s">
        <v>805</v>
      </c>
      <c r="AR67" t="s">
        <v>1288</v>
      </c>
      <c r="AS67" t="s">
        <v>1212</v>
      </c>
      <c r="AT67" t="s">
        <v>594</v>
      </c>
      <c r="AU67" t="s">
        <v>1652</v>
      </c>
      <c r="AV67" t="s">
        <v>1653</v>
      </c>
      <c r="AW67" t="s">
        <v>1654</v>
      </c>
      <c r="AX67" t="s">
        <v>1654</v>
      </c>
      <c r="AY67" t="s">
        <v>1654</v>
      </c>
      <c r="AZ67" t="s">
        <v>1654</v>
      </c>
      <c r="BA67" t="s">
        <v>1654</v>
      </c>
      <c r="BB67" t="s">
        <v>1654</v>
      </c>
      <c r="BC67" t="s">
        <v>1654</v>
      </c>
      <c r="BD67" t="s">
        <v>1654</v>
      </c>
      <c r="BE67" t="s">
        <v>1654</v>
      </c>
      <c r="BF67" t="s">
        <v>1654</v>
      </c>
      <c r="BG67" t="s">
        <v>1654</v>
      </c>
      <c r="BH67" t="s">
        <v>1654</v>
      </c>
      <c r="BI67" t="s">
        <v>1654</v>
      </c>
      <c r="BJ67" t="s">
        <v>1654</v>
      </c>
      <c r="BK67" t="s">
        <v>1654</v>
      </c>
      <c r="BL67" t="s">
        <v>1654</v>
      </c>
      <c r="BM67" t="s">
        <v>1654</v>
      </c>
      <c r="BN67" t="s">
        <v>1654</v>
      </c>
      <c r="BO67" t="s">
        <v>1654</v>
      </c>
      <c r="BP67" t="s">
        <v>1654</v>
      </c>
      <c r="BQ67" t="s">
        <v>1654</v>
      </c>
      <c r="BR67" t="s">
        <v>274</v>
      </c>
    </row>
    <row r="68" spans="1:70" x14ac:dyDescent="0.3">
      <c r="A68" t="s">
        <v>1655</v>
      </c>
      <c r="B68" t="s">
        <v>1656</v>
      </c>
      <c r="C68" t="s">
        <v>578</v>
      </c>
      <c r="D68" t="s">
        <v>579</v>
      </c>
      <c r="E68" t="s">
        <v>274</v>
      </c>
      <c r="F68" t="s">
        <v>274</v>
      </c>
      <c r="G68" t="s">
        <v>274</v>
      </c>
      <c r="H68" t="s">
        <v>274</v>
      </c>
      <c r="I68" t="s">
        <v>274</v>
      </c>
      <c r="J68" t="s">
        <v>274</v>
      </c>
      <c r="K68" t="s">
        <v>274</v>
      </c>
      <c r="L68" t="s">
        <v>274</v>
      </c>
      <c r="M68" t="s">
        <v>274</v>
      </c>
      <c r="N68" t="s">
        <v>274</v>
      </c>
      <c r="O68" t="s">
        <v>274</v>
      </c>
      <c r="P68" t="s">
        <v>274</v>
      </c>
      <c r="Q68" t="s">
        <v>274</v>
      </c>
      <c r="R68" t="s">
        <v>274</v>
      </c>
      <c r="S68" t="s">
        <v>274</v>
      </c>
      <c r="T68" t="s">
        <v>274</v>
      </c>
      <c r="U68" t="s">
        <v>274</v>
      </c>
      <c r="V68" t="s">
        <v>274</v>
      </c>
      <c r="W68" t="s">
        <v>274</v>
      </c>
      <c r="X68" t="s">
        <v>274</v>
      </c>
      <c r="Y68" t="s">
        <v>274</v>
      </c>
      <c r="Z68" t="s">
        <v>274</v>
      </c>
      <c r="AA68" t="s">
        <v>274</v>
      </c>
      <c r="AB68" t="s">
        <v>274</v>
      </c>
      <c r="AC68" t="s">
        <v>274</v>
      </c>
      <c r="AD68" t="s">
        <v>274</v>
      </c>
      <c r="AE68" t="s">
        <v>274</v>
      </c>
      <c r="AF68" t="s">
        <v>274</v>
      </c>
      <c r="AG68" s="14" t="s">
        <v>274</v>
      </c>
      <c r="AH68" t="s">
        <v>274</v>
      </c>
      <c r="AI68" t="s">
        <v>274</v>
      </c>
      <c r="AJ68" t="s">
        <v>274</v>
      </c>
      <c r="AK68" t="s">
        <v>274</v>
      </c>
      <c r="AL68" t="s">
        <v>274</v>
      </c>
      <c r="AM68" t="s">
        <v>274</v>
      </c>
      <c r="AN68" t="s">
        <v>274</v>
      </c>
      <c r="AO68" t="s">
        <v>274</v>
      </c>
      <c r="AP68" t="s">
        <v>274</v>
      </c>
      <c r="AQ68" t="s">
        <v>274</v>
      </c>
      <c r="AR68" t="s">
        <v>274</v>
      </c>
      <c r="AS68" t="s">
        <v>274</v>
      </c>
      <c r="AT68" t="s">
        <v>274</v>
      </c>
      <c r="AU68" t="s">
        <v>274</v>
      </c>
      <c r="AV68" t="s">
        <v>274</v>
      </c>
      <c r="AW68" t="s">
        <v>274</v>
      </c>
      <c r="AX68" t="s">
        <v>274</v>
      </c>
      <c r="AY68" t="s">
        <v>274</v>
      </c>
      <c r="AZ68" t="s">
        <v>274</v>
      </c>
      <c r="BA68" t="s">
        <v>274</v>
      </c>
      <c r="BB68" t="s">
        <v>274</v>
      </c>
      <c r="BC68" t="s">
        <v>274</v>
      </c>
      <c r="BD68" t="s">
        <v>274</v>
      </c>
      <c r="BE68" t="s">
        <v>274</v>
      </c>
      <c r="BF68" t="s">
        <v>274</v>
      </c>
      <c r="BG68" t="s">
        <v>274</v>
      </c>
      <c r="BH68" t="s">
        <v>274</v>
      </c>
      <c r="BI68" t="s">
        <v>274</v>
      </c>
      <c r="BJ68" t="s">
        <v>274</v>
      </c>
      <c r="BK68" t="s">
        <v>274</v>
      </c>
      <c r="BL68" t="s">
        <v>274</v>
      </c>
      <c r="BM68" t="s">
        <v>274</v>
      </c>
      <c r="BN68" t="s">
        <v>274</v>
      </c>
      <c r="BO68" t="s">
        <v>274</v>
      </c>
      <c r="BP68" t="s">
        <v>274</v>
      </c>
      <c r="BQ68" t="s">
        <v>274</v>
      </c>
      <c r="BR68" t="s">
        <v>274</v>
      </c>
    </row>
    <row r="69" spans="1:70" x14ac:dyDescent="0.3">
      <c r="A69" t="s">
        <v>1657</v>
      </c>
      <c r="B69" t="s">
        <v>1658</v>
      </c>
      <c r="C69" t="s">
        <v>578</v>
      </c>
      <c r="D69" t="s">
        <v>579</v>
      </c>
      <c r="E69" t="s">
        <v>274</v>
      </c>
      <c r="F69" t="s">
        <v>274</v>
      </c>
      <c r="G69" t="s">
        <v>274</v>
      </c>
      <c r="H69" t="s">
        <v>274</v>
      </c>
      <c r="I69" t="s">
        <v>274</v>
      </c>
      <c r="J69" t="s">
        <v>274</v>
      </c>
      <c r="K69" t="s">
        <v>274</v>
      </c>
      <c r="L69" t="s">
        <v>274</v>
      </c>
      <c r="M69" t="s">
        <v>274</v>
      </c>
      <c r="N69" t="s">
        <v>274</v>
      </c>
      <c r="O69" t="s">
        <v>274</v>
      </c>
      <c r="P69" t="s">
        <v>274</v>
      </c>
      <c r="Q69" t="s">
        <v>274</v>
      </c>
      <c r="R69" t="s">
        <v>274</v>
      </c>
      <c r="S69" t="s">
        <v>274</v>
      </c>
      <c r="T69" t="s">
        <v>274</v>
      </c>
      <c r="U69" t="s">
        <v>274</v>
      </c>
      <c r="V69" t="s">
        <v>274</v>
      </c>
      <c r="W69" t="s">
        <v>274</v>
      </c>
      <c r="X69" t="s">
        <v>274</v>
      </c>
      <c r="Y69" t="s">
        <v>274</v>
      </c>
      <c r="Z69" t="s">
        <v>274</v>
      </c>
      <c r="AA69" t="s">
        <v>274</v>
      </c>
      <c r="AB69" t="s">
        <v>274</v>
      </c>
      <c r="AC69" t="s">
        <v>274</v>
      </c>
      <c r="AD69" t="s">
        <v>274</v>
      </c>
      <c r="AE69" t="s">
        <v>274</v>
      </c>
      <c r="AF69" t="s">
        <v>274</v>
      </c>
      <c r="AG69" s="14" t="s">
        <v>274</v>
      </c>
      <c r="AH69" t="s">
        <v>274</v>
      </c>
      <c r="AI69" t="s">
        <v>274</v>
      </c>
      <c r="AJ69" t="s">
        <v>274</v>
      </c>
      <c r="AK69" t="s">
        <v>274</v>
      </c>
      <c r="AL69" t="s">
        <v>274</v>
      </c>
      <c r="AM69" t="s">
        <v>274</v>
      </c>
      <c r="AN69" t="s">
        <v>274</v>
      </c>
      <c r="AO69" t="s">
        <v>274</v>
      </c>
      <c r="AP69" t="s">
        <v>274</v>
      </c>
      <c r="AQ69" t="s">
        <v>274</v>
      </c>
      <c r="AR69" t="s">
        <v>274</v>
      </c>
      <c r="AS69" t="s">
        <v>274</v>
      </c>
      <c r="AT69" t="s">
        <v>274</v>
      </c>
      <c r="AU69" t="s">
        <v>274</v>
      </c>
      <c r="AV69" t="s">
        <v>274</v>
      </c>
      <c r="AW69" t="s">
        <v>274</v>
      </c>
      <c r="AX69" t="s">
        <v>274</v>
      </c>
      <c r="AY69" t="s">
        <v>274</v>
      </c>
      <c r="AZ69" t="s">
        <v>274</v>
      </c>
      <c r="BA69" t="s">
        <v>274</v>
      </c>
      <c r="BB69" t="s">
        <v>274</v>
      </c>
      <c r="BC69" t="s">
        <v>274</v>
      </c>
      <c r="BD69" t="s">
        <v>274</v>
      </c>
      <c r="BE69" t="s">
        <v>274</v>
      </c>
      <c r="BF69" t="s">
        <v>274</v>
      </c>
      <c r="BG69" t="s">
        <v>274</v>
      </c>
      <c r="BH69" t="s">
        <v>274</v>
      </c>
      <c r="BI69" t="s">
        <v>274</v>
      </c>
      <c r="BJ69" t="s">
        <v>274</v>
      </c>
      <c r="BK69" t="s">
        <v>274</v>
      </c>
      <c r="BL69" t="s">
        <v>274</v>
      </c>
      <c r="BM69" t="s">
        <v>274</v>
      </c>
      <c r="BN69" t="s">
        <v>274</v>
      </c>
      <c r="BO69" t="s">
        <v>274</v>
      </c>
      <c r="BP69" t="s">
        <v>274</v>
      </c>
      <c r="BQ69" t="s">
        <v>274</v>
      </c>
      <c r="BR69" t="s">
        <v>274</v>
      </c>
    </row>
    <row r="70" spans="1:70" x14ac:dyDescent="0.3">
      <c r="A70" t="s">
        <v>77</v>
      </c>
      <c r="B70" t="s">
        <v>1659</v>
      </c>
      <c r="C70" t="s">
        <v>578</v>
      </c>
      <c r="D70" t="s">
        <v>579</v>
      </c>
      <c r="E70" t="s">
        <v>274</v>
      </c>
      <c r="F70" t="s">
        <v>274</v>
      </c>
      <c r="G70" t="s">
        <v>274</v>
      </c>
      <c r="H70" t="s">
        <v>274</v>
      </c>
      <c r="I70" t="s">
        <v>274</v>
      </c>
      <c r="J70" t="s">
        <v>274</v>
      </c>
      <c r="K70" t="s">
        <v>274</v>
      </c>
      <c r="L70" t="s">
        <v>274</v>
      </c>
      <c r="M70" t="s">
        <v>274</v>
      </c>
      <c r="N70" t="s">
        <v>274</v>
      </c>
      <c r="O70" t="s">
        <v>274</v>
      </c>
      <c r="P70" t="s">
        <v>274</v>
      </c>
      <c r="Q70" t="s">
        <v>274</v>
      </c>
      <c r="R70" t="s">
        <v>274</v>
      </c>
      <c r="S70" t="s">
        <v>274</v>
      </c>
      <c r="T70" t="s">
        <v>274</v>
      </c>
      <c r="U70" t="s">
        <v>274</v>
      </c>
      <c r="V70" t="s">
        <v>274</v>
      </c>
      <c r="W70" t="s">
        <v>274</v>
      </c>
      <c r="X70" t="s">
        <v>274</v>
      </c>
      <c r="Y70" t="s">
        <v>274</v>
      </c>
      <c r="Z70" t="s">
        <v>274</v>
      </c>
      <c r="AA70" t="s">
        <v>274</v>
      </c>
      <c r="AB70" t="s">
        <v>274</v>
      </c>
      <c r="AC70" t="s">
        <v>274</v>
      </c>
      <c r="AD70" t="s">
        <v>274</v>
      </c>
      <c r="AE70" t="s">
        <v>274</v>
      </c>
      <c r="AF70" t="s">
        <v>274</v>
      </c>
      <c r="AG70" s="14" t="s">
        <v>274</v>
      </c>
      <c r="AH70" t="s">
        <v>274</v>
      </c>
      <c r="AI70" t="s">
        <v>274</v>
      </c>
      <c r="AJ70" t="s">
        <v>274</v>
      </c>
      <c r="AK70" t="s">
        <v>274</v>
      </c>
      <c r="AL70" t="s">
        <v>274</v>
      </c>
      <c r="AM70" t="s">
        <v>274</v>
      </c>
      <c r="AN70" t="s">
        <v>274</v>
      </c>
      <c r="AO70" t="s">
        <v>274</v>
      </c>
      <c r="AP70" t="s">
        <v>274</v>
      </c>
      <c r="AQ70" t="s">
        <v>274</v>
      </c>
      <c r="AR70" t="s">
        <v>274</v>
      </c>
      <c r="AS70" t="s">
        <v>274</v>
      </c>
      <c r="AT70" t="s">
        <v>274</v>
      </c>
      <c r="AU70" t="s">
        <v>274</v>
      </c>
      <c r="AV70" t="s">
        <v>274</v>
      </c>
      <c r="AW70" t="s">
        <v>274</v>
      </c>
      <c r="AX70" t="s">
        <v>274</v>
      </c>
      <c r="AY70" t="s">
        <v>274</v>
      </c>
      <c r="AZ70" t="s">
        <v>274</v>
      </c>
      <c r="BA70" t="s">
        <v>274</v>
      </c>
      <c r="BB70" t="s">
        <v>274</v>
      </c>
      <c r="BC70" t="s">
        <v>274</v>
      </c>
      <c r="BD70" t="s">
        <v>274</v>
      </c>
      <c r="BE70" t="s">
        <v>274</v>
      </c>
      <c r="BF70" t="s">
        <v>274</v>
      </c>
      <c r="BG70" t="s">
        <v>274</v>
      </c>
      <c r="BH70" t="s">
        <v>274</v>
      </c>
      <c r="BI70" t="s">
        <v>274</v>
      </c>
      <c r="BJ70" t="s">
        <v>274</v>
      </c>
      <c r="BK70" t="s">
        <v>274</v>
      </c>
      <c r="BL70" t="s">
        <v>274</v>
      </c>
      <c r="BM70" t="s">
        <v>274</v>
      </c>
      <c r="BN70" t="s">
        <v>274</v>
      </c>
      <c r="BO70" t="s">
        <v>274</v>
      </c>
      <c r="BP70" t="s">
        <v>274</v>
      </c>
      <c r="BQ70" t="s">
        <v>274</v>
      </c>
      <c r="BR70" t="s">
        <v>274</v>
      </c>
    </row>
    <row r="71" spans="1:70" x14ac:dyDescent="0.3">
      <c r="A71" t="s">
        <v>1660</v>
      </c>
      <c r="B71" t="s">
        <v>1661</v>
      </c>
      <c r="C71" t="s">
        <v>578</v>
      </c>
      <c r="D71" t="s">
        <v>579</v>
      </c>
      <c r="E71" t="s">
        <v>274</v>
      </c>
      <c r="F71" t="s">
        <v>274</v>
      </c>
      <c r="G71" t="s">
        <v>274</v>
      </c>
      <c r="H71" t="s">
        <v>274</v>
      </c>
      <c r="I71" t="s">
        <v>274</v>
      </c>
      <c r="J71" t="s">
        <v>274</v>
      </c>
      <c r="K71" t="s">
        <v>274</v>
      </c>
      <c r="L71" t="s">
        <v>274</v>
      </c>
      <c r="M71" t="s">
        <v>274</v>
      </c>
      <c r="N71" t="s">
        <v>274</v>
      </c>
      <c r="O71" t="s">
        <v>274</v>
      </c>
      <c r="P71" t="s">
        <v>274</v>
      </c>
      <c r="Q71" t="s">
        <v>274</v>
      </c>
      <c r="R71" t="s">
        <v>274</v>
      </c>
      <c r="S71" t="s">
        <v>274</v>
      </c>
      <c r="T71" t="s">
        <v>274</v>
      </c>
      <c r="U71" t="s">
        <v>274</v>
      </c>
      <c r="V71" t="s">
        <v>274</v>
      </c>
      <c r="W71" t="s">
        <v>274</v>
      </c>
      <c r="X71" t="s">
        <v>274</v>
      </c>
      <c r="Y71" t="s">
        <v>274</v>
      </c>
      <c r="Z71" t="s">
        <v>274</v>
      </c>
      <c r="AA71" t="s">
        <v>274</v>
      </c>
      <c r="AB71" t="s">
        <v>274</v>
      </c>
      <c r="AC71" t="s">
        <v>274</v>
      </c>
      <c r="AD71" t="s">
        <v>274</v>
      </c>
      <c r="AE71" t="s">
        <v>274</v>
      </c>
      <c r="AF71" t="s">
        <v>274</v>
      </c>
      <c r="AG71" s="14" t="s">
        <v>274</v>
      </c>
      <c r="AH71" t="s">
        <v>274</v>
      </c>
      <c r="AI71" t="s">
        <v>274</v>
      </c>
      <c r="AJ71" t="s">
        <v>274</v>
      </c>
      <c r="AK71" t="s">
        <v>274</v>
      </c>
      <c r="AL71" t="s">
        <v>274</v>
      </c>
      <c r="AM71" t="s">
        <v>274</v>
      </c>
      <c r="AN71" t="s">
        <v>274</v>
      </c>
      <c r="AO71" t="s">
        <v>274</v>
      </c>
      <c r="AP71" t="s">
        <v>274</v>
      </c>
      <c r="AQ71" t="s">
        <v>274</v>
      </c>
      <c r="AR71" t="s">
        <v>274</v>
      </c>
      <c r="AS71" t="s">
        <v>274</v>
      </c>
      <c r="AT71" t="s">
        <v>274</v>
      </c>
      <c r="AU71" t="s">
        <v>274</v>
      </c>
      <c r="AV71" t="s">
        <v>274</v>
      </c>
      <c r="AW71" t="s">
        <v>274</v>
      </c>
      <c r="AX71" t="s">
        <v>274</v>
      </c>
      <c r="AY71" t="s">
        <v>274</v>
      </c>
      <c r="AZ71" t="s">
        <v>274</v>
      </c>
      <c r="BA71" t="s">
        <v>274</v>
      </c>
      <c r="BB71" t="s">
        <v>274</v>
      </c>
      <c r="BC71" t="s">
        <v>274</v>
      </c>
      <c r="BD71" t="s">
        <v>274</v>
      </c>
      <c r="BE71" t="s">
        <v>274</v>
      </c>
      <c r="BF71" t="s">
        <v>274</v>
      </c>
      <c r="BG71" t="s">
        <v>274</v>
      </c>
      <c r="BH71" t="s">
        <v>274</v>
      </c>
      <c r="BI71" t="s">
        <v>274</v>
      </c>
      <c r="BJ71" t="s">
        <v>274</v>
      </c>
      <c r="BK71" t="s">
        <v>274</v>
      </c>
      <c r="BL71" t="s">
        <v>274</v>
      </c>
      <c r="BM71" t="s">
        <v>274</v>
      </c>
      <c r="BN71" t="s">
        <v>274</v>
      </c>
      <c r="BO71" t="s">
        <v>274</v>
      </c>
      <c r="BP71" t="s">
        <v>274</v>
      </c>
      <c r="BQ71" t="s">
        <v>274</v>
      </c>
      <c r="BR71" t="s">
        <v>274</v>
      </c>
    </row>
    <row r="72" spans="1:70" x14ac:dyDescent="0.3">
      <c r="A72" t="s">
        <v>78</v>
      </c>
      <c r="B72" t="s">
        <v>1662</v>
      </c>
      <c r="C72" t="s">
        <v>578</v>
      </c>
      <c r="D72" t="s">
        <v>579</v>
      </c>
      <c r="E72" t="s">
        <v>274</v>
      </c>
      <c r="F72" t="s">
        <v>274</v>
      </c>
      <c r="G72" t="s">
        <v>274</v>
      </c>
      <c r="H72" t="s">
        <v>274</v>
      </c>
      <c r="I72" t="s">
        <v>274</v>
      </c>
      <c r="J72" t="s">
        <v>274</v>
      </c>
      <c r="K72" t="s">
        <v>274</v>
      </c>
      <c r="L72" t="s">
        <v>274</v>
      </c>
      <c r="M72" t="s">
        <v>274</v>
      </c>
      <c r="N72" t="s">
        <v>274</v>
      </c>
      <c r="O72" t="s">
        <v>274</v>
      </c>
      <c r="P72" t="s">
        <v>274</v>
      </c>
      <c r="Q72" t="s">
        <v>274</v>
      </c>
      <c r="R72" t="s">
        <v>274</v>
      </c>
      <c r="S72" t="s">
        <v>274</v>
      </c>
      <c r="T72" t="s">
        <v>274</v>
      </c>
      <c r="U72" t="s">
        <v>274</v>
      </c>
      <c r="V72" t="s">
        <v>274</v>
      </c>
      <c r="W72" t="s">
        <v>274</v>
      </c>
      <c r="X72" t="s">
        <v>274</v>
      </c>
      <c r="Y72" t="s">
        <v>274</v>
      </c>
      <c r="Z72" t="s">
        <v>274</v>
      </c>
      <c r="AA72" t="s">
        <v>274</v>
      </c>
      <c r="AB72" t="s">
        <v>274</v>
      </c>
      <c r="AC72" t="s">
        <v>274</v>
      </c>
      <c r="AD72" t="s">
        <v>274</v>
      </c>
      <c r="AE72" t="s">
        <v>274</v>
      </c>
      <c r="AF72" t="s">
        <v>274</v>
      </c>
      <c r="AG72" s="14" t="s">
        <v>274</v>
      </c>
      <c r="AH72" t="s">
        <v>274</v>
      </c>
      <c r="AI72" t="s">
        <v>274</v>
      </c>
      <c r="AJ72" t="s">
        <v>274</v>
      </c>
      <c r="AK72" t="s">
        <v>274</v>
      </c>
      <c r="AL72" t="s">
        <v>274</v>
      </c>
      <c r="AM72" t="s">
        <v>274</v>
      </c>
      <c r="AN72" t="s">
        <v>274</v>
      </c>
      <c r="AO72" t="s">
        <v>274</v>
      </c>
      <c r="AP72" t="s">
        <v>274</v>
      </c>
      <c r="AQ72" t="s">
        <v>274</v>
      </c>
      <c r="AR72" t="s">
        <v>274</v>
      </c>
      <c r="AS72" t="s">
        <v>274</v>
      </c>
      <c r="AT72" t="s">
        <v>274</v>
      </c>
      <c r="AU72" t="s">
        <v>274</v>
      </c>
      <c r="AV72" t="s">
        <v>274</v>
      </c>
      <c r="AW72" t="s">
        <v>274</v>
      </c>
      <c r="AX72" t="s">
        <v>274</v>
      </c>
      <c r="AY72" t="s">
        <v>274</v>
      </c>
      <c r="AZ72" t="s">
        <v>274</v>
      </c>
      <c r="BA72" t="s">
        <v>274</v>
      </c>
      <c r="BB72" t="s">
        <v>274</v>
      </c>
      <c r="BC72" t="s">
        <v>274</v>
      </c>
      <c r="BD72" t="s">
        <v>274</v>
      </c>
      <c r="BE72" t="s">
        <v>274</v>
      </c>
      <c r="BF72" t="s">
        <v>274</v>
      </c>
      <c r="BG72" t="s">
        <v>274</v>
      </c>
      <c r="BH72" t="s">
        <v>274</v>
      </c>
      <c r="BI72" t="s">
        <v>274</v>
      </c>
      <c r="BJ72" t="s">
        <v>274</v>
      </c>
      <c r="BK72" t="s">
        <v>274</v>
      </c>
      <c r="BL72" t="s">
        <v>274</v>
      </c>
      <c r="BM72" t="s">
        <v>274</v>
      </c>
      <c r="BN72" t="s">
        <v>274</v>
      </c>
      <c r="BO72" t="s">
        <v>274</v>
      </c>
      <c r="BP72" t="s">
        <v>274</v>
      </c>
      <c r="BQ72" t="s">
        <v>274</v>
      </c>
      <c r="BR72" t="s">
        <v>274</v>
      </c>
    </row>
    <row r="73" spans="1:70" x14ac:dyDescent="0.3">
      <c r="A73" t="s">
        <v>79</v>
      </c>
      <c r="B73" t="s">
        <v>1663</v>
      </c>
      <c r="C73" t="s">
        <v>578</v>
      </c>
      <c r="D73" t="s">
        <v>579</v>
      </c>
      <c r="E73" t="s">
        <v>274</v>
      </c>
      <c r="F73" t="s">
        <v>274</v>
      </c>
      <c r="G73" t="s">
        <v>274</v>
      </c>
      <c r="H73" t="s">
        <v>274</v>
      </c>
      <c r="I73" t="s">
        <v>274</v>
      </c>
      <c r="J73" t="s">
        <v>274</v>
      </c>
      <c r="K73" t="s">
        <v>274</v>
      </c>
      <c r="L73" t="s">
        <v>274</v>
      </c>
      <c r="M73" t="s">
        <v>274</v>
      </c>
      <c r="N73" t="s">
        <v>274</v>
      </c>
      <c r="O73" t="s">
        <v>274</v>
      </c>
      <c r="P73" t="s">
        <v>274</v>
      </c>
      <c r="Q73" t="s">
        <v>274</v>
      </c>
      <c r="R73" t="s">
        <v>274</v>
      </c>
      <c r="S73" t="s">
        <v>274</v>
      </c>
      <c r="T73" t="s">
        <v>274</v>
      </c>
      <c r="U73" t="s">
        <v>274</v>
      </c>
      <c r="V73" t="s">
        <v>274</v>
      </c>
      <c r="W73" t="s">
        <v>274</v>
      </c>
      <c r="X73" t="s">
        <v>274</v>
      </c>
      <c r="Y73" t="s">
        <v>274</v>
      </c>
      <c r="Z73" t="s">
        <v>274</v>
      </c>
      <c r="AA73" t="s">
        <v>274</v>
      </c>
      <c r="AB73" t="s">
        <v>274</v>
      </c>
      <c r="AC73" t="s">
        <v>274</v>
      </c>
      <c r="AD73" t="s">
        <v>274</v>
      </c>
      <c r="AE73" t="s">
        <v>274</v>
      </c>
      <c r="AF73" t="s">
        <v>274</v>
      </c>
      <c r="AG73" s="14" t="s">
        <v>274</v>
      </c>
      <c r="AH73" t="s">
        <v>274</v>
      </c>
      <c r="AI73" t="s">
        <v>274</v>
      </c>
      <c r="AJ73" t="s">
        <v>274</v>
      </c>
      <c r="AK73" t="s">
        <v>274</v>
      </c>
      <c r="AL73" t="s">
        <v>274</v>
      </c>
      <c r="AM73" t="s">
        <v>274</v>
      </c>
      <c r="AN73" t="s">
        <v>274</v>
      </c>
      <c r="AO73" t="s">
        <v>274</v>
      </c>
      <c r="AP73" t="s">
        <v>274</v>
      </c>
      <c r="AQ73" t="s">
        <v>274</v>
      </c>
      <c r="AR73" t="s">
        <v>274</v>
      </c>
      <c r="AS73" t="s">
        <v>274</v>
      </c>
      <c r="AT73" t="s">
        <v>274</v>
      </c>
      <c r="AU73" t="s">
        <v>274</v>
      </c>
      <c r="AV73" t="s">
        <v>274</v>
      </c>
      <c r="AW73" t="s">
        <v>274</v>
      </c>
      <c r="AX73" t="s">
        <v>274</v>
      </c>
      <c r="AY73" t="s">
        <v>274</v>
      </c>
      <c r="AZ73" t="s">
        <v>274</v>
      </c>
      <c r="BA73" t="s">
        <v>274</v>
      </c>
      <c r="BB73" t="s">
        <v>274</v>
      </c>
      <c r="BC73" t="s">
        <v>274</v>
      </c>
      <c r="BD73" t="s">
        <v>274</v>
      </c>
      <c r="BE73" t="s">
        <v>274</v>
      </c>
      <c r="BF73" t="s">
        <v>274</v>
      </c>
      <c r="BG73" t="s">
        <v>274</v>
      </c>
      <c r="BH73" t="s">
        <v>274</v>
      </c>
      <c r="BI73" t="s">
        <v>274</v>
      </c>
      <c r="BJ73" t="s">
        <v>274</v>
      </c>
      <c r="BK73" t="s">
        <v>274</v>
      </c>
      <c r="BL73" t="s">
        <v>274</v>
      </c>
      <c r="BM73" t="s">
        <v>274</v>
      </c>
      <c r="BN73" t="s">
        <v>274</v>
      </c>
      <c r="BO73" t="s">
        <v>274</v>
      </c>
      <c r="BP73" t="s">
        <v>274</v>
      </c>
      <c r="BQ73" t="s">
        <v>274</v>
      </c>
      <c r="BR73" t="s">
        <v>274</v>
      </c>
    </row>
    <row r="74" spans="1:70" x14ac:dyDescent="0.3">
      <c r="A74" t="s">
        <v>80</v>
      </c>
      <c r="B74" t="s">
        <v>1664</v>
      </c>
      <c r="C74" t="s">
        <v>578</v>
      </c>
      <c r="D74" t="s">
        <v>579</v>
      </c>
      <c r="E74" t="s">
        <v>274</v>
      </c>
      <c r="F74" t="s">
        <v>274</v>
      </c>
      <c r="G74" t="s">
        <v>274</v>
      </c>
      <c r="H74" t="s">
        <v>274</v>
      </c>
      <c r="I74" t="s">
        <v>274</v>
      </c>
      <c r="J74" t="s">
        <v>274</v>
      </c>
      <c r="K74" t="s">
        <v>274</v>
      </c>
      <c r="L74" t="s">
        <v>274</v>
      </c>
      <c r="M74" t="s">
        <v>274</v>
      </c>
      <c r="N74" t="s">
        <v>274</v>
      </c>
      <c r="O74" t="s">
        <v>274</v>
      </c>
      <c r="P74" t="s">
        <v>274</v>
      </c>
      <c r="Q74" t="s">
        <v>274</v>
      </c>
      <c r="R74" t="s">
        <v>274</v>
      </c>
      <c r="S74" t="s">
        <v>274</v>
      </c>
      <c r="T74" t="s">
        <v>274</v>
      </c>
      <c r="U74" t="s">
        <v>1654</v>
      </c>
      <c r="V74" t="s">
        <v>1665</v>
      </c>
      <c r="W74" t="s">
        <v>1666</v>
      </c>
      <c r="X74" t="s">
        <v>868</v>
      </c>
      <c r="Y74" t="s">
        <v>1298</v>
      </c>
      <c r="Z74" t="s">
        <v>616</v>
      </c>
      <c r="AA74" t="s">
        <v>616</v>
      </c>
      <c r="AB74" t="s">
        <v>616</v>
      </c>
      <c r="AC74" t="s">
        <v>616</v>
      </c>
      <c r="AD74" t="s">
        <v>616</v>
      </c>
      <c r="AE74" t="s">
        <v>616</v>
      </c>
      <c r="AF74" t="s">
        <v>1667</v>
      </c>
      <c r="AG74" s="14" t="s">
        <v>1233</v>
      </c>
      <c r="AH74" t="s">
        <v>1668</v>
      </c>
      <c r="AI74" t="s">
        <v>1650</v>
      </c>
      <c r="AJ74" t="s">
        <v>1669</v>
      </c>
      <c r="AK74" t="s">
        <v>1670</v>
      </c>
      <c r="AL74" t="s">
        <v>1671</v>
      </c>
      <c r="AM74" t="s">
        <v>1672</v>
      </c>
      <c r="AN74" t="s">
        <v>1673</v>
      </c>
      <c r="AO74" t="s">
        <v>1674</v>
      </c>
      <c r="AP74" t="s">
        <v>1675</v>
      </c>
      <c r="AQ74" t="s">
        <v>1676</v>
      </c>
      <c r="AR74" t="s">
        <v>1677</v>
      </c>
      <c r="AS74" t="s">
        <v>1678</v>
      </c>
      <c r="AT74" t="s">
        <v>803</v>
      </c>
      <c r="AU74" t="s">
        <v>1675</v>
      </c>
      <c r="AV74" t="s">
        <v>1679</v>
      </c>
      <c r="AW74" t="s">
        <v>1202</v>
      </c>
      <c r="AX74" t="s">
        <v>589</v>
      </c>
      <c r="AY74" t="s">
        <v>591</v>
      </c>
      <c r="AZ74" t="s">
        <v>1680</v>
      </c>
      <c r="BA74" t="s">
        <v>1681</v>
      </c>
      <c r="BB74" t="s">
        <v>1682</v>
      </c>
      <c r="BC74" t="s">
        <v>1683</v>
      </c>
      <c r="BD74" t="s">
        <v>1684</v>
      </c>
      <c r="BE74" t="s">
        <v>868</v>
      </c>
      <c r="BF74" t="s">
        <v>1685</v>
      </c>
      <c r="BG74" t="s">
        <v>1686</v>
      </c>
      <c r="BH74" t="s">
        <v>1687</v>
      </c>
      <c r="BI74" t="s">
        <v>1688</v>
      </c>
      <c r="BJ74" t="s">
        <v>1689</v>
      </c>
      <c r="BK74" t="s">
        <v>1690</v>
      </c>
      <c r="BL74" t="s">
        <v>1691</v>
      </c>
      <c r="BM74" t="s">
        <v>1692</v>
      </c>
      <c r="BN74" t="s">
        <v>1693</v>
      </c>
      <c r="BO74" t="s">
        <v>811</v>
      </c>
      <c r="BP74" t="s">
        <v>1694</v>
      </c>
      <c r="BQ74" t="s">
        <v>1695</v>
      </c>
      <c r="BR74" t="s">
        <v>274</v>
      </c>
    </row>
    <row r="75" spans="1:70" x14ac:dyDescent="0.3">
      <c r="A75" t="s">
        <v>1696</v>
      </c>
      <c r="B75" t="s">
        <v>1697</v>
      </c>
      <c r="C75" t="s">
        <v>578</v>
      </c>
      <c r="D75" t="s">
        <v>579</v>
      </c>
      <c r="E75" t="s">
        <v>274</v>
      </c>
      <c r="F75" t="s">
        <v>274</v>
      </c>
      <c r="G75" t="s">
        <v>274</v>
      </c>
      <c r="H75" t="s">
        <v>274</v>
      </c>
      <c r="I75" t="s">
        <v>274</v>
      </c>
      <c r="J75" t="s">
        <v>274</v>
      </c>
      <c r="K75" t="s">
        <v>274</v>
      </c>
      <c r="L75" t="s">
        <v>274</v>
      </c>
      <c r="M75" t="s">
        <v>274</v>
      </c>
      <c r="N75" t="s">
        <v>274</v>
      </c>
      <c r="O75" t="s">
        <v>274</v>
      </c>
      <c r="P75" t="s">
        <v>274</v>
      </c>
      <c r="Q75" t="s">
        <v>274</v>
      </c>
      <c r="R75" t="s">
        <v>274</v>
      </c>
      <c r="S75" t="s">
        <v>274</v>
      </c>
      <c r="T75" t="s">
        <v>274</v>
      </c>
      <c r="U75" t="s">
        <v>274</v>
      </c>
      <c r="V75" t="s">
        <v>274</v>
      </c>
      <c r="W75" t="s">
        <v>274</v>
      </c>
      <c r="X75" t="s">
        <v>274</v>
      </c>
      <c r="Y75" t="s">
        <v>274</v>
      </c>
      <c r="Z75" t="s">
        <v>274</v>
      </c>
      <c r="AA75" t="s">
        <v>274</v>
      </c>
      <c r="AB75" t="s">
        <v>274</v>
      </c>
      <c r="AC75" t="s">
        <v>274</v>
      </c>
      <c r="AD75" t="s">
        <v>274</v>
      </c>
      <c r="AE75" t="s">
        <v>274</v>
      </c>
      <c r="AF75" t="s">
        <v>274</v>
      </c>
      <c r="AG75" s="14" t="s">
        <v>274</v>
      </c>
      <c r="AH75" t="s">
        <v>274</v>
      </c>
      <c r="AI75" t="s">
        <v>274</v>
      </c>
      <c r="AJ75" t="s">
        <v>274</v>
      </c>
      <c r="AK75" t="s">
        <v>274</v>
      </c>
      <c r="AL75" t="s">
        <v>274</v>
      </c>
      <c r="AM75" t="s">
        <v>274</v>
      </c>
      <c r="AN75" t="s">
        <v>274</v>
      </c>
      <c r="AO75" t="s">
        <v>274</v>
      </c>
      <c r="AP75" t="s">
        <v>274</v>
      </c>
      <c r="AQ75" t="s">
        <v>274</v>
      </c>
      <c r="AR75" t="s">
        <v>274</v>
      </c>
      <c r="AS75" t="s">
        <v>274</v>
      </c>
      <c r="AT75" t="s">
        <v>274</v>
      </c>
      <c r="AU75" t="s">
        <v>274</v>
      </c>
      <c r="AV75" t="s">
        <v>274</v>
      </c>
      <c r="AW75" t="s">
        <v>274</v>
      </c>
      <c r="AX75" t="s">
        <v>274</v>
      </c>
      <c r="AY75" t="s">
        <v>274</v>
      </c>
      <c r="AZ75" t="s">
        <v>274</v>
      </c>
      <c r="BA75" t="s">
        <v>274</v>
      </c>
      <c r="BB75" t="s">
        <v>274</v>
      </c>
      <c r="BC75" t="s">
        <v>274</v>
      </c>
      <c r="BD75" t="s">
        <v>274</v>
      </c>
      <c r="BE75" t="s">
        <v>274</v>
      </c>
      <c r="BF75" t="s">
        <v>274</v>
      </c>
      <c r="BG75" t="s">
        <v>274</v>
      </c>
      <c r="BH75" t="s">
        <v>274</v>
      </c>
      <c r="BI75" t="s">
        <v>274</v>
      </c>
      <c r="BJ75" t="s">
        <v>274</v>
      </c>
      <c r="BK75" t="s">
        <v>274</v>
      </c>
      <c r="BL75" t="s">
        <v>274</v>
      </c>
      <c r="BM75" t="s">
        <v>274</v>
      </c>
      <c r="BN75" t="s">
        <v>274</v>
      </c>
      <c r="BO75" t="s">
        <v>274</v>
      </c>
      <c r="BP75" t="s">
        <v>274</v>
      </c>
      <c r="BQ75" t="s">
        <v>274</v>
      </c>
      <c r="BR75" t="s">
        <v>274</v>
      </c>
    </row>
    <row r="76" spans="1:70" x14ac:dyDescent="0.3">
      <c r="A76" t="s">
        <v>1698</v>
      </c>
      <c r="B76" t="s">
        <v>1699</v>
      </c>
      <c r="C76" t="s">
        <v>578</v>
      </c>
      <c r="D76" t="s">
        <v>579</v>
      </c>
      <c r="E76" t="s">
        <v>274</v>
      </c>
      <c r="F76" t="s">
        <v>274</v>
      </c>
      <c r="G76" t="s">
        <v>274</v>
      </c>
      <c r="H76" t="s">
        <v>274</v>
      </c>
      <c r="I76" t="s">
        <v>274</v>
      </c>
      <c r="J76" t="s">
        <v>274</v>
      </c>
      <c r="K76" t="s">
        <v>274</v>
      </c>
      <c r="L76" t="s">
        <v>274</v>
      </c>
      <c r="M76" t="s">
        <v>274</v>
      </c>
      <c r="N76" t="s">
        <v>274</v>
      </c>
      <c r="O76" t="s">
        <v>274</v>
      </c>
      <c r="P76" t="s">
        <v>274</v>
      </c>
      <c r="Q76" t="s">
        <v>274</v>
      </c>
      <c r="R76" t="s">
        <v>274</v>
      </c>
      <c r="S76" t="s">
        <v>274</v>
      </c>
      <c r="T76" t="s">
        <v>274</v>
      </c>
      <c r="U76" t="s">
        <v>274</v>
      </c>
      <c r="V76" t="s">
        <v>274</v>
      </c>
      <c r="W76" t="s">
        <v>274</v>
      </c>
      <c r="X76" t="s">
        <v>274</v>
      </c>
      <c r="Y76" t="s">
        <v>274</v>
      </c>
      <c r="Z76" t="s">
        <v>274</v>
      </c>
      <c r="AA76" t="s">
        <v>274</v>
      </c>
      <c r="AB76" t="s">
        <v>274</v>
      </c>
      <c r="AC76" t="s">
        <v>274</v>
      </c>
      <c r="AD76" t="s">
        <v>274</v>
      </c>
      <c r="AE76" t="s">
        <v>274</v>
      </c>
      <c r="AF76" t="s">
        <v>274</v>
      </c>
      <c r="AG76" s="14" t="s">
        <v>274</v>
      </c>
      <c r="AH76" t="s">
        <v>274</v>
      </c>
      <c r="AI76" t="s">
        <v>274</v>
      </c>
      <c r="AJ76" t="s">
        <v>274</v>
      </c>
      <c r="AK76" t="s">
        <v>274</v>
      </c>
      <c r="AL76" t="s">
        <v>274</v>
      </c>
      <c r="AM76" t="s">
        <v>274</v>
      </c>
      <c r="AN76" t="s">
        <v>274</v>
      </c>
      <c r="AO76" t="s">
        <v>274</v>
      </c>
      <c r="AP76" t="s">
        <v>274</v>
      </c>
      <c r="AQ76" t="s">
        <v>274</v>
      </c>
      <c r="AR76" t="s">
        <v>274</v>
      </c>
      <c r="AS76" t="s">
        <v>274</v>
      </c>
      <c r="AT76" t="s">
        <v>274</v>
      </c>
      <c r="AU76" t="s">
        <v>274</v>
      </c>
      <c r="AV76" t="s">
        <v>274</v>
      </c>
      <c r="AW76" t="s">
        <v>274</v>
      </c>
      <c r="AX76" t="s">
        <v>274</v>
      </c>
      <c r="AY76" t="s">
        <v>274</v>
      </c>
      <c r="AZ76" t="s">
        <v>274</v>
      </c>
      <c r="BA76" t="s">
        <v>274</v>
      </c>
      <c r="BB76" t="s">
        <v>274</v>
      </c>
      <c r="BC76" t="s">
        <v>274</v>
      </c>
      <c r="BD76" t="s">
        <v>274</v>
      </c>
      <c r="BE76" t="s">
        <v>274</v>
      </c>
      <c r="BF76" t="s">
        <v>274</v>
      </c>
      <c r="BG76" t="s">
        <v>274</v>
      </c>
      <c r="BH76" t="s">
        <v>274</v>
      </c>
      <c r="BI76" t="s">
        <v>274</v>
      </c>
      <c r="BJ76" t="s">
        <v>274</v>
      </c>
      <c r="BK76" t="s">
        <v>274</v>
      </c>
      <c r="BL76" t="s">
        <v>274</v>
      </c>
      <c r="BM76" t="s">
        <v>274</v>
      </c>
      <c r="BN76" t="s">
        <v>274</v>
      </c>
      <c r="BO76" t="s">
        <v>274</v>
      </c>
      <c r="BP76" t="s">
        <v>274</v>
      </c>
      <c r="BQ76" t="s">
        <v>274</v>
      </c>
      <c r="BR76" t="s">
        <v>274</v>
      </c>
    </row>
    <row r="77" spans="1:70" x14ac:dyDescent="0.3">
      <c r="A77" t="s">
        <v>81</v>
      </c>
      <c r="B77" t="s">
        <v>1700</v>
      </c>
      <c r="C77" t="s">
        <v>578</v>
      </c>
      <c r="D77" t="s">
        <v>579</v>
      </c>
      <c r="E77" t="s">
        <v>274</v>
      </c>
      <c r="F77" t="s">
        <v>274</v>
      </c>
      <c r="G77" t="s">
        <v>274</v>
      </c>
      <c r="H77" t="s">
        <v>274</v>
      </c>
      <c r="I77" t="s">
        <v>274</v>
      </c>
      <c r="J77" t="s">
        <v>274</v>
      </c>
      <c r="K77" t="s">
        <v>274</v>
      </c>
      <c r="L77" t="s">
        <v>274</v>
      </c>
      <c r="M77" t="s">
        <v>274</v>
      </c>
      <c r="N77" t="s">
        <v>274</v>
      </c>
      <c r="O77" t="s">
        <v>274</v>
      </c>
      <c r="P77" t="s">
        <v>274</v>
      </c>
      <c r="Q77" t="s">
        <v>274</v>
      </c>
      <c r="R77" t="s">
        <v>274</v>
      </c>
      <c r="S77" t="s">
        <v>274</v>
      </c>
      <c r="T77" t="s">
        <v>274</v>
      </c>
      <c r="U77" t="s">
        <v>274</v>
      </c>
      <c r="V77" t="s">
        <v>274</v>
      </c>
      <c r="W77" t="s">
        <v>274</v>
      </c>
      <c r="X77" t="s">
        <v>274</v>
      </c>
      <c r="Y77" t="s">
        <v>274</v>
      </c>
      <c r="Z77" t="s">
        <v>274</v>
      </c>
      <c r="AA77" t="s">
        <v>274</v>
      </c>
      <c r="AB77" t="s">
        <v>274</v>
      </c>
      <c r="AC77" t="s">
        <v>274</v>
      </c>
      <c r="AD77" t="s">
        <v>274</v>
      </c>
      <c r="AE77" t="s">
        <v>274</v>
      </c>
      <c r="AF77" t="s">
        <v>274</v>
      </c>
      <c r="AG77" s="14" t="s">
        <v>274</v>
      </c>
      <c r="AH77" t="s">
        <v>274</v>
      </c>
      <c r="AI77" t="s">
        <v>274</v>
      </c>
      <c r="AJ77" t="s">
        <v>274</v>
      </c>
      <c r="AK77" t="s">
        <v>274</v>
      </c>
      <c r="AL77" t="s">
        <v>274</v>
      </c>
      <c r="AM77" t="s">
        <v>274</v>
      </c>
      <c r="AN77" t="s">
        <v>274</v>
      </c>
      <c r="AO77" t="s">
        <v>274</v>
      </c>
      <c r="AP77" t="s">
        <v>274</v>
      </c>
      <c r="AQ77" t="s">
        <v>274</v>
      </c>
      <c r="AR77" t="s">
        <v>274</v>
      </c>
      <c r="AS77" t="s">
        <v>274</v>
      </c>
      <c r="AT77" t="s">
        <v>274</v>
      </c>
      <c r="AU77" t="s">
        <v>274</v>
      </c>
      <c r="AV77" t="s">
        <v>274</v>
      </c>
      <c r="AW77" t="s">
        <v>274</v>
      </c>
      <c r="AX77" t="s">
        <v>274</v>
      </c>
      <c r="AY77" t="s">
        <v>274</v>
      </c>
      <c r="AZ77" t="s">
        <v>274</v>
      </c>
      <c r="BA77" t="s">
        <v>274</v>
      </c>
      <c r="BB77" t="s">
        <v>274</v>
      </c>
      <c r="BC77" t="s">
        <v>274</v>
      </c>
      <c r="BD77" t="s">
        <v>274</v>
      </c>
      <c r="BE77" t="s">
        <v>274</v>
      </c>
      <c r="BF77" t="s">
        <v>274</v>
      </c>
      <c r="BG77" t="s">
        <v>274</v>
      </c>
      <c r="BH77" t="s">
        <v>274</v>
      </c>
      <c r="BI77" t="s">
        <v>274</v>
      </c>
      <c r="BJ77" t="s">
        <v>274</v>
      </c>
      <c r="BK77" t="s">
        <v>274</v>
      </c>
      <c r="BL77" t="s">
        <v>274</v>
      </c>
      <c r="BM77" t="s">
        <v>274</v>
      </c>
      <c r="BN77" t="s">
        <v>274</v>
      </c>
      <c r="BO77" t="s">
        <v>274</v>
      </c>
      <c r="BP77" t="s">
        <v>274</v>
      </c>
      <c r="BQ77" t="s">
        <v>274</v>
      </c>
      <c r="BR77" t="s">
        <v>274</v>
      </c>
    </row>
    <row r="78" spans="1:70" x14ac:dyDescent="0.3">
      <c r="A78" t="s">
        <v>206</v>
      </c>
      <c r="B78" t="s">
        <v>1701</v>
      </c>
      <c r="C78" t="s">
        <v>578</v>
      </c>
      <c r="D78" t="s">
        <v>579</v>
      </c>
      <c r="E78" t="s">
        <v>274</v>
      </c>
      <c r="F78" t="s">
        <v>274</v>
      </c>
      <c r="G78" t="s">
        <v>274</v>
      </c>
      <c r="H78" t="s">
        <v>274</v>
      </c>
      <c r="I78" t="s">
        <v>274</v>
      </c>
      <c r="J78" t="s">
        <v>274</v>
      </c>
      <c r="K78" t="s">
        <v>274</v>
      </c>
      <c r="L78" t="s">
        <v>274</v>
      </c>
      <c r="M78" t="s">
        <v>274</v>
      </c>
      <c r="N78" t="s">
        <v>274</v>
      </c>
      <c r="O78" t="s">
        <v>274</v>
      </c>
      <c r="P78" t="s">
        <v>274</v>
      </c>
      <c r="Q78" t="s">
        <v>274</v>
      </c>
      <c r="R78" t="s">
        <v>274</v>
      </c>
      <c r="S78" t="s">
        <v>274</v>
      </c>
      <c r="T78" t="s">
        <v>274</v>
      </c>
      <c r="U78" t="s">
        <v>274</v>
      </c>
      <c r="V78" t="s">
        <v>274</v>
      </c>
      <c r="W78" t="s">
        <v>274</v>
      </c>
      <c r="X78" t="s">
        <v>274</v>
      </c>
      <c r="Y78" t="s">
        <v>274</v>
      </c>
      <c r="Z78" t="s">
        <v>274</v>
      </c>
      <c r="AA78" t="s">
        <v>274</v>
      </c>
      <c r="AB78" t="s">
        <v>274</v>
      </c>
      <c r="AC78" t="s">
        <v>274</v>
      </c>
      <c r="AD78" t="s">
        <v>274</v>
      </c>
      <c r="AE78" t="s">
        <v>274</v>
      </c>
      <c r="AF78" t="s">
        <v>274</v>
      </c>
      <c r="AG78" s="14" t="s">
        <v>274</v>
      </c>
      <c r="AH78" t="s">
        <v>274</v>
      </c>
      <c r="AI78" t="s">
        <v>274</v>
      </c>
      <c r="AJ78" t="s">
        <v>274</v>
      </c>
      <c r="AK78" t="s">
        <v>274</v>
      </c>
      <c r="AL78" t="s">
        <v>274</v>
      </c>
      <c r="AM78" t="s">
        <v>274</v>
      </c>
      <c r="AN78" t="s">
        <v>274</v>
      </c>
      <c r="AO78" t="s">
        <v>274</v>
      </c>
      <c r="AP78" t="s">
        <v>274</v>
      </c>
      <c r="AQ78" t="s">
        <v>274</v>
      </c>
      <c r="AR78" t="s">
        <v>274</v>
      </c>
      <c r="AS78" t="s">
        <v>274</v>
      </c>
      <c r="AT78" t="s">
        <v>274</v>
      </c>
      <c r="AU78" t="s">
        <v>274</v>
      </c>
      <c r="AV78" t="s">
        <v>274</v>
      </c>
      <c r="AW78" t="s">
        <v>274</v>
      </c>
      <c r="AX78" t="s">
        <v>274</v>
      </c>
      <c r="AY78" t="s">
        <v>274</v>
      </c>
      <c r="AZ78" t="s">
        <v>274</v>
      </c>
      <c r="BA78" t="s">
        <v>274</v>
      </c>
      <c r="BB78" t="s">
        <v>274</v>
      </c>
      <c r="BC78" t="s">
        <v>274</v>
      </c>
      <c r="BD78" t="s">
        <v>274</v>
      </c>
      <c r="BE78" t="s">
        <v>274</v>
      </c>
      <c r="BF78" t="s">
        <v>274</v>
      </c>
      <c r="BG78" t="s">
        <v>274</v>
      </c>
      <c r="BH78" t="s">
        <v>274</v>
      </c>
      <c r="BI78" t="s">
        <v>274</v>
      </c>
      <c r="BJ78" t="s">
        <v>274</v>
      </c>
      <c r="BK78" t="s">
        <v>274</v>
      </c>
      <c r="BL78" t="s">
        <v>274</v>
      </c>
      <c r="BM78" t="s">
        <v>274</v>
      </c>
      <c r="BN78" t="s">
        <v>274</v>
      </c>
      <c r="BO78" t="s">
        <v>274</v>
      </c>
      <c r="BP78" t="s">
        <v>274</v>
      </c>
      <c r="BQ78" t="s">
        <v>274</v>
      </c>
      <c r="BR78" t="s">
        <v>274</v>
      </c>
    </row>
    <row r="79" spans="1:70" x14ac:dyDescent="0.3">
      <c r="A79" t="s">
        <v>1702</v>
      </c>
      <c r="B79" t="s">
        <v>1703</v>
      </c>
      <c r="C79" t="s">
        <v>578</v>
      </c>
      <c r="D79" t="s">
        <v>579</v>
      </c>
      <c r="E79" t="s">
        <v>274</v>
      </c>
      <c r="F79" t="s">
        <v>274</v>
      </c>
      <c r="G79" t="s">
        <v>274</v>
      </c>
      <c r="H79" t="s">
        <v>274</v>
      </c>
      <c r="I79" t="s">
        <v>274</v>
      </c>
      <c r="J79" t="s">
        <v>274</v>
      </c>
      <c r="K79" t="s">
        <v>274</v>
      </c>
      <c r="L79" t="s">
        <v>274</v>
      </c>
      <c r="M79" t="s">
        <v>274</v>
      </c>
      <c r="N79" t="s">
        <v>274</v>
      </c>
      <c r="O79" t="s">
        <v>274</v>
      </c>
      <c r="P79" t="s">
        <v>274</v>
      </c>
      <c r="Q79" t="s">
        <v>274</v>
      </c>
      <c r="R79" t="s">
        <v>274</v>
      </c>
      <c r="S79" t="s">
        <v>274</v>
      </c>
      <c r="T79" t="s">
        <v>274</v>
      </c>
      <c r="U79" t="s">
        <v>274</v>
      </c>
      <c r="V79" t="s">
        <v>274</v>
      </c>
      <c r="W79" t="s">
        <v>274</v>
      </c>
      <c r="X79" t="s">
        <v>274</v>
      </c>
      <c r="Y79" t="s">
        <v>274</v>
      </c>
      <c r="Z79" t="s">
        <v>274</v>
      </c>
      <c r="AA79" t="s">
        <v>274</v>
      </c>
      <c r="AB79" t="s">
        <v>274</v>
      </c>
      <c r="AC79" t="s">
        <v>274</v>
      </c>
      <c r="AD79" t="s">
        <v>599</v>
      </c>
      <c r="AE79" t="s">
        <v>793</v>
      </c>
      <c r="AF79" t="s">
        <v>604</v>
      </c>
      <c r="AG79" s="14" t="s">
        <v>604</v>
      </c>
      <c r="AH79" t="s">
        <v>604</v>
      </c>
      <c r="AI79" t="s">
        <v>604</v>
      </c>
      <c r="AJ79" t="s">
        <v>604</v>
      </c>
      <c r="AK79" t="s">
        <v>1654</v>
      </c>
      <c r="AL79" t="s">
        <v>1240</v>
      </c>
      <c r="AM79" t="s">
        <v>1114</v>
      </c>
      <c r="AN79" t="s">
        <v>806</v>
      </c>
      <c r="AO79" t="s">
        <v>1243</v>
      </c>
      <c r="AP79" t="s">
        <v>596</v>
      </c>
      <c r="AQ79" t="s">
        <v>596</v>
      </c>
      <c r="AR79" t="s">
        <v>1704</v>
      </c>
      <c r="AS79" t="s">
        <v>1705</v>
      </c>
      <c r="AT79" t="s">
        <v>1706</v>
      </c>
      <c r="AU79" t="s">
        <v>1707</v>
      </c>
      <c r="AV79" t="s">
        <v>601</v>
      </c>
      <c r="AW79" t="s">
        <v>601</v>
      </c>
      <c r="AX79" t="s">
        <v>601</v>
      </c>
      <c r="AY79" t="s">
        <v>601</v>
      </c>
      <c r="AZ79" t="s">
        <v>995</v>
      </c>
      <c r="BA79" t="s">
        <v>1654</v>
      </c>
      <c r="BB79" t="s">
        <v>274</v>
      </c>
      <c r="BC79" t="s">
        <v>274</v>
      </c>
      <c r="BD79" t="s">
        <v>274</v>
      </c>
      <c r="BE79" t="s">
        <v>274</v>
      </c>
      <c r="BF79" t="s">
        <v>274</v>
      </c>
      <c r="BG79" t="s">
        <v>274</v>
      </c>
      <c r="BH79" t="s">
        <v>274</v>
      </c>
      <c r="BI79" t="s">
        <v>274</v>
      </c>
      <c r="BJ79" t="s">
        <v>274</v>
      </c>
      <c r="BK79" t="s">
        <v>274</v>
      </c>
      <c r="BL79" t="s">
        <v>274</v>
      </c>
      <c r="BM79" t="s">
        <v>274</v>
      </c>
      <c r="BN79" t="s">
        <v>274</v>
      </c>
      <c r="BO79" t="s">
        <v>274</v>
      </c>
      <c r="BP79" t="s">
        <v>274</v>
      </c>
      <c r="BQ79" t="s">
        <v>274</v>
      </c>
      <c r="BR79" t="s">
        <v>274</v>
      </c>
    </row>
    <row r="80" spans="1:70" x14ac:dyDescent="0.3">
      <c r="A80" t="s">
        <v>1708</v>
      </c>
      <c r="B80" t="s">
        <v>1709</v>
      </c>
      <c r="C80" t="s">
        <v>578</v>
      </c>
      <c r="D80" t="s">
        <v>579</v>
      </c>
      <c r="E80" t="s">
        <v>274</v>
      </c>
      <c r="F80" t="s">
        <v>274</v>
      </c>
      <c r="G80" t="s">
        <v>274</v>
      </c>
      <c r="H80" t="s">
        <v>274</v>
      </c>
      <c r="I80" t="s">
        <v>274</v>
      </c>
      <c r="J80" t="s">
        <v>274</v>
      </c>
      <c r="K80" t="s">
        <v>274</v>
      </c>
      <c r="L80" t="s">
        <v>274</v>
      </c>
      <c r="M80" t="s">
        <v>274</v>
      </c>
      <c r="N80" t="s">
        <v>274</v>
      </c>
      <c r="O80" t="s">
        <v>274</v>
      </c>
      <c r="P80" t="s">
        <v>274</v>
      </c>
      <c r="Q80" t="s">
        <v>274</v>
      </c>
      <c r="R80" t="s">
        <v>274</v>
      </c>
      <c r="S80" t="s">
        <v>274</v>
      </c>
      <c r="T80" t="s">
        <v>274</v>
      </c>
      <c r="U80" t="s">
        <v>274</v>
      </c>
      <c r="V80" t="s">
        <v>274</v>
      </c>
      <c r="W80" t="s">
        <v>274</v>
      </c>
      <c r="X80" t="s">
        <v>274</v>
      </c>
      <c r="Y80" t="s">
        <v>274</v>
      </c>
      <c r="Z80" t="s">
        <v>274</v>
      </c>
      <c r="AA80" t="s">
        <v>274</v>
      </c>
      <c r="AB80" t="s">
        <v>274</v>
      </c>
      <c r="AC80" t="s">
        <v>274</v>
      </c>
      <c r="AD80" t="s">
        <v>274</v>
      </c>
      <c r="AE80" t="s">
        <v>274</v>
      </c>
      <c r="AF80" t="s">
        <v>274</v>
      </c>
      <c r="AG80" s="14" t="s">
        <v>274</v>
      </c>
      <c r="AH80" t="s">
        <v>274</v>
      </c>
      <c r="AI80" t="s">
        <v>274</v>
      </c>
      <c r="AJ80" t="s">
        <v>274</v>
      </c>
      <c r="AK80" t="s">
        <v>274</v>
      </c>
      <c r="AL80" t="s">
        <v>274</v>
      </c>
      <c r="AM80" t="s">
        <v>274</v>
      </c>
      <c r="AN80" t="s">
        <v>274</v>
      </c>
      <c r="AO80" t="s">
        <v>274</v>
      </c>
      <c r="AP80" t="s">
        <v>274</v>
      </c>
      <c r="AQ80" t="s">
        <v>274</v>
      </c>
      <c r="AR80" t="s">
        <v>274</v>
      </c>
      <c r="AS80" t="s">
        <v>274</v>
      </c>
      <c r="AT80" t="s">
        <v>274</v>
      </c>
      <c r="AU80" t="s">
        <v>274</v>
      </c>
      <c r="AV80" t="s">
        <v>274</v>
      </c>
      <c r="AW80" t="s">
        <v>274</v>
      </c>
      <c r="AX80" t="s">
        <v>274</v>
      </c>
      <c r="AY80" t="s">
        <v>274</v>
      </c>
      <c r="AZ80" t="s">
        <v>274</v>
      </c>
      <c r="BA80" t="s">
        <v>274</v>
      </c>
      <c r="BB80" t="s">
        <v>274</v>
      </c>
      <c r="BC80" t="s">
        <v>274</v>
      </c>
      <c r="BD80" t="s">
        <v>274</v>
      </c>
      <c r="BE80" t="s">
        <v>274</v>
      </c>
      <c r="BF80" t="s">
        <v>274</v>
      </c>
      <c r="BG80" t="s">
        <v>274</v>
      </c>
      <c r="BH80" t="s">
        <v>274</v>
      </c>
      <c r="BI80" t="s">
        <v>274</v>
      </c>
      <c r="BJ80" t="s">
        <v>274</v>
      </c>
      <c r="BK80" t="s">
        <v>274</v>
      </c>
      <c r="BL80" t="s">
        <v>274</v>
      </c>
      <c r="BM80" t="s">
        <v>274</v>
      </c>
      <c r="BN80" t="s">
        <v>274</v>
      </c>
      <c r="BO80" t="s">
        <v>274</v>
      </c>
      <c r="BP80" t="s">
        <v>274</v>
      </c>
      <c r="BQ80" t="s">
        <v>274</v>
      </c>
      <c r="BR80" t="s">
        <v>274</v>
      </c>
    </row>
    <row r="81" spans="1:70" x14ac:dyDescent="0.3">
      <c r="A81" t="s">
        <v>1710</v>
      </c>
      <c r="B81" t="s">
        <v>1711</v>
      </c>
      <c r="C81" t="s">
        <v>578</v>
      </c>
      <c r="D81" t="s">
        <v>579</v>
      </c>
      <c r="E81" t="s">
        <v>274</v>
      </c>
      <c r="F81" t="s">
        <v>274</v>
      </c>
      <c r="G81" t="s">
        <v>274</v>
      </c>
      <c r="H81" t="s">
        <v>274</v>
      </c>
      <c r="I81" t="s">
        <v>274</v>
      </c>
      <c r="J81" t="s">
        <v>274</v>
      </c>
      <c r="K81" t="s">
        <v>274</v>
      </c>
      <c r="L81" t="s">
        <v>274</v>
      </c>
      <c r="M81" t="s">
        <v>274</v>
      </c>
      <c r="N81" t="s">
        <v>274</v>
      </c>
      <c r="O81" t="s">
        <v>274</v>
      </c>
      <c r="P81" t="s">
        <v>274</v>
      </c>
      <c r="Q81" t="s">
        <v>274</v>
      </c>
      <c r="R81" t="s">
        <v>274</v>
      </c>
      <c r="S81" t="s">
        <v>274</v>
      </c>
      <c r="T81" t="s">
        <v>274</v>
      </c>
      <c r="U81" t="s">
        <v>274</v>
      </c>
      <c r="V81" t="s">
        <v>274</v>
      </c>
      <c r="W81" t="s">
        <v>274</v>
      </c>
      <c r="X81" t="s">
        <v>274</v>
      </c>
      <c r="Y81" t="s">
        <v>274</v>
      </c>
      <c r="Z81" t="s">
        <v>274</v>
      </c>
      <c r="AA81" t="s">
        <v>274</v>
      </c>
      <c r="AB81" t="s">
        <v>274</v>
      </c>
      <c r="AC81" t="s">
        <v>274</v>
      </c>
      <c r="AD81" t="s">
        <v>274</v>
      </c>
      <c r="AE81" t="s">
        <v>274</v>
      </c>
      <c r="AF81" t="s">
        <v>274</v>
      </c>
      <c r="AG81" s="14" t="s">
        <v>274</v>
      </c>
      <c r="AH81" t="s">
        <v>274</v>
      </c>
      <c r="AI81" t="s">
        <v>274</v>
      </c>
      <c r="AJ81" t="s">
        <v>274</v>
      </c>
      <c r="AK81" t="s">
        <v>274</v>
      </c>
      <c r="AL81" t="s">
        <v>274</v>
      </c>
      <c r="AM81" t="s">
        <v>274</v>
      </c>
      <c r="AN81" t="s">
        <v>274</v>
      </c>
      <c r="AO81" t="s">
        <v>274</v>
      </c>
      <c r="AP81" t="s">
        <v>274</v>
      </c>
      <c r="AQ81" t="s">
        <v>274</v>
      </c>
      <c r="AR81" t="s">
        <v>274</v>
      </c>
      <c r="AS81" t="s">
        <v>274</v>
      </c>
      <c r="AT81" t="s">
        <v>274</v>
      </c>
      <c r="AU81" t="s">
        <v>274</v>
      </c>
      <c r="AV81" t="s">
        <v>274</v>
      </c>
      <c r="AW81" t="s">
        <v>274</v>
      </c>
      <c r="AX81" t="s">
        <v>274</v>
      </c>
      <c r="AY81" t="s">
        <v>274</v>
      </c>
      <c r="AZ81" t="s">
        <v>274</v>
      </c>
      <c r="BA81" t="s">
        <v>274</v>
      </c>
      <c r="BB81" t="s">
        <v>274</v>
      </c>
      <c r="BC81" t="s">
        <v>274</v>
      </c>
      <c r="BD81" t="s">
        <v>274</v>
      </c>
      <c r="BE81" t="s">
        <v>274</v>
      </c>
      <c r="BF81" t="s">
        <v>274</v>
      </c>
      <c r="BG81" t="s">
        <v>274</v>
      </c>
      <c r="BH81" t="s">
        <v>274</v>
      </c>
      <c r="BI81" t="s">
        <v>274</v>
      </c>
      <c r="BJ81" t="s">
        <v>274</v>
      </c>
      <c r="BK81" t="s">
        <v>274</v>
      </c>
      <c r="BL81" t="s">
        <v>274</v>
      </c>
      <c r="BM81" t="s">
        <v>274</v>
      </c>
      <c r="BN81" t="s">
        <v>274</v>
      </c>
      <c r="BO81" t="s">
        <v>274</v>
      </c>
      <c r="BP81" t="s">
        <v>274</v>
      </c>
      <c r="BQ81" t="s">
        <v>274</v>
      </c>
      <c r="BR81" t="s">
        <v>274</v>
      </c>
    </row>
    <row r="82" spans="1:70" x14ac:dyDescent="0.3">
      <c r="A82" t="s">
        <v>82</v>
      </c>
      <c r="B82" t="s">
        <v>1712</v>
      </c>
      <c r="C82" t="s">
        <v>578</v>
      </c>
      <c r="D82" t="s">
        <v>579</v>
      </c>
      <c r="E82" t="s">
        <v>274</v>
      </c>
      <c r="F82" t="s">
        <v>274</v>
      </c>
      <c r="G82" t="s">
        <v>274</v>
      </c>
      <c r="H82" t="s">
        <v>274</v>
      </c>
      <c r="I82" t="s">
        <v>274</v>
      </c>
      <c r="J82" t="s">
        <v>274</v>
      </c>
      <c r="K82" t="s">
        <v>274</v>
      </c>
      <c r="L82" t="s">
        <v>274</v>
      </c>
      <c r="M82" t="s">
        <v>274</v>
      </c>
      <c r="N82" t="s">
        <v>274</v>
      </c>
      <c r="O82" t="s">
        <v>274</v>
      </c>
      <c r="P82" t="s">
        <v>274</v>
      </c>
      <c r="Q82" t="s">
        <v>274</v>
      </c>
      <c r="R82" t="s">
        <v>274</v>
      </c>
      <c r="S82" t="s">
        <v>274</v>
      </c>
      <c r="T82" t="s">
        <v>274</v>
      </c>
      <c r="U82" t="s">
        <v>274</v>
      </c>
      <c r="V82" t="s">
        <v>274</v>
      </c>
      <c r="W82" t="s">
        <v>274</v>
      </c>
      <c r="X82" t="s">
        <v>274</v>
      </c>
      <c r="Y82" t="s">
        <v>274</v>
      </c>
      <c r="Z82" t="s">
        <v>274</v>
      </c>
      <c r="AA82" t="s">
        <v>274</v>
      </c>
      <c r="AB82" t="s">
        <v>274</v>
      </c>
      <c r="AC82" t="s">
        <v>274</v>
      </c>
      <c r="AD82" t="s">
        <v>274</v>
      </c>
      <c r="AE82" t="s">
        <v>274</v>
      </c>
      <c r="AF82" t="s">
        <v>274</v>
      </c>
      <c r="AG82" s="14" t="s">
        <v>274</v>
      </c>
      <c r="AH82" t="s">
        <v>274</v>
      </c>
      <c r="AI82" t="s">
        <v>274</v>
      </c>
      <c r="AJ82" t="s">
        <v>274</v>
      </c>
      <c r="AK82" t="s">
        <v>274</v>
      </c>
      <c r="AL82" t="s">
        <v>274</v>
      </c>
      <c r="AM82" t="s">
        <v>274</v>
      </c>
      <c r="AN82" t="s">
        <v>274</v>
      </c>
      <c r="AO82" t="s">
        <v>274</v>
      </c>
      <c r="AP82" t="s">
        <v>274</v>
      </c>
      <c r="AQ82" t="s">
        <v>274</v>
      </c>
      <c r="AR82" t="s">
        <v>274</v>
      </c>
      <c r="AS82" t="s">
        <v>274</v>
      </c>
      <c r="AT82" t="s">
        <v>274</v>
      </c>
      <c r="AU82" t="s">
        <v>274</v>
      </c>
      <c r="AV82" t="s">
        <v>274</v>
      </c>
      <c r="AW82" t="s">
        <v>274</v>
      </c>
      <c r="AX82" t="s">
        <v>274</v>
      </c>
      <c r="AY82" t="s">
        <v>274</v>
      </c>
      <c r="AZ82" t="s">
        <v>274</v>
      </c>
      <c r="BA82" t="s">
        <v>274</v>
      </c>
      <c r="BB82" t="s">
        <v>274</v>
      </c>
      <c r="BC82" t="s">
        <v>274</v>
      </c>
      <c r="BD82" t="s">
        <v>274</v>
      </c>
      <c r="BE82" t="s">
        <v>274</v>
      </c>
      <c r="BF82" t="s">
        <v>274</v>
      </c>
      <c r="BG82" t="s">
        <v>274</v>
      </c>
      <c r="BH82" t="s">
        <v>274</v>
      </c>
      <c r="BI82" t="s">
        <v>274</v>
      </c>
      <c r="BJ82" t="s">
        <v>274</v>
      </c>
      <c r="BK82" t="s">
        <v>274</v>
      </c>
      <c r="BL82" t="s">
        <v>274</v>
      </c>
      <c r="BM82" t="s">
        <v>274</v>
      </c>
      <c r="BN82" t="s">
        <v>274</v>
      </c>
      <c r="BO82" t="s">
        <v>274</v>
      </c>
      <c r="BP82" t="s">
        <v>274</v>
      </c>
      <c r="BQ82" t="s">
        <v>274</v>
      </c>
      <c r="BR82" t="s">
        <v>274</v>
      </c>
    </row>
    <row r="83" spans="1:70" x14ac:dyDescent="0.3">
      <c r="A83" t="s">
        <v>208</v>
      </c>
      <c r="B83" t="s">
        <v>1713</v>
      </c>
      <c r="C83" t="s">
        <v>578</v>
      </c>
      <c r="D83" t="s">
        <v>579</v>
      </c>
      <c r="E83" t="s">
        <v>274</v>
      </c>
      <c r="F83" t="s">
        <v>274</v>
      </c>
      <c r="G83" t="s">
        <v>274</v>
      </c>
      <c r="H83" t="s">
        <v>274</v>
      </c>
      <c r="I83" t="s">
        <v>274</v>
      </c>
      <c r="J83" t="s">
        <v>274</v>
      </c>
      <c r="K83" t="s">
        <v>274</v>
      </c>
      <c r="L83" t="s">
        <v>274</v>
      </c>
      <c r="M83" t="s">
        <v>274</v>
      </c>
      <c r="N83" t="s">
        <v>274</v>
      </c>
      <c r="O83" t="s">
        <v>274</v>
      </c>
      <c r="P83" t="s">
        <v>274</v>
      </c>
      <c r="Q83" t="s">
        <v>274</v>
      </c>
      <c r="R83" t="s">
        <v>274</v>
      </c>
      <c r="S83" t="s">
        <v>274</v>
      </c>
      <c r="T83" t="s">
        <v>274</v>
      </c>
      <c r="U83" t="s">
        <v>274</v>
      </c>
      <c r="V83" t="s">
        <v>274</v>
      </c>
      <c r="W83" t="s">
        <v>274</v>
      </c>
      <c r="X83" t="s">
        <v>274</v>
      </c>
      <c r="Y83" t="s">
        <v>274</v>
      </c>
      <c r="Z83" t="s">
        <v>274</v>
      </c>
      <c r="AA83" t="s">
        <v>274</v>
      </c>
      <c r="AB83" t="s">
        <v>274</v>
      </c>
      <c r="AC83" t="s">
        <v>274</v>
      </c>
      <c r="AD83" t="s">
        <v>274</v>
      </c>
      <c r="AE83" t="s">
        <v>274</v>
      </c>
      <c r="AF83" t="s">
        <v>274</v>
      </c>
      <c r="AG83" s="14" t="s">
        <v>274</v>
      </c>
      <c r="AH83" t="s">
        <v>274</v>
      </c>
      <c r="AI83" t="s">
        <v>274</v>
      </c>
      <c r="AJ83" t="s">
        <v>274</v>
      </c>
      <c r="AK83" t="s">
        <v>1714</v>
      </c>
      <c r="AL83" t="s">
        <v>1715</v>
      </c>
      <c r="AM83" t="s">
        <v>1716</v>
      </c>
      <c r="AN83" t="s">
        <v>1717</v>
      </c>
      <c r="AO83" t="s">
        <v>1718</v>
      </c>
      <c r="AP83" t="s">
        <v>1719</v>
      </c>
      <c r="AQ83" t="s">
        <v>1720</v>
      </c>
      <c r="AR83" t="s">
        <v>1721</v>
      </c>
      <c r="AS83" t="s">
        <v>1722</v>
      </c>
      <c r="AT83" t="s">
        <v>1723</v>
      </c>
      <c r="AU83" t="s">
        <v>1724</v>
      </c>
      <c r="AV83" t="s">
        <v>1725</v>
      </c>
      <c r="AW83" t="s">
        <v>1726</v>
      </c>
      <c r="AX83" t="s">
        <v>1727</v>
      </c>
      <c r="AY83" t="s">
        <v>1728</v>
      </c>
      <c r="AZ83" t="s">
        <v>1729</v>
      </c>
      <c r="BA83" t="s">
        <v>1730</v>
      </c>
      <c r="BB83" t="s">
        <v>1731</v>
      </c>
      <c r="BC83" t="s">
        <v>1732</v>
      </c>
      <c r="BD83" t="s">
        <v>1733</v>
      </c>
      <c r="BE83" t="s">
        <v>1734</v>
      </c>
      <c r="BF83" t="s">
        <v>1735</v>
      </c>
      <c r="BG83" t="s">
        <v>1736</v>
      </c>
      <c r="BH83" t="s">
        <v>1737</v>
      </c>
      <c r="BI83" t="s">
        <v>1738</v>
      </c>
      <c r="BJ83" t="s">
        <v>1739</v>
      </c>
      <c r="BK83" t="s">
        <v>1740</v>
      </c>
      <c r="BL83" t="s">
        <v>1741</v>
      </c>
      <c r="BM83" t="s">
        <v>1742</v>
      </c>
      <c r="BN83" t="s">
        <v>1743</v>
      </c>
      <c r="BO83" t="s">
        <v>1744</v>
      </c>
      <c r="BP83" t="s">
        <v>1745</v>
      </c>
      <c r="BQ83" t="s">
        <v>1746</v>
      </c>
      <c r="BR83" t="s">
        <v>274</v>
      </c>
    </row>
    <row r="84" spans="1:70" x14ac:dyDescent="0.3">
      <c r="A84" t="s">
        <v>84</v>
      </c>
      <c r="B84" t="s">
        <v>1747</v>
      </c>
      <c r="C84" t="s">
        <v>578</v>
      </c>
      <c r="D84" t="s">
        <v>579</v>
      </c>
      <c r="E84" t="s">
        <v>274</v>
      </c>
      <c r="F84" t="s">
        <v>274</v>
      </c>
      <c r="G84" t="s">
        <v>274</v>
      </c>
      <c r="H84" t="s">
        <v>274</v>
      </c>
      <c r="I84" t="s">
        <v>274</v>
      </c>
      <c r="J84" t="s">
        <v>274</v>
      </c>
      <c r="K84" t="s">
        <v>274</v>
      </c>
      <c r="L84" t="s">
        <v>274</v>
      </c>
      <c r="M84" t="s">
        <v>274</v>
      </c>
      <c r="N84" t="s">
        <v>274</v>
      </c>
      <c r="O84" t="s">
        <v>274</v>
      </c>
      <c r="P84" t="s">
        <v>274</v>
      </c>
      <c r="Q84" t="s">
        <v>274</v>
      </c>
      <c r="R84" t="s">
        <v>274</v>
      </c>
      <c r="S84" t="s">
        <v>274</v>
      </c>
      <c r="T84" t="s">
        <v>274</v>
      </c>
      <c r="U84" t="s">
        <v>274</v>
      </c>
      <c r="V84" t="s">
        <v>274</v>
      </c>
      <c r="W84" t="s">
        <v>274</v>
      </c>
      <c r="X84" t="s">
        <v>274</v>
      </c>
      <c r="Y84" t="s">
        <v>274</v>
      </c>
      <c r="Z84" t="s">
        <v>274</v>
      </c>
      <c r="AA84" t="s">
        <v>274</v>
      </c>
      <c r="AB84" t="s">
        <v>274</v>
      </c>
      <c r="AC84" t="s">
        <v>274</v>
      </c>
      <c r="AD84" t="s">
        <v>274</v>
      </c>
      <c r="AE84" t="s">
        <v>274</v>
      </c>
      <c r="AF84" t="s">
        <v>274</v>
      </c>
      <c r="AG84" s="14" t="s">
        <v>274</v>
      </c>
      <c r="AH84" t="s">
        <v>274</v>
      </c>
      <c r="AI84" t="s">
        <v>274</v>
      </c>
      <c r="AJ84" t="s">
        <v>274</v>
      </c>
      <c r="AK84" t="s">
        <v>274</v>
      </c>
      <c r="AL84" t="s">
        <v>274</v>
      </c>
      <c r="AM84" t="s">
        <v>274</v>
      </c>
      <c r="AN84" t="s">
        <v>274</v>
      </c>
      <c r="AO84" t="s">
        <v>274</v>
      </c>
      <c r="AP84" t="s">
        <v>274</v>
      </c>
      <c r="AQ84" t="s">
        <v>274</v>
      </c>
      <c r="AR84" t="s">
        <v>274</v>
      </c>
      <c r="AS84" t="s">
        <v>274</v>
      </c>
      <c r="AT84" t="s">
        <v>274</v>
      </c>
      <c r="AU84" t="s">
        <v>274</v>
      </c>
      <c r="AV84" t="s">
        <v>274</v>
      </c>
      <c r="AW84" t="s">
        <v>274</v>
      </c>
      <c r="AX84" t="s">
        <v>274</v>
      </c>
      <c r="AY84" t="s">
        <v>274</v>
      </c>
      <c r="AZ84" t="s">
        <v>274</v>
      </c>
      <c r="BA84" t="s">
        <v>274</v>
      </c>
      <c r="BB84" t="s">
        <v>274</v>
      </c>
      <c r="BC84" t="s">
        <v>274</v>
      </c>
      <c r="BD84" t="s">
        <v>274</v>
      </c>
      <c r="BE84" t="s">
        <v>274</v>
      </c>
      <c r="BF84" t="s">
        <v>274</v>
      </c>
      <c r="BG84" t="s">
        <v>274</v>
      </c>
      <c r="BH84" t="s">
        <v>274</v>
      </c>
      <c r="BI84" t="s">
        <v>274</v>
      </c>
      <c r="BJ84" t="s">
        <v>274</v>
      </c>
      <c r="BK84" t="s">
        <v>274</v>
      </c>
      <c r="BL84" t="s">
        <v>274</v>
      </c>
      <c r="BM84" t="s">
        <v>274</v>
      </c>
      <c r="BN84" t="s">
        <v>274</v>
      </c>
      <c r="BO84" t="s">
        <v>274</v>
      </c>
      <c r="BP84" t="s">
        <v>274</v>
      </c>
      <c r="BQ84" t="s">
        <v>274</v>
      </c>
      <c r="BR84" t="s">
        <v>274</v>
      </c>
    </row>
    <row r="85" spans="1:70" x14ac:dyDescent="0.3">
      <c r="A85" t="s">
        <v>1748</v>
      </c>
      <c r="B85" t="s">
        <v>1749</v>
      </c>
      <c r="C85" t="s">
        <v>578</v>
      </c>
      <c r="D85" t="s">
        <v>579</v>
      </c>
      <c r="E85" t="s">
        <v>274</v>
      </c>
      <c r="F85" t="s">
        <v>274</v>
      </c>
      <c r="G85" t="s">
        <v>274</v>
      </c>
      <c r="H85" t="s">
        <v>274</v>
      </c>
      <c r="I85" t="s">
        <v>274</v>
      </c>
      <c r="J85" t="s">
        <v>274</v>
      </c>
      <c r="K85" t="s">
        <v>274</v>
      </c>
      <c r="L85" t="s">
        <v>274</v>
      </c>
      <c r="M85" t="s">
        <v>274</v>
      </c>
      <c r="N85" t="s">
        <v>274</v>
      </c>
      <c r="O85" t="s">
        <v>274</v>
      </c>
      <c r="P85" t="s">
        <v>274</v>
      </c>
      <c r="Q85" t="s">
        <v>274</v>
      </c>
      <c r="R85" t="s">
        <v>274</v>
      </c>
      <c r="S85" t="s">
        <v>274</v>
      </c>
      <c r="T85" t="s">
        <v>274</v>
      </c>
      <c r="U85" t="s">
        <v>274</v>
      </c>
      <c r="V85" t="s">
        <v>274</v>
      </c>
      <c r="W85" t="s">
        <v>274</v>
      </c>
      <c r="X85" t="s">
        <v>274</v>
      </c>
      <c r="Y85" t="s">
        <v>274</v>
      </c>
      <c r="Z85" t="s">
        <v>274</v>
      </c>
      <c r="AA85" t="s">
        <v>274</v>
      </c>
      <c r="AB85" t="s">
        <v>274</v>
      </c>
      <c r="AC85" t="s">
        <v>274</v>
      </c>
      <c r="AD85" t="s">
        <v>274</v>
      </c>
      <c r="AE85" t="s">
        <v>274</v>
      </c>
      <c r="AF85" t="s">
        <v>274</v>
      </c>
      <c r="AG85" s="14" t="s">
        <v>274</v>
      </c>
      <c r="AH85" t="s">
        <v>274</v>
      </c>
      <c r="AI85" t="s">
        <v>274</v>
      </c>
      <c r="AJ85" t="s">
        <v>274</v>
      </c>
      <c r="AK85" t="s">
        <v>274</v>
      </c>
      <c r="AL85" t="s">
        <v>274</v>
      </c>
      <c r="AM85" t="s">
        <v>274</v>
      </c>
      <c r="AN85" t="s">
        <v>274</v>
      </c>
      <c r="AO85" t="s">
        <v>274</v>
      </c>
      <c r="AP85" t="s">
        <v>274</v>
      </c>
      <c r="AQ85" t="s">
        <v>274</v>
      </c>
      <c r="AR85" t="s">
        <v>274</v>
      </c>
      <c r="AS85" t="s">
        <v>274</v>
      </c>
      <c r="AT85" t="s">
        <v>274</v>
      </c>
      <c r="AU85" t="s">
        <v>274</v>
      </c>
      <c r="AV85" t="s">
        <v>274</v>
      </c>
      <c r="AW85" t="s">
        <v>274</v>
      </c>
      <c r="AX85" t="s">
        <v>274</v>
      </c>
      <c r="AY85" t="s">
        <v>274</v>
      </c>
      <c r="AZ85" t="s">
        <v>274</v>
      </c>
      <c r="BA85" t="s">
        <v>274</v>
      </c>
      <c r="BB85" t="s">
        <v>274</v>
      </c>
      <c r="BC85" t="s">
        <v>274</v>
      </c>
      <c r="BD85" t="s">
        <v>274</v>
      </c>
      <c r="BE85" t="s">
        <v>274</v>
      </c>
      <c r="BF85" t="s">
        <v>274</v>
      </c>
      <c r="BG85" t="s">
        <v>274</v>
      </c>
      <c r="BH85" t="s">
        <v>274</v>
      </c>
      <c r="BI85" t="s">
        <v>274</v>
      </c>
      <c r="BJ85" t="s">
        <v>274</v>
      </c>
      <c r="BK85" t="s">
        <v>274</v>
      </c>
      <c r="BL85" t="s">
        <v>274</v>
      </c>
      <c r="BM85" t="s">
        <v>274</v>
      </c>
      <c r="BN85" t="s">
        <v>274</v>
      </c>
      <c r="BO85" t="s">
        <v>274</v>
      </c>
      <c r="BP85" t="s">
        <v>274</v>
      </c>
      <c r="BQ85" t="s">
        <v>274</v>
      </c>
      <c r="BR85" t="s">
        <v>274</v>
      </c>
    </row>
    <row r="86" spans="1:70" x14ac:dyDescent="0.3">
      <c r="A86" t="s">
        <v>209</v>
      </c>
      <c r="B86" t="s">
        <v>1750</v>
      </c>
      <c r="C86" t="s">
        <v>578</v>
      </c>
      <c r="D86" t="s">
        <v>579</v>
      </c>
      <c r="E86" t="s">
        <v>274</v>
      </c>
      <c r="F86" t="s">
        <v>274</v>
      </c>
      <c r="G86" t="s">
        <v>274</v>
      </c>
      <c r="H86" t="s">
        <v>274</v>
      </c>
      <c r="I86" t="s">
        <v>274</v>
      </c>
      <c r="J86" t="s">
        <v>274</v>
      </c>
      <c r="K86" t="s">
        <v>274</v>
      </c>
      <c r="L86" t="s">
        <v>274</v>
      </c>
      <c r="M86" t="s">
        <v>274</v>
      </c>
      <c r="N86" t="s">
        <v>274</v>
      </c>
      <c r="O86" t="s">
        <v>274</v>
      </c>
      <c r="P86" t="s">
        <v>274</v>
      </c>
      <c r="Q86" t="s">
        <v>274</v>
      </c>
      <c r="R86" t="s">
        <v>274</v>
      </c>
      <c r="S86" t="s">
        <v>274</v>
      </c>
      <c r="T86" t="s">
        <v>274</v>
      </c>
      <c r="U86" t="s">
        <v>274</v>
      </c>
      <c r="V86" t="s">
        <v>274</v>
      </c>
      <c r="W86" t="s">
        <v>274</v>
      </c>
      <c r="X86" t="s">
        <v>274</v>
      </c>
      <c r="Y86" t="s">
        <v>274</v>
      </c>
      <c r="Z86" t="s">
        <v>274</v>
      </c>
      <c r="AA86" t="s">
        <v>274</v>
      </c>
      <c r="AB86" t="s">
        <v>274</v>
      </c>
      <c r="AC86" t="s">
        <v>274</v>
      </c>
      <c r="AD86" t="s">
        <v>274</v>
      </c>
      <c r="AE86" t="s">
        <v>274</v>
      </c>
      <c r="AF86" t="s">
        <v>274</v>
      </c>
      <c r="AG86" s="14" t="s">
        <v>274</v>
      </c>
      <c r="AH86" t="s">
        <v>274</v>
      </c>
      <c r="AI86" t="s">
        <v>274</v>
      </c>
      <c r="AJ86" t="s">
        <v>274</v>
      </c>
      <c r="AK86" t="s">
        <v>274</v>
      </c>
      <c r="AL86" t="s">
        <v>274</v>
      </c>
      <c r="AM86" t="s">
        <v>274</v>
      </c>
      <c r="AN86" t="s">
        <v>616</v>
      </c>
      <c r="AO86" t="s">
        <v>616</v>
      </c>
      <c r="AP86" t="s">
        <v>616</v>
      </c>
      <c r="AQ86" t="s">
        <v>616</v>
      </c>
      <c r="AR86" t="s">
        <v>1751</v>
      </c>
      <c r="AS86" t="s">
        <v>1752</v>
      </c>
      <c r="AT86" t="s">
        <v>1752</v>
      </c>
      <c r="AU86" t="s">
        <v>1753</v>
      </c>
      <c r="AV86" t="s">
        <v>616</v>
      </c>
      <c r="AW86" t="s">
        <v>1754</v>
      </c>
      <c r="AX86" t="s">
        <v>1755</v>
      </c>
      <c r="AY86" t="s">
        <v>1756</v>
      </c>
      <c r="AZ86" t="s">
        <v>1757</v>
      </c>
      <c r="BA86" t="s">
        <v>1758</v>
      </c>
      <c r="BB86" t="s">
        <v>1759</v>
      </c>
      <c r="BC86" t="s">
        <v>1760</v>
      </c>
      <c r="BD86" t="s">
        <v>1761</v>
      </c>
      <c r="BE86" t="s">
        <v>889</v>
      </c>
      <c r="BF86" t="s">
        <v>1762</v>
      </c>
      <c r="BG86" t="s">
        <v>1762</v>
      </c>
      <c r="BH86" t="s">
        <v>1762</v>
      </c>
      <c r="BI86" t="s">
        <v>1762</v>
      </c>
      <c r="BJ86" t="s">
        <v>1763</v>
      </c>
      <c r="BK86" t="s">
        <v>1762</v>
      </c>
      <c r="BL86" t="s">
        <v>1764</v>
      </c>
      <c r="BM86" t="s">
        <v>1765</v>
      </c>
      <c r="BN86" t="s">
        <v>1766</v>
      </c>
      <c r="BO86" t="s">
        <v>274</v>
      </c>
      <c r="BP86" t="s">
        <v>274</v>
      </c>
      <c r="BQ86" t="s">
        <v>274</v>
      </c>
      <c r="BR86" t="s">
        <v>274</v>
      </c>
    </row>
    <row r="87" spans="1:70" x14ac:dyDescent="0.3">
      <c r="A87" t="s">
        <v>85</v>
      </c>
      <c r="B87" t="s">
        <v>1767</v>
      </c>
      <c r="C87" t="s">
        <v>578</v>
      </c>
      <c r="D87" t="s">
        <v>579</v>
      </c>
      <c r="E87" t="s">
        <v>274</v>
      </c>
      <c r="F87" t="s">
        <v>274</v>
      </c>
      <c r="G87" t="s">
        <v>274</v>
      </c>
      <c r="H87" t="s">
        <v>274</v>
      </c>
      <c r="I87" t="s">
        <v>274</v>
      </c>
      <c r="J87" t="s">
        <v>274</v>
      </c>
      <c r="K87" t="s">
        <v>274</v>
      </c>
      <c r="L87" t="s">
        <v>274</v>
      </c>
      <c r="M87" t="s">
        <v>274</v>
      </c>
      <c r="N87" t="s">
        <v>274</v>
      </c>
      <c r="O87" t="s">
        <v>274</v>
      </c>
      <c r="P87" t="s">
        <v>274</v>
      </c>
      <c r="Q87" t="s">
        <v>274</v>
      </c>
      <c r="R87" t="s">
        <v>274</v>
      </c>
      <c r="S87" t="s">
        <v>274</v>
      </c>
      <c r="T87" t="s">
        <v>274</v>
      </c>
      <c r="U87" t="s">
        <v>274</v>
      </c>
      <c r="V87" t="s">
        <v>274</v>
      </c>
      <c r="W87" t="s">
        <v>274</v>
      </c>
      <c r="X87" t="s">
        <v>274</v>
      </c>
      <c r="Y87" t="s">
        <v>274</v>
      </c>
      <c r="Z87" t="s">
        <v>274</v>
      </c>
      <c r="AA87" t="s">
        <v>274</v>
      </c>
      <c r="AB87" t="s">
        <v>274</v>
      </c>
      <c r="AC87" t="s">
        <v>274</v>
      </c>
      <c r="AD87" t="s">
        <v>274</v>
      </c>
      <c r="AE87" t="s">
        <v>274</v>
      </c>
      <c r="AF87" t="s">
        <v>274</v>
      </c>
      <c r="AG87" s="14" t="s">
        <v>274</v>
      </c>
      <c r="AH87" t="s">
        <v>274</v>
      </c>
      <c r="AI87" t="s">
        <v>274</v>
      </c>
      <c r="AJ87" t="s">
        <v>274</v>
      </c>
      <c r="AK87" t="s">
        <v>274</v>
      </c>
      <c r="AL87" t="s">
        <v>274</v>
      </c>
      <c r="AM87" t="s">
        <v>274</v>
      </c>
      <c r="AN87" t="s">
        <v>274</v>
      </c>
      <c r="AO87" t="s">
        <v>274</v>
      </c>
      <c r="AP87" t="s">
        <v>274</v>
      </c>
      <c r="AQ87" t="s">
        <v>274</v>
      </c>
      <c r="AR87" t="s">
        <v>274</v>
      </c>
      <c r="AS87" t="s">
        <v>274</v>
      </c>
      <c r="AT87" t="s">
        <v>274</v>
      </c>
      <c r="AU87" t="s">
        <v>274</v>
      </c>
      <c r="AV87" t="s">
        <v>274</v>
      </c>
      <c r="AW87" t="s">
        <v>274</v>
      </c>
      <c r="AX87" t="s">
        <v>274</v>
      </c>
      <c r="AY87" t="s">
        <v>274</v>
      </c>
      <c r="AZ87" t="s">
        <v>274</v>
      </c>
      <c r="BA87" t="s">
        <v>274</v>
      </c>
      <c r="BB87" t="s">
        <v>274</v>
      </c>
      <c r="BC87" t="s">
        <v>274</v>
      </c>
      <c r="BD87" t="s">
        <v>274</v>
      </c>
      <c r="BE87" t="s">
        <v>274</v>
      </c>
      <c r="BF87" t="s">
        <v>274</v>
      </c>
      <c r="BG87" t="s">
        <v>274</v>
      </c>
      <c r="BH87" t="s">
        <v>274</v>
      </c>
      <c r="BI87" t="s">
        <v>274</v>
      </c>
      <c r="BJ87" t="s">
        <v>274</v>
      </c>
      <c r="BK87" t="s">
        <v>274</v>
      </c>
      <c r="BL87" t="s">
        <v>274</v>
      </c>
      <c r="BM87" t="s">
        <v>274</v>
      </c>
      <c r="BN87" t="s">
        <v>274</v>
      </c>
      <c r="BO87" t="s">
        <v>274</v>
      </c>
      <c r="BP87" t="s">
        <v>274</v>
      </c>
      <c r="BQ87" t="s">
        <v>274</v>
      </c>
      <c r="BR87" t="s">
        <v>274</v>
      </c>
    </row>
    <row r="88" spans="1:70" x14ac:dyDescent="0.3">
      <c r="A88" t="s">
        <v>86</v>
      </c>
      <c r="B88" t="s">
        <v>1768</v>
      </c>
      <c r="C88" t="s">
        <v>578</v>
      </c>
      <c r="D88" t="s">
        <v>579</v>
      </c>
      <c r="E88" t="s">
        <v>274</v>
      </c>
      <c r="F88" t="s">
        <v>274</v>
      </c>
      <c r="G88" t="s">
        <v>274</v>
      </c>
      <c r="H88" t="s">
        <v>274</v>
      </c>
      <c r="I88" t="s">
        <v>274</v>
      </c>
      <c r="J88" t="s">
        <v>274</v>
      </c>
      <c r="K88" t="s">
        <v>274</v>
      </c>
      <c r="L88" t="s">
        <v>785</v>
      </c>
      <c r="M88" t="s">
        <v>1769</v>
      </c>
      <c r="N88" t="s">
        <v>1770</v>
      </c>
      <c r="O88" t="s">
        <v>793</v>
      </c>
      <c r="P88" t="s">
        <v>995</v>
      </c>
      <c r="Q88" t="s">
        <v>995</v>
      </c>
      <c r="R88" t="s">
        <v>1654</v>
      </c>
      <c r="S88" t="s">
        <v>597</v>
      </c>
      <c r="T88" t="s">
        <v>1771</v>
      </c>
      <c r="U88" t="s">
        <v>1772</v>
      </c>
      <c r="V88" t="s">
        <v>1773</v>
      </c>
      <c r="W88" t="s">
        <v>1774</v>
      </c>
      <c r="X88" t="s">
        <v>1775</v>
      </c>
      <c r="Y88" t="s">
        <v>1776</v>
      </c>
      <c r="Z88" t="s">
        <v>1777</v>
      </c>
      <c r="AA88" t="s">
        <v>1778</v>
      </c>
      <c r="AB88" t="s">
        <v>1779</v>
      </c>
      <c r="AC88" t="s">
        <v>1780</v>
      </c>
      <c r="AD88" t="s">
        <v>1781</v>
      </c>
      <c r="AE88" t="s">
        <v>1782</v>
      </c>
      <c r="AF88" t="s">
        <v>1783</v>
      </c>
      <c r="AG88" s="14" t="s">
        <v>1784</v>
      </c>
      <c r="AH88" t="s">
        <v>1785</v>
      </c>
      <c r="AI88" t="s">
        <v>1786</v>
      </c>
      <c r="AJ88" t="s">
        <v>1787</v>
      </c>
      <c r="AK88" t="s">
        <v>1788</v>
      </c>
      <c r="AL88" t="s">
        <v>1789</v>
      </c>
      <c r="AM88" t="s">
        <v>1790</v>
      </c>
      <c r="AN88" t="s">
        <v>1791</v>
      </c>
      <c r="AO88" t="s">
        <v>1792</v>
      </c>
      <c r="AP88" t="s">
        <v>1793</v>
      </c>
      <c r="AQ88" t="s">
        <v>1794</v>
      </c>
      <c r="AR88" t="s">
        <v>1795</v>
      </c>
      <c r="AS88" t="s">
        <v>1796</v>
      </c>
      <c r="AT88" t="s">
        <v>1797</v>
      </c>
      <c r="AU88" t="s">
        <v>1312</v>
      </c>
      <c r="AV88" t="s">
        <v>1798</v>
      </c>
      <c r="AW88" t="s">
        <v>1799</v>
      </c>
      <c r="AX88" t="s">
        <v>1800</v>
      </c>
      <c r="AY88" t="s">
        <v>1801</v>
      </c>
      <c r="AZ88" t="s">
        <v>1802</v>
      </c>
      <c r="BA88" t="s">
        <v>1803</v>
      </c>
      <c r="BB88" t="s">
        <v>1804</v>
      </c>
      <c r="BC88" t="s">
        <v>1805</v>
      </c>
      <c r="BD88" t="s">
        <v>1805</v>
      </c>
      <c r="BE88" t="s">
        <v>1805</v>
      </c>
      <c r="BF88" t="s">
        <v>1805</v>
      </c>
      <c r="BG88" t="s">
        <v>1805</v>
      </c>
      <c r="BH88" t="s">
        <v>274</v>
      </c>
      <c r="BI88" t="s">
        <v>274</v>
      </c>
      <c r="BJ88" t="s">
        <v>274</v>
      </c>
      <c r="BK88" t="s">
        <v>274</v>
      </c>
      <c r="BL88" t="s">
        <v>274</v>
      </c>
      <c r="BM88" t="s">
        <v>274</v>
      </c>
      <c r="BN88" t="s">
        <v>274</v>
      </c>
      <c r="BO88" t="s">
        <v>274</v>
      </c>
      <c r="BP88" t="s">
        <v>274</v>
      </c>
      <c r="BQ88" t="s">
        <v>274</v>
      </c>
      <c r="BR88" t="s">
        <v>274</v>
      </c>
    </row>
    <row r="89" spans="1:70" x14ac:dyDescent="0.3">
      <c r="A89" t="s">
        <v>210</v>
      </c>
      <c r="B89" t="s">
        <v>1806</v>
      </c>
      <c r="C89" t="s">
        <v>578</v>
      </c>
      <c r="D89" t="s">
        <v>579</v>
      </c>
      <c r="E89" t="s">
        <v>274</v>
      </c>
      <c r="F89" t="s">
        <v>274</v>
      </c>
      <c r="G89" t="s">
        <v>274</v>
      </c>
      <c r="H89" t="s">
        <v>274</v>
      </c>
      <c r="I89" t="s">
        <v>274</v>
      </c>
      <c r="J89" t="s">
        <v>274</v>
      </c>
      <c r="K89" t="s">
        <v>274</v>
      </c>
      <c r="L89" t="s">
        <v>274</v>
      </c>
      <c r="M89" t="s">
        <v>274</v>
      </c>
      <c r="N89" t="s">
        <v>274</v>
      </c>
      <c r="O89" t="s">
        <v>274</v>
      </c>
      <c r="P89" t="s">
        <v>274</v>
      </c>
      <c r="Q89" t="s">
        <v>274</v>
      </c>
      <c r="R89" t="s">
        <v>274</v>
      </c>
      <c r="S89" t="s">
        <v>274</v>
      </c>
      <c r="T89" t="s">
        <v>274</v>
      </c>
      <c r="U89" t="s">
        <v>274</v>
      </c>
      <c r="V89" t="s">
        <v>274</v>
      </c>
      <c r="W89" t="s">
        <v>274</v>
      </c>
      <c r="X89" t="s">
        <v>274</v>
      </c>
      <c r="Y89" t="s">
        <v>274</v>
      </c>
      <c r="Z89" t="s">
        <v>274</v>
      </c>
      <c r="AA89" t="s">
        <v>274</v>
      </c>
      <c r="AB89" t="s">
        <v>274</v>
      </c>
      <c r="AC89" t="s">
        <v>274</v>
      </c>
      <c r="AD89" t="s">
        <v>274</v>
      </c>
      <c r="AE89" t="s">
        <v>274</v>
      </c>
      <c r="AF89" t="s">
        <v>274</v>
      </c>
      <c r="AG89" s="14" t="s">
        <v>274</v>
      </c>
      <c r="AH89" t="s">
        <v>274</v>
      </c>
      <c r="AI89" t="s">
        <v>274</v>
      </c>
      <c r="AJ89" t="s">
        <v>274</v>
      </c>
      <c r="AK89" t="s">
        <v>274</v>
      </c>
      <c r="AL89" t="s">
        <v>274</v>
      </c>
      <c r="AM89" t="s">
        <v>274</v>
      </c>
      <c r="AN89" t="s">
        <v>274</v>
      </c>
      <c r="AO89" t="s">
        <v>274</v>
      </c>
      <c r="AP89" t="s">
        <v>274</v>
      </c>
      <c r="AQ89" t="s">
        <v>274</v>
      </c>
      <c r="AR89" t="s">
        <v>274</v>
      </c>
      <c r="AS89" t="s">
        <v>274</v>
      </c>
      <c r="AT89" t="s">
        <v>274</v>
      </c>
      <c r="AU89" t="s">
        <v>274</v>
      </c>
      <c r="AV89" t="s">
        <v>1807</v>
      </c>
      <c r="AW89" t="s">
        <v>1808</v>
      </c>
      <c r="AX89" t="s">
        <v>1809</v>
      </c>
      <c r="AY89" t="s">
        <v>1810</v>
      </c>
      <c r="AZ89" t="s">
        <v>1811</v>
      </c>
      <c r="BA89" t="s">
        <v>1812</v>
      </c>
      <c r="BB89" t="s">
        <v>1813</v>
      </c>
      <c r="BC89" t="s">
        <v>1814</v>
      </c>
      <c r="BD89" t="s">
        <v>1815</v>
      </c>
      <c r="BE89" t="s">
        <v>1816</v>
      </c>
      <c r="BF89" t="s">
        <v>1817</v>
      </c>
      <c r="BG89" t="s">
        <v>1818</v>
      </c>
      <c r="BH89" t="s">
        <v>1819</v>
      </c>
      <c r="BI89" t="s">
        <v>1820</v>
      </c>
      <c r="BJ89" t="s">
        <v>1821</v>
      </c>
      <c r="BK89" t="s">
        <v>1822</v>
      </c>
      <c r="BL89" t="s">
        <v>1823</v>
      </c>
      <c r="BM89" t="s">
        <v>1824</v>
      </c>
      <c r="BN89" t="s">
        <v>1825</v>
      </c>
      <c r="BO89" t="s">
        <v>1826</v>
      </c>
      <c r="BP89" t="s">
        <v>1827</v>
      </c>
      <c r="BQ89" t="s">
        <v>1828</v>
      </c>
      <c r="BR89" t="s">
        <v>274</v>
      </c>
    </row>
    <row r="90" spans="1:70" x14ac:dyDescent="0.3">
      <c r="A90" t="s">
        <v>87</v>
      </c>
      <c r="B90" t="s">
        <v>1829</v>
      </c>
      <c r="C90" t="s">
        <v>578</v>
      </c>
      <c r="D90" t="s">
        <v>579</v>
      </c>
      <c r="E90" t="s">
        <v>274</v>
      </c>
      <c r="F90" t="s">
        <v>274</v>
      </c>
      <c r="G90" t="s">
        <v>274</v>
      </c>
      <c r="H90" t="s">
        <v>274</v>
      </c>
      <c r="I90" t="s">
        <v>274</v>
      </c>
      <c r="J90" t="s">
        <v>274</v>
      </c>
      <c r="K90" t="s">
        <v>274</v>
      </c>
      <c r="L90" t="s">
        <v>274</v>
      </c>
      <c r="M90" t="s">
        <v>274</v>
      </c>
      <c r="N90" t="s">
        <v>274</v>
      </c>
      <c r="O90" t="s">
        <v>274</v>
      </c>
      <c r="P90" t="s">
        <v>274</v>
      </c>
      <c r="Q90" t="s">
        <v>274</v>
      </c>
      <c r="R90" t="s">
        <v>274</v>
      </c>
      <c r="S90" t="s">
        <v>274</v>
      </c>
      <c r="T90" t="s">
        <v>274</v>
      </c>
      <c r="U90" t="s">
        <v>274</v>
      </c>
      <c r="V90" t="s">
        <v>274</v>
      </c>
      <c r="W90" t="s">
        <v>274</v>
      </c>
      <c r="X90" t="s">
        <v>274</v>
      </c>
      <c r="Y90" t="s">
        <v>274</v>
      </c>
      <c r="Z90" t="s">
        <v>274</v>
      </c>
      <c r="AA90" t="s">
        <v>274</v>
      </c>
      <c r="AB90" t="s">
        <v>274</v>
      </c>
      <c r="AC90" t="s">
        <v>274</v>
      </c>
      <c r="AD90" t="s">
        <v>274</v>
      </c>
      <c r="AE90" t="s">
        <v>274</v>
      </c>
      <c r="AF90" t="s">
        <v>274</v>
      </c>
      <c r="AG90" s="14" t="s">
        <v>274</v>
      </c>
      <c r="AH90" t="s">
        <v>274</v>
      </c>
      <c r="AI90" t="s">
        <v>274</v>
      </c>
      <c r="AJ90" t="s">
        <v>274</v>
      </c>
      <c r="AK90" t="s">
        <v>274</v>
      </c>
      <c r="AL90" t="s">
        <v>274</v>
      </c>
      <c r="AM90" t="s">
        <v>274</v>
      </c>
      <c r="AN90" t="s">
        <v>274</v>
      </c>
      <c r="AO90" t="s">
        <v>274</v>
      </c>
      <c r="AP90" t="s">
        <v>274</v>
      </c>
      <c r="AQ90" t="s">
        <v>274</v>
      </c>
      <c r="AR90" t="s">
        <v>274</v>
      </c>
      <c r="AS90" t="s">
        <v>274</v>
      </c>
      <c r="AT90" t="s">
        <v>274</v>
      </c>
      <c r="AU90" t="s">
        <v>274</v>
      </c>
      <c r="AV90" t="s">
        <v>274</v>
      </c>
      <c r="AW90" t="s">
        <v>274</v>
      </c>
      <c r="AX90" t="s">
        <v>274</v>
      </c>
      <c r="AY90" t="s">
        <v>274</v>
      </c>
      <c r="AZ90" t="s">
        <v>274</v>
      </c>
      <c r="BA90" t="s">
        <v>274</v>
      </c>
      <c r="BB90" t="s">
        <v>274</v>
      </c>
      <c r="BC90" t="s">
        <v>274</v>
      </c>
      <c r="BD90" t="s">
        <v>274</v>
      </c>
      <c r="BE90" t="s">
        <v>274</v>
      </c>
      <c r="BF90" t="s">
        <v>274</v>
      </c>
      <c r="BG90" t="s">
        <v>274</v>
      </c>
      <c r="BH90" t="s">
        <v>274</v>
      </c>
      <c r="BI90" t="s">
        <v>274</v>
      </c>
      <c r="BJ90" t="s">
        <v>274</v>
      </c>
      <c r="BK90" t="s">
        <v>274</v>
      </c>
      <c r="BL90" t="s">
        <v>274</v>
      </c>
      <c r="BM90" t="s">
        <v>274</v>
      </c>
      <c r="BN90" t="s">
        <v>274</v>
      </c>
      <c r="BO90" t="s">
        <v>274</v>
      </c>
      <c r="BP90" t="s">
        <v>274</v>
      </c>
      <c r="BQ90" t="s">
        <v>274</v>
      </c>
      <c r="BR90" t="s">
        <v>274</v>
      </c>
    </row>
    <row r="91" spans="1:70" x14ac:dyDescent="0.3">
      <c r="A91" t="s">
        <v>88</v>
      </c>
      <c r="B91" t="s">
        <v>1830</v>
      </c>
      <c r="C91" t="s">
        <v>578</v>
      </c>
      <c r="D91" t="s">
        <v>579</v>
      </c>
      <c r="E91" t="s">
        <v>274</v>
      </c>
      <c r="F91" t="s">
        <v>274</v>
      </c>
      <c r="G91" t="s">
        <v>274</v>
      </c>
      <c r="H91" t="s">
        <v>274</v>
      </c>
      <c r="I91" t="s">
        <v>274</v>
      </c>
      <c r="J91" t="s">
        <v>274</v>
      </c>
      <c r="K91" t="s">
        <v>274</v>
      </c>
      <c r="L91" t="s">
        <v>274</v>
      </c>
      <c r="M91" t="s">
        <v>274</v>
      </c>
      <c r="N91" t="s">
        <v>274</v>
      </c>
      <c r="O91" t="s">
        <v>274</v>
      </c>
      <c r="P91" t="s">
        <v>274</v>
      </c>
      <c r="Q91" t="s">
        <v>274</v>
      </c>
      <c r="R91" t="s">
        <v>274</v>
      </c>
      <c r="S91" t="s">
        <v>274</v>
      </c>
      <c r="T91" t="s">
        <v>274</v>
      </c>
      <c r="U91" t="s">
        <v>274</v>
      </c>
      <c r="V91" t="s">
        <v>274</v>
      </c>
      <c r="W91" t="s">
        <v>274</v>
      </c>
      <c r="X91" t="s">
        <v>274</v>
      </c>
      <c r="Y91" t="s">
        <v>274</v>
      </c>
      <c r="Z91" t="s">
        <v>274</v>
      </c>
      <c r="AA91" t="s">
        <v>274</v>
      </c>
      <c r="AB91" t="s">
        <v>274</v>
      </c>
      <c r="AC91" t="s">
        <v>274</v>
      </c>
      <c r="AD91" t="s">
        <v>274</v>
      </c>
      <c r="AE91" t="s">
        <v>274</v>
      </c>
      <c r="AF91" t="s">
        <v>274</v>
      </c>
      <c r="AG91" s="14" t="s">
        <v>274</v>
      </c>
      <c r="AH91" t="s">
        <v>274</v>
      </c>
      <c r="AI91" t="s">
        <v>274</v>
      </c>
      <c r="AJ91" t="s">
        <v>274</v>
      </c>
      <c r="AK91" t="s">
        <v>274</v>
      </c>
      <c r="AL91" t="s">
        <v>274</v>
      </c>
      <c r="AM91" t="s">
        <v>274</v>
      </c>
      <c r="AN91" t="s">
        <v>274</v>
      </c>
      <c r="AO91" t="s">
        <v>274</v>
      </c>
      <c r="AP91" t="s">
        <v>274</v>
      </c>
      <c r="AQ91" t="s">
        <v>274</v>
      </c>
      <c r="AR91" t="s">
        <v>274</v>
      </c>
      <c r="AS91" t="s">
        <v>274</v>
      </c>
      <c r="AT91" t="s">
        <v>274</v>
      </c>
      <c r="AU91" t="s">
        <v>274</v>
      </c>
      <c r="AV91" t="s">
        <v>274</v>
      </c>
      <c r="AW91" t="s">
        <v>274</v>
      </c>
      <c r="AX91" t="s">
        <v>274</v>
      </c>
      <c r="AY91" t="s">
        <v>274</v>
      </c>
      <c r="AZ91" t="s">
        <v>274</v>
      </c>
      <c r="BA91" t="s">
        <v>274</v>
      </c>
      <c r="BB91" t="s">
        <v>274</v>
      </c>
      <c r="BC91" t="s">
        <v>274</v>
      </c>
      <c r="BD91" t="s">
        <v>274</v>
      </c>
      <c r="BE91" t="s">
        <v>274</v>
      </c>
      <c r="BF91" t="s">
        <v>274</v>
      </c>
      <c r="BG91" t="s">
        <v>274</v>
      </c>
      <c r="BH91" t="s">
        <v>274</v>
      </c>
      <c r="BI91" t="s">
        <v>274</v>
      </c>
      <c r="BJ91" t="s">
        <v>274</v>
      </c>
      <c r="BK91" t="s">
        <v>274</v>
      </c>
      <c r="BL91" t="s">
        <v>274</v>
      </c>
      <c r="BM91" t="s">
        <v>274</v>
      </c>
      <c r="BN91" t="s">
        <v>274</v>
      </c>
      <c r="BO91" t="s">
        <v>274</v>
      </c>
      <c r="BP91" t="s">
        <v>274</v>
      </c>
      <c r="BQ91" t="s">
        <v>274</v>
      </c>
      <c r="BR91" t="s">
        <v>274</v>
      </c>
    </row>
    <row r="92" spans="1:70" x14ac:dyDescent="0.3">
      <c r="A92" t="s">
        <v>89</v>
      </c>
      <c r="B92" t="s">
        <v>1831</v>
      </c>
      <c r="C92" t="s">
        <v>578</v>
      </c>
      <c r="D92" t="s">
        <v>579</v>
      </c>
      <c r="E92" t="s">
        <v>274</v>
      </c>
      <c r="F92" t="s">
        <v>274</v>
      </c>
      <c r="G92" t="s">
        <v>274</v>
      </c>
      <c r="H92" t="s">
        <v>274</v>
      </c>
      <c r="I92" t="s">
        <v>274</v>
      </c>
      <c r="J92" t="s">
        <v>274</v>
      </c>
      <c r="K92" t="s">
        <v>274</v>
      </c>
      <c r="L92" t="s">
        <v>274</v>
      </c>
      <c r="M92" t="s">
        <v>274</v>
      </c>
      <c r="N92" t="s">
        <v>274</v>
      </c>
      <c r="O92" t="s">
        <v>274</v>
      </c>
      <c r="P92" t="s">
        <v>274</v>
      </c>
      <c r="Q92" t="s">
        <v>274</v>
      </c>
      <c r="R92" t="s">
        <v>274</v>
      </c>
      <c r="S92" t="s">
        <v>274</v>
      </c>
      <c r="T92" t="s">
        <v>274</v>
      </c>
      <c r="U92" t="s">
        <v>274</v>
      </c>
      <c r="V92" t="s">
        <v>274</v>
      </c>
      <c r="W92" t="s">
        <v>274</v>
      </c>
      <c r="X92" t="s">
        <v>274</v>
      </c>
      <c r="Y92" t="s">
        <v>274</v>
      </c>
      <c r="Z92" t="s">
        <v>274</v>
      </c>
      <c r="AA92" t="s">
        <v>274</v>
      </c>
      <c r="AB92" t="s">
        <v>274</v>
      </c>
      <c r="AC92" t="s">
        <v>274</v>
      </c>
      <c r="AD92" t="s">
        <v>274</v>
      </c>
      <c r="AE92" t="s">
        <v>1240</v>
      </c>
      <c r="AF92" t="s">
        <v>616</v>
      </c>
      <c r="AG92" s="14" t="s">
        <v>616</v>
      </c>
      <c r="AH92" t="s">
        <v>1832</v>
      </c>
      <c r="AI92" t="s">
        <v>1833</v>
      </c>
      <c r="AJ92" t="s">
        <v>1834</v>
      </c>
      <c r="AK92" t="s">
        <v>1835</v>
      </c>
      <c r="AL92" t="s">
        <v>1834</v>
      </c>
      <c r="AM92" t="s">
        <v>1836</v>
      </c>
      <c r="AN92" t="s">
        <v>1837</v>
      </c>
      <c r="AO92" t="s">
        <v>1059</v>
      </c>
      <c r="AP92" t="s">
        <v>1838</v>
      </c>
      <c r="AQ92" t="s">
        <v>1839</v>
      </c>
      <c r="AR92" t="s">
        <v>1840</v>
      </c>
      <c r="AS92" t="s">
        <v>1841</v>
      </c>
      <c r="AT92" t="s">
        <v>1842</v>
      </c>
      <c r="AU92" t="s">
        <v>274</v>
      </c>
      <c r="AV92" t="s">
        <v>274</v>
      </c>
      <c r="AW92" t="s">
        <v>274</v>
      </c>
      <c r="AX92" t="s">
        <v>274</v>
      </c>
      <c r="AY92" t="s">
        <v>274</v>
      </c>
      <c r="AZ92" t="s">
        <v>274</v>
      </c>
      <c r="BA92" t="s">
        <v>274</v>
      </c>
      <c r="BB92" t="s">
        <v>274</v>
      </c>
      <c r="BC92" t="s">
        <v>274</v>
      </c>
      <c r="BD92" t="s">
        <v>274</v>
      </c>
      <c r="BE92" t="s">
        <v>274</v>
      </c>
      <c r="BF92" t="s">
        <v>274</v>
      </c>
      <c r="BG92" t="s">
        <v>274</v>
      </c>
      <c r="BH92" t="s">
        <v>274</v>
      </c>
      <c r="BI92" t="s">
        <v>274</v>
      </c>
      <c r="BJ92" t="s">
        <v>274</v>
      </c>
      <c r="BK92" t="s">
        <v>274</v>
      </c>
      <c r="BL92" t="s">
        <v>274</v>
      </c>
      <c r="BM92" t="s">
        <v>274</v>
      </c>
      <c r="BN92" t="s">
        <v>274</v>
      </c>
      <c r="BO92" t="s">
        <v>274</v>
      </c>
      <c r="BP92" t="s">
        <v>274</v>
      </c>
      <c r="BQ92" t="s">
        <v>274</v>
      </c>
      <c r="BR92" t="s">
        <v>274</v>
      </c>
    </row>
    <row r="93" spans="1:70" x14ac:dyDescent="0.3">
      <c r="A93" t="s">
        <v>211</v>
      </c>
      <c r="B93" t="s">
        <v>1843</v>
      </c>
      <c r="C93" t="s">
        <v>578</v>
      </c>
      <c r="D93" t="s">
        <v>579</v>
      </c>
      <c r="E93" t="s">
        <v>274</v>
      </c>
      <c r="F93" t="s">
        <v>274</v>
      </c>
      <c r="G93" t="s">
        <v>274</v>
      </c>
      <c r="H93" t="s">
        <v>274</v>
      </c>
      <c r="I93" t="s">
        <v>274</v>
      </c>
      <c r="J93" t="s">
        <v>274</v>
      </c>
      <c r="K93" t="s">
        <v>274</v>
      </c>
      <c r="L93" t="s">
        <v>274</v>
      </c>
      <c r="M93" t="s">
        <v>274</v>
      </c>
      <c r="N93" t="s">
        <v>274</v>
      </c>
      <c r="O93" t="s">
        <v>274</v>
      </c>
      <c r="P93" t="s">
        <v>274</v>
      </c>
      <c r="Q93" t="s">
        <v>274</v>
      </c>
      <c r="R93" t="s">
        <v>274</v>
      </c>
      <c r="S93" t="s">
        <v>274</v>
      </c>
      <c r="T93" t="s">
        <v>274</v>
      </c>
      <c r="U93" t="s">
        <v>274</v>
      </c>
      <c r="V93" t="s">
        <v>274</v>
      </c>
      <c r="W93" t="s">
        <v>274</v>
      </c>
      <c r="X93" t="s">
        <v>274</v>
      </c>
      <c r="Y93" t="s">
        <v>274</v>
      </c>
      <c r="Z93" t="s">
        <v>274</v>
      </c>
      <c r="AA93" t="s">
        <v>274</v>
      </c>
      <c r="AB93" t="s">
        <v>274</v>
      </c>
      <c r="AC93" t="s">
        <v>274</v>
      </c>
      <c r="AD93" t="s">
        <v>1844</v>
      </c>
      <c r="AE93" t="s">
        <v>1845</v>
      </c>
      <c r="AF93" t="s">
        <v>1846</v>
      </c>
      <c r="AG93" s="14" t="s">
        <v>1847</v>
      </c>
      <c r="AH93" t="s">
        <v>1848</v>
      </c>
      <c r="AI93" t="s">
        <v>1849</v>
      </c>
      <c r="AJ93" t="s">
        <v>1849</v>
      </c>
      <c r="AK93" t="s">
        <v>1850</v>
      </c>
      <c r="AL93" t="s">
        <v>1851</v>
      </c>
      <c r="AM93" t="s">
        <v>1486</v>
      </c>
      <c r="AN93" t="s">
        <v>1852</v>
      </c>
      <c r="AO93" t="s">
        <v>1853</v>
      </c>
      <c r="AP93" t="s">
        <v>1853</v>
      </c>
      <c r="AQ93" t="s">
        <v>1854</v>
      </c>
      <c r="AR93" t="s">
        <v>1855</v>
      </c>
      <c r="AS93" t="s">
        <v>1855</v>
      </c>
      <c r="AT93" t="s">
        <v>1855</v>
      </c>
      <c r="AU93" t="s">
        <v>1855</v>
      </c>
      <c r="AV93" t="s">
        <v>1856</v>
      </c>
      <c r="AW93" t="s">
        <v>1857</v>
      </c>
      <c r="AX93" t="s">
        <v>1858</v>
      </c>
      <c r="AY93" t="s">
        <v>1859</v>
      </c>
      <c r="AZ93" t="s">
        <v>1846</v>
      </c>
      <c r="BA93" t="s">
        <v>1835</v>
      </c>
      <c r="BB93" t="s">
        <v>1835</v>
      </c>
      <c r="BC93" t="s">
        <v>1835</v>
      </c>
      <c r="BD93" t="s">
        <v>1845</v>
      </c>
      <c r="BE93" t="s">
        <v>1845</v>
      </c>
      <c r="BF93" t="s">
        <v>1845</v>
      </c>
      <c r="BG93" t="s">
        <v>1860</v>
      </c>
      <c r="BH93" t="s">
        <v>274</v>
      </c>
      <c r="BI93" t="s">
        <v>274</v>
      </c>
      <c r="BJ93" t="s">
        <v>1861</v>
      </c>
      <c r="BK93" t="s">
        <v>1845</v>
      </c>
      <c r="BL93" t="s">
        <v>1845</v>
      </c>
      <c r="BM93" t="s">
        <v>1845</v>
      </c>
      <c r="BN93" t="s">
        <v>1862</v>
      </c>
      <c r="BO93" t="s">
        <v>1650</v>
      </c>
      <c r="BP93" t="s">
        <v>1863</v>
      </c>
      <c r="BQ93" t="s">
        <v>274</v>
      </c>
      <c r="BR93" t="s">
        <v>274</v>
      </c>
    </row>
    <row r="94" spans="1:70" x14ac:dyDescent="0.3">
      <c r="A94" t="s">
        <v>90</v>
      </c>
      <c r="B94" t="s">
        <v>1864</v>
      </c>
      <c r="C94" t="s">
        <v>578</v>
      </c>
      <c r="D94" t="s">
        <v>579</v>
      </c>
      <c r="E94" t="s">
        <v>274</v>
      </c>
      <c r="F94" t="s">
        <v>274</v>
      </c>
      <c r="G94" t="s">
        <v>274</v>
      </c>
      <c r="H94" t="s">
        <v>274</v>
      </c>
      <c r="I94" t="s">
        <v>274</v>
      </c>
      <c r="J94" t="s">
        <v>274</v>
      </c>
      <c r="K94" t="s">
        <v>274</v>
      </c>
      <c r="L94" t="s">
        <v>274</v>
      </c>
      <c r="M94" t="s">
        <v>274</v>
      </c>
      <c r="N94" t="s">
        <v>274</v>
      </c>
      <c r="O94" t="s">
        <v>274</v>
      </c>
      <c r="P94" t="s">
        <v>274</v>
      </c>
      <c r="Q94" t="s">
        <v>274</v>
      </c>
      <c r="R94" t="s">
        <v>274</v>
      </c>
      <c r="S94" t="s">
        <v>274</v>
      </c>
      <c r="T94" t="s">
        <v>274</v>
      </c>
      <c r="U94" t="s">
        <v>274</v>
      </c>
      <c r="V94" t="s">
        <v>274</v>
      </c>
      <c r="W94" t="s">
        <v>274</v>
      </c>
      <c r="X94" t="s">
        <v>274</v>
      </c>
      <c r="Y94" t="s">
        <v>274</v>
      </c>
      <c r="Z94" t="s">
        <v>274</v>
      </c>
      <c r="AA94" t="s">
        <v>274</v>
      </c>
      <c r="AB94" t="s">
        <v>274</v>
      </c>
      <c r="AC94" t="s">
        <v>274</v>
      </c>
      <c r="AD94" t="s">
        <v>274</v>
      </c>
      <c r="AE94" t="s">
        <v>274</v>
      </c>
      <c r="AF94" t="s">
        <v>274</v>
      </c>
      <c r="AG94" s="14" t="s">
        <v>274</v>
      </c>
      <c r="AH94" t="s">
        <v>274</v>
      </c>
      <c r="AI94" t="s">
        <v>274</v>
      </c>
      <c r="AJ94" t="s">
        <v>274</v>
      </c>
      <c r="AK94" t="s">
        <v>274</v>
      </c>
      <c r="AL94" t="s">
        <v>274</v>
      </c>
      <c r="AM94" t="s">
        <v>274</v>
      </c>
      <c r="AN94" t="s">
        <v>274</v>
      </c>
      <c r="AO94" t="s">
        <v>274</v>
      </c>
      <c r="AP94" t="s">
        <v>274</v>
      </c>
      <c r="AQ94" t="s">
        <v>274</v>
      </c>
      <c r="AR94" t="s">
        <v>274</v>
      </c>
      <c r="AS94" t="s">
        <v>274</v>
      </c>
      <c r="AT94" t="s">
        <v>274</v>
      </c>
      <c r="AU94" t="s">
        <v>274</v>
      </c>
      <c r="AV94" t="s">
        <v>274</v>
      </c>
      <c r="AW94" t="s">
        <v>274</v>
      </c>
      <c r="AX94" t="s">
        <v>1865</v>
      </c>
      <c r="AY94" t="s">
        <v>904</v>
      </c>
      <c r="AZ94" t="s">
        <v>905</v>
      </c>
      <c r="BA94" t="s">
        <v>906</v>
      </c>
      <c r="BB94" t="s">
        <v>907</v>
      </c>
      <c r="BC94" t="s">
        <v>908</v>
      </c>
      <c r="BD94" t="s">
        <v>909</v>
      </c>
      <c r="BE94" t="s">
        <v>910</v>
      </c>
      <c r="BF94" t="s">
        <v>911</v>
      </c>
      <c r="BG94" t="s">
        <v>912</v>
      </c>
      <c r="BH94" t="s">
        <v>913</v>
      </c>
      <c r="BI94" t="s">
        <v>914</v>
      </c>
      <c r="BJ94" t="s">
        <v>1400</v>
      </c>
      <c r="BK94" t="s">
        <v>274</v>
      </c>
      <c r="BL94" t="s">
        <v>274</v>
      </c>
      <c r="BM94" t="s">
        <v>274</v>
      </c>
      <c r="BN94" t="s">
        <v>274</v>
      </c>
      <c r="BO94" t="s">
        <v>274</v>
      </c>
      <c r="BP94" t="s">
        <v>274</v>
      </c>
      <c r="BQ94" t="s">
        <v>274</v>
      </c>
      <c r="BR94" t="s">
        <v>274</v>
      </c>
    </row>
    <row r="95" spans="1:70" x14ac:dyDescent="0.3">
      <c r="A95" t="s">
        <v>212</v>
      </c>
      <c r="B95" t="s">
        <v>1866</v>
      </c>
      <c r="C95" t="s">
        <v>578</v>
      </c>
      <c r="D95" t="s">
        <v>579</v>
      </c>
      <c r="E95" t="s">
        <v>274</v>
      </c>
      <c r="F95" t="s">
        <v>274</v>
      </c>
      <c r="G95" t="s">
        <v>274</v>
      </c>
      <c r="H95" t="s">
        <v>274</v>
      </c>
      <c r="I95" t="s">
        <v>274</v>
      </c>
      <c r="J95" t="s">
        <v>274</v>
      </c>
      <c r="K95" t="s">
        <v>274</v>
      </c>
      <c r="L95" t="s">
        <v>274</v>
      </c>
      <c r="M95" t="s">
        <v>274</v>
      </c>
      <c r="N95" t="s">
        <v>274</v>
      </c>
      <c r="O95" t="s">
        <v>274</v>
      </c>
      <c r="P95" t="s">
        <v>274</v>
      </c>
      <c r="Q95" t="s">
        <v>274</v>
      </c>
      <c r="R95" t="s">
        <v>274</v>
      </c>
      <c r="S95" t="s">
        <v>274</v>
      </c>
      <c r="T95" t="s">
        <v>274</v>
      </c>
      <c r="U95" t="s">
        <v>274</v>
      </c>
      <c r="V95" t="s">
        <v>274</v>
      </c>
      <c r="W95" t="s">
        <v>274</v>
      </c>
      <c r="X95" t="s">
        <v>274</v>
      </c>
      <c r="Y95" t="s">
        <v>274</v>
      </c>
      <c r="Z95" t="s">
        <v>274</v>
      </c>
      <c r="AA95" t="s">
        <v>274</v>
      </c>
      <c r="AB95" t="s">
        <v>274</v>
      </c>
      <c r="AC95" t="s">
        <v>274</v>
      </c>
      <c r="AD95" t="s">
        <v>274</v>
      </c>
      <c r="AE95" t="s">
        <v>274</v>
      </c>
      <c r="AF95" t="s">
        <v>274</v>
      </c>
      <c r="AG95" s="14" t="s">
        <v>274</v>
      </c>
      <c r="AH95" t="s">
        <v>274</v>
      </c>
      <c r="AI95" t="s">
        <v>274</v>
      </c>
      <c r="AJ95" t="s">
        <v>274</v>
      </c>
      <c r="AK95" t="s">
        <v>274</v>
      </c>
      <c r="AL95" t="s">
        <v>274</v>
      </c>
      <c r="AM95" t="s">
        <v>274</v>
      </c>
      <c r="AN95" t="s">
        <v>274</v>
      </c>
      <c r="AO95" t="s">
        <v>274</v>
      </c>
      <c r="AP95" t="s">
        <v>274</v>
      </c>
      <c r="AQ95" t="s">
        <v>274</v>
      </c>
      <c r="AR95" t="s">
        <v>274</v>
      </c>
      <c r="AS95" t="s">
        <v>274</v>
      </c>
      <c r="AT95" t="s">
        <v>274</v>
      </c>
      <c r="AU95" t="s">
        <v>274</v>
      </c>
      <c r="AV95" t="s">
        <v>274</v>
      </c>
      <c r="AW95" t="s">
        <v>274</v>
      </c>
      <c r="AX95" t="s">
        <v>274</v>
      </c>
      <c r="AY95" t="s">
        <v>274</v>
      </c>
      <c r="AZ95" t="s">
        <v>274</v>
      </c>
      <c r="BA95" t="s">
        <v>274</v>
      </c>
      <c r="BB95" t="s">
        <v>274</v>
      </c>
      <c r="BC95" t="s">
        <v>274</v>
      </c>
      <c r="BD95" t="s">
        <v>274</v>
      </c>
      <c r="BE95" t="s">
        <v>274</v>
      </c>
      <c r="BF95" t="s">
        <v>274</v>
      </c>
      <c r="BG95" t="s">
        <v>274</v>
      </c>
      <c r="BH95" t="s">
        <v>274</v>
      </c>
      <c r="BI95" t="s">
        <v>274</v>
      </c>
      <c r="BJ95" t="s">
        <v>274</v>
      </c>
      <c r="BK95" t="s">
        <v>274</v>
      </c>
      <c r="BL95" t="s">
        <v>274</v>
      </c>
      <c r="BM95" t="s">
        <v>274</v>
      </c>
      <c r="BN95" t="s">
        <v>274</v>
      </c>
      <c r="BO95" t="s">
        <v>274</v>
      </c>
      <c r="BP95" t="s">
        <v>274</v>
      </c>
      <c r="BQ95" t="s">
        <v>274</v>
      </c>
      <c r="BR95" t="s">
        <v>274</v>
      </c>
    </row>
    <row r="96" spans="1:70" x14ac:dyDescent="0.3">
      <c r="A96" t="s">
        <v>91</v>
      </c>
      <c r="B96" t="s">
        <v>1867</v>
      </c>
      <c r="C96" t="s">
        <v>578</v>
      </c>
      <c r="D96" t="s">
        <v>579</v>
      </c>
      <c r="E96" t="s">
        <v>274</v>
      </c>
      <c r="F96" t="s">
        <v>274</v>
      </c>
      <c r="G96" t="s">
        <v>274</v>
      </c>
      <c r="H96" t="s">
        <v>274</v>
      </c>
      <c r="I96" t="s">
        <v>274</v>
      </c>
      <c r="J96" t="s">
        <v>274</v>
      </c>
      <c r="K96" t="s">
        <v>274</v>
      </c>
      <c r="L96" t="s">
        <v>274</v>
      </c>
      <c r="M96" t="s">
        <v>274</v>
      </c>
      <c r="N96" t="s">
        <v>274</v>
      </c>
      <c r="O96" t="s">
        <v>274</v>
      </c>
      <c r="P96" t="s">
        <v>274</v>
      </c>
      <c r="Q96" t="s">
        <v>274</v>
      </c>
      <c r="R96" t="s">
        <v>274</v>
      </c>
      <c r="S96" t="s">
        <v>274</v>
      </c>
      <c r="T96" t="s">
        <v>274</v>
      </c>
      <c r="U96" t="s">
        <v>274</v>
      </c>
      <c r="V96" t="s">
        <v>274</v>
      </c>
      <c r="W96" t="s">
        <v>274</v>
      </c>
      <c r="X96" t="s">
        <v>274</v>
      </c>
      <c r="Y96" t="s">
        <v>274</v>
      </c>
      <c r="Z96" t="s">
        <v>274</v>
      </c>
      <c r="AA96" t="s">
        <v>274</v>
      </c>
      <c r="AB96" t="s">
        <v>274</v>
      </c>
      <c r="AC96" t="s">
        <v>274</v>
      </c>
      <c r="AD96" t="s">
        <v>274</v>
      </c>
      <c r="AE96" t="s">
        <v>274</v>
      </c>
      <c r="AF96" t="s">
        <v>274</v>
      </c>
      <c r="AG96" s="14" t="s">
        <v>274</v>
      </c>
      <c r="AH96" t="s">
        <v>274</v>
      </c>
      <c r="AI96" t="s">
        <v>274</v>
      </c>
      <c r="AJ96" t="s">
        <v>274</v>
      </c>
      <c r="AK96" t="s">
        <v>274</v>
      </c>
      <c r="AL96" t="s">
        <v>274</v>
      </c>
      <c r="AM96" t="s">
        <v>274</v>
      </c>
      <c r="AN96" t="s">
        <v>274</v>
      </c>
      <c r="AO96" t="s">
        <v>274</v>
      </c>
      <c r="AP96" t="s">
        <v>274</v>
      </c>
      <c r="AQ96" t="s">
        <v>274</v>
      </c>
      <c r="AR96" t="s">
        <v>274</v>
      </c>
      <c r="AS96" t="s">
        <v>274</v>
      </c>
      <c r="AT96" t="s">
        <v>274</v>
      </c>
      <c r="AU96" t="s">
        <v>274</v>
      </c>
      <c r="AV96" t="s">
        <v>274</v>
      </c>
      <c r="AW96" t="s">
        <v>274</v>
      </c>
      <c r="AX96" t="s">
        <v>274</v>
      </c>
      <c r="AY96" t="s">
        <v>274</v>
      </c>
      <c r="AZ96" t="s">
        <v>274</v>
      </c>
      <c r="BA96" t="s">
        <v>274</v>
      </c>
      <c r="BB96" t="s">
        <v>274</v>
      </c>
      <c r="BC96" t="s">
        <v>274</v>
      </c>
      <c r="BD96" t="s">
        <v>274</v>
      </c>
      <c r="BE96" t="s">
        <v>274</v>
      </c>
      <c r="BF96" t="s">
        <v>274</v>
      </c>
      <c r="BG96" t="s">
        <v>274</v>
      </c>
      <c r="BH96" t="s">
        <v>274</v>
      </c>
      <c r="BI96" t="s">
        <v>274</v>
      </c>
      <c r="BJ96" t="s">
        <v>274</v>
      </c>
      <c r="BK96" t="s">
        <v>274</v>
      </c>
      <c r="BL96" t="s">
        <v>274</v>
      </c>
      <c r="BM96" t="s">
        <v>274</v>
      </c>
      <c r="BN96" t="s">
        <v>274</v>
      </c>
      <c r="BO96" t="s">
        <v>274</v>
      </c>
      <c r="BP96" t="s">
        <v>274</v>
      </c>
      <c r="BQ96" t="s">
        <v>274</v>
      </c>
      <c r="BR96" t="s">
        <v>274</v>
      </c>
    </row>
    <row r="97" spans="1:70" x14ac:dyDescent="0.3">
      <c r="A97" t="s">
        <v>92</v>
      </c>
      <c r="B97" t="s">
        <v>1868</v>
      </c>
      <c r="C97" t="s">
        <v>578</v>
      </c>
      <c r="D97" t="s">
        <v>579</v>
      </c>
      <c r="E97" t="s">
        <v>274</v>
      </c>
      <c r="F97" t="s">
        <v>274</v>
      </c>
      <c r="G97" t="s">
        <v>274</v>
      </c>
      <c r="H97" t="s">
        <v>274</v>
      </c>
      <c r="I97" t="s">
        <v>274</v>
      </c>
      <c r="J97" t="s">
        <v>274</v>
      </c>
      <c r="K97" t="s">
        <v>274</v>
      </c>
      <c r="L97" t="s">
        <v>274</v>
      </c>
      <c r="M97" t="s">
        <v>274</v>
      </c>
      <c r="N97" t="s">
        <v>274</v>
      </c>
      <c r="O97" t="s">
        <v>274</v>
      </c>
      <c r="P97" t="s">
        <v>274</v>
      </c>
      <c r="Q97" t="s">
        <v>274</v>
      </c>
      <c r="R97" t="s">
        <v>274</v>
      </c>
      <c r="S97" t="s">
        <v>274</v>
      </c>
      <c r="T97" t="s">
        <v>274</v>
      </c>
      <c r="U97" t="s">
        <v>274</v>
      </c>
      <c r="V97" t="s">
        <v>274</v>
      </c>
      <c r="W97" t="s">
        <v>274</v>
      </c>
      <c r="X97" t="s">
        <v>274</v>
      </c>
      <c r="Y97" t="s">
        <v>274</v>
      </c>
      <c r="Z97" t="s">
        <v>274</v>
      </c>
      <c r="AA97" t="s">
        <v>1869</v>
      </c>
      <c r="AB97" t="s">
        <v>1869</v>
      </c>
      <c r="AC97" t="s">
        <v>1869</v>
      </c>
      <c r="AD97" t="s">
        <v>1870</v>
      </c>
      <c r="AE97" t="s">
        <v>1871</v>
      </c>
      <c r="AF97" t="s">
        <v>1872</v>
      </c>
      <c r="AG97" s="14" t="s">
        <v>1869</v>
      </c>
      <c r="AH97" t="s">
        <v>1869</v>
      </c>
      <c r="AI97" t="s">
        <v>1869</v>
      </c>
      <c r="AJ97" t="s">
        <v>1873</v>
      </c>
      <c r="AK97" t="s">
        <v>1874</v>
      </c>
      <c r="AL97" t="s">
        <v>1875</v>
      </c>
      <c r="AM97" t="s">
        <v>1876</v>
      </c>
      <c r="AN97" t="s">
        <v>1877</v>
      </c>
      <c r="AO97" t="s">
        <v>1878</v>
      </c>
      <c r="AP97" t="s">
        <v>1879</v>
      </c>
      <c r="AQ97" t="s">
        <v>1880</v>
      </c>
      <c r="AR97" t="s">
        <v>1881</v>
      </c>
      <c r="AS97" t="s">
        <v>1882</v>
      </c>
      <c r="AT97" t="s">
        <v>1883</v>
      </c>
      <c r="AU97" t="s">
        <v>1884</v>
      </c>
      <c r="AV97" t="s">
        <v>1885</v>
      </c>
      <c r="AW97" t="s">
        <v>1886</v>
      </c>
      <c r="AX97" t="s">
        <v>1887</v>
      </c>
      <c r="AY97" t="s">
        <v>1888</v>
      </c>
      <c r="AZ97" t="s">
        <v>1889</v>
      </c>
      <c r="BA97" t="s">
        <v>1890</v>
      </c>
      <c r="BB97" t="s">
        <v>1891</v>
      </c>
      <c r="BC97" t="s">
        <v>1892</v>
      </c>
      <c r="BD97" t="s">
        <v>1893</v>
      </c>
      <c r="BE97" t="s">
        <v>1894</v>
      </c>
      <c r="BF97" t="s">
        <v>1895</v>
      </c>
      <c r="BG97" t="s">
        <v>1896</v>
      </c>
      <c r="BH97" t="s">
        <v>1897</v>
      </c>
      <c r="BI97" t="s">
        <v>1898</v>
      </c>
      <c r="BJ97" t="s">
        <v>1899</v>
      </c>
      <c r="BK97" t="s">
        <v>1900</v>
      </c>
      <c r="BL97" t="s">
        <v>1901</v>
      </c>
      <c r="BM97" t="s">
        <v>1902</v>
      </c>
      <c r="BN97" t="s">
        <v>1903</v>
      </c>
      <c r="BO97" t="s">
        <v>1904</v>
      </c>
      <c r="BP97" t="s">
        <v>1905</v>
      </c>
      <c r="BQ97" t="s">
        <v>1906</v>
      </c>
      <c r="BR97" t="s">
        <v>274</v>
      </c>
    </row>
    <row r="98" spans="1:70" x14ac:dyDescent="0.3">
      <c r="A98" t="s">
        <v>243</v>
      </c>
      <c r="B98" t="s">
        <v>1907</v>
      </c>
      <c r="C98" t="s">
        <v>578</v>
      </c>
      <c r="D98" t="s">
        <v>579</v>
      </c>
      <c r="E98" t="s">
        <v>274</v>
      </c>
      <c r="F98" t="s">
        <v>274</v>
      </c>
      <c r="G98" t="s">
        <v>274</v>
      </c>
      <c r="H98" t="s">
        <v>274</v>
      </c>
      <c r="I98" t="s">
        <v>274</v>
      </c>
      <c r="J98" t="s">
        <v>274</v>
      </c>
      <c r="K98" t="s">
        <v>274</v>
      </c>
      <c r="L98" t="s">
        <v>274</v>
      </c>
      <c r="M98" t="s">
        <v>274</v>
      </c>
      <c r="N98" t="s">
        <v>274</v>
      </c>
      <c r="O98" t="s">
        <v>274</v>
      </c>
      <c r="P98" t="s">
        <v>274</v>
      </c>
      <c r="Q98" t="s">
        <v>274</v>
      </c>
      <c r="R98" t="s">
        <v>274</v>
      </c>
      <c r="S98" t="s">
        <v>274</v>
      </c>
      <c r="T98" t="s">
        <v>274</v>
      </c>
      <c r="U98" t="s">
        <v>274</v>
      </c>
      <c r="V98" t="s">
        <v>274</v>
      </c>
      <c r="W98" t="s">
        <v>274</v>
      </c>
      <c r="X98" t="s">
        <v>274</v>
      </c>
      <c r="Y98" t="s">
        <v>274</v>
      </c>
      <c r="Z98" t="s">
        <v>274</v>
      </c>
      <c r="AA98" t="s">
        <v>274</v>
      </c>
      <c r="AB98" t="s">
        <v>274</v>
      </c>
      <c r="AC98" t="s">
        <v>274</v>
      </c>
      <c r="AD98" t="s">
        <v>274</v>
      </c>
      <c r="AE98" t="s">
        <v>274</v>
      </c>
      <c r="AF98" t="s">
        <v>274</v>
      </c>
      <c r="AG98" s="14" t="s">
        <v>274</v>
      </c>
      <c r="AH98" t="s">
        <v>274</v>
      </c>
      <c r="AI98" t="s">
        <v>274</v>
      </c>
      <c r="AJ98" t="s">
        <v>274</v>
      </c>
      <c r="AK98" t="s">
        <v>274</v>
      </c>
      <c r="AL98" t="s">
        <v>274</v>
      </c>
      <c r="AM98" t="s">
        <v>274</v>
      </c>
      <c r="AN98" t="s">
        <v>274</v>
      </c>
      <c r="AO98" t="s">
        <v>274</v>
      </c>
      <c r="AP98" t="s">
        <v>274</v>
      </c>
      <c r="AQ98" t="s">
        <v>274</v>
      </c>
      <c r="AR98" t="s">
        <v>274</v>
      </c>
      <c r="AS98" t="s">
        <v>274</v>
      </c>
      <c r="AT98" t="s">
        <v>274</v>
      </c>
      <c r="AU98" t="s">
        <v>274</v>
      </c>
      <c r="AV98" t="s">
        <v>274</v>
      </c>
      <c r="AW98" t="s">
        <v>274</v>
      </c>
      <c r="AX98" t="s">
        <v>274</v>
      </c>
      <c r="AY98" t="s">
        <v>274</v>
      </c>
      <c r="AZ98" t="s">
        <v>274</v>
      </c>
      <c r="BA98" t="s">
        <v>274</v>
      </c>
      <c r="BB98" t="s">
        <v>274</v>
      </c>
      <c r="BC98" t="s">
        <v>274</v>
      </c>
      <c r="BD98" t="s">
        <v>274</v>
      </c>
      <c r="BE98" t="s">
        <v>274</v>
      </c>
      <c r="BF98" t="s">
        <v>274</v>
      </c>
      <c r="BG98" t="s">
        <v>274</v>
      </c>
      <c r="BH98" t="s">
        <v>274</v>
      </c>
      <c r="BI98" t="s">
        <v>274</v>
      </c>
      <c r="BJ98" t="s">
        <v>274</v>
      </c>
      <c r="BK98" t="s">
        <v>274</v>
      </c>
      <c r="BL98" t="s">
        <v>274</v>
      </c>
      <c r="BM98" t="s">
        <v>274</v>
      </c>
      <c r="BN98" t="s">
        <v>274</v>
      </c>
      <c r="BO98" t="s">
        <v>274</v>
      </c>
      <c r="BP98" t="s">
        <v>274</v>
      </c>
      <c r="BQ98" t="s">
        <v>274</v>
      </c>
      <c r="BR98" t="s">
        <v>274</v>
      </c>
    </row>
    <row r="99" spans="1:70" x14ac:dyDescent="0.3">
      <c r="A99" t="s">
        <v>93</v>
      </c>
      <c r="B99" t="s">
        <v>1908</v>
      </c>
      <c r="C99" t="s">
        <v>578</v>
      </c>
      <c r="D99" t="s">
        <v>579</v>
      </c>
      <c r="E99" t="s">
        <v>274</v>
      </c>
      <c r="F99" t="s">
        <v>274</v>
      </c>
      <c r="G99" t="s">
        <v>274</v>
      </c>
      <c r="H99" t="s">
        <v>274</v>
      </c>
      <c r="I99" t="s">
        <v>274</v>
      </c>
      <c r="J99" t="s">
        <v>274</v>
      </c>
      <c r="K99" t="s">
        <v>274</v>
      </c>
      <c r="L99" t="s">
        <v>274</v>
      </c>
      <c r="M99" t="s">
        <v>274</v>
      </c>
      <c r="N99" t="s">
        <v>274</v>
      </c>
      <c r="O99" t="s">
        <v>274</v>
      </c>
      <c r="P99" t="s">
        <v>274</v>
      </c>
      <c r="Q99" t="s">
        <v>274</v>
      </c>
      <c r="R99" t="s">
        <v>274</v>
      </c>
      <c r="S99" t="s">
        <v>274</v>
      </c>
      <c r="T99" t="s">
        <v>274</v>
      </c>
      <c r="U99" t="s">
        <v>274</v>
      </c>
      <c r="V99" t="s">
        <v>274</v>
      </c>
      <c r="W99" t="s">
        <v>274</v>
      </c>
      <c r="X99" t="s">
        <v>274</v>
      </c>
      <c r="Y99" t="s">
        <v>274</v>
      </c>
      <c r="Z99" t="s">
        <v>274</v>
      </c>
      <c r="AA99" t="s">
        <v>274</v>
      </c>
      <c r="AB99" t="s">
        <v>274</v>
      </c>
      <c r="AC99" t="s">
        <v>274</v>
      </c>
      <c r="AD99" t="s">
        <v>274</v>
      </c>
      <c r="AE99" t="s">
        <v>274</v>
      </c>
      <c r="AF99" t="s">
        <v>274</v>
      </c>
      <c r="AG99" s="14" t="s">
        <v>274</v>
      </c>
      <c r="AH99" t="s">
        <v>274</v>
      </c>
      <c r="AI99" t="s">
        <v>274</v>
      </c>
      <c r="AJ99" t="s">
        <v>274</v>
      </c>
      <c r="AK99" t="s">
        <v>274</v>
      </c>
      <c r="AL99" t="s">
        <v>274</v>
      </c>
      <c r="AM99" t="s">
        <v>274</v>
      </c>
      <c r="AN99" t="s">
        <v>274</v>
      </c>
      <c r="AO99" t="s">
        <v>274</v>
      </c>
      <c r="AP99" t="s">
        <v>1909</v>
      </c>
      <c r="AQ99" t="s">
        <v>1910</v>
      </c>
      <c r="AR99" t="s">
        <v>1911</v>
      </c>
      <c r="AS99" t="s">
        <v>1912</v>
      </c>
      <c r="AT99" t="s">
        <v>1913</v>
      </c>
      <c r="AU99" t="s">
        <v>1914</v>
      </c>
      <c r="AV99" t="s">
        <v>1915</v>
      </c>
      <c r="AW99" t="s">
        <v>1916</v>
      </c>
      <c r="AX99" t="s">
        <v>1917</v>
      </c>
      <c r="AY99" t="s">
        <v>1918</v>
      </c>
      <c r="AZ99" t="s">
        <v>1919</v>
      </c>
      <c r="BA99" t="s">
        <v>1920</v>
      </c>
      <c r="BB99" t="s">
        <v>1921</v>
      </c>
      <c r="BC99" t="s">
        <v>1922</v>
      </c>
      <c r="BD99" t="s">
        <v>1923</v>
      </c>
      <c r="BE99" t="s">
        <v>1924</v>
      </c>
      <c r="BF99" t="s">
        <v>1925</v>
      </c>
      <c r="BG99" t="s">
        <v>1926</v>
      </c>
      <c r="BH99" t="s">
        <v>1927</v>
      </c>
      <c r="BI99" t="s">
        <v>1928</v>
      </c>
      <c r="BJ99" t="s">
        <v>1929</v>
      </c>
      <c r="BK99" t="s">
        <v>1930</v>
      </c>
      <c r="BL99" t="s">
        <v>1931</v>
      </c>
      <c r="BM99" t="s">
        <v>1932</v>
      </c>
      <c r="BN99" t="s">
        <v>1933</v>
      </c>
      <c r="BO99" t="s">
        <v>1934</v>
      </c>
      <c r="BP99" t="s">
        <v>1935</v>
      </c>
      <c r="BQ99" t="s">
        <v>1936</v>
      </c>
      <c r="BR99" t="s">
        <v>274</v>
      </c>
    </row>
    <row r="100" spans="1:70" x14ac:dyDescent="0.3">
      <c r="A100" t="s">
        <v>1937</v>
      </c>
      <c r="B100" t="s">
        <v>1938</v>
      </c>
      <c r="C100" t="s">
        <v>578</v>
      </c>
      <c r="D100" t="s">
        <v>579</v>
      </c>
      <c r="E100" t="s">
        <v>274</v>
      </c>
      <c r="F100" t="s">
        <v>274</v>
      </c>
      <c r="G100" t="s">
        <v>274</v>
      </c>
      <c r="H100" t="s">
        <v>274</v>
      </c>
      <c r="I100" t="s">
        <v>274</v>
      </c>
      <c r="J100" t="s">
        <v>274</v>
      </c>
      <c r="K100" t="s">
        <v>274</v>
      </c>
      <c r="L100" t="s">
        <v>274</v>
      </c>
      <c r="M100" t="s">
        <v>274</v>
      </c>
      <c r="N100" t="s">
        <v>274</v>
      </c>
      <c r="O100" t="s">
        <v>274</v>
      </c>
      <c r="P100" t="s">
        <v>274</v>
      </c>
      <c r="Q100" t="s">
        <v>274</v>
      </c>
      <c r="R100" t="s">
        <v>274</v>
      </c>
      <c r="S100" t="s">
        <v>274</v>
      </c>
      <c r="T100" t="s">
        <v>274</v>
      </c>
      <c r="U100" t="s">
        <v>274</v>
      </c>
      <c r="V100" t="s">
        <v>274</v>
      </c>
      <c r="W100" t="s">
        <v>274</v>
      </c>
      <c r="X100" t="s">
        <v>274</v>
      </c>
      <c r="Y100" t="s">
        <v>274</v>
      </c>
      <c r="Z100" t="s">
        <v>274</v>
      </c>
      <c r="AA100" t="s">
        <v>274</v>
      </c>
      <c r="AB100" t="s">
        <v>274</v>
      </c>
      <c r="AC100" t="s">
        <v>274</v>
      </c>
      <c r="AD100" t="s">
        <v>274</v>
      </c>
      <c r="AE100" t="s">
        <v>274</v>
      </c>
      <c r="AF100" t="s">
        <v>274</v>
      </c>
      <c r="AG100" s="14" t="s">
        <v>274</v>
      </c>
      <c r="AH100" t="s">
        <v>274</v>
      </c>
      <c r="AI100" t="s">
        <v>274</v>
      </c>
      <c r="AJ100" t="s">
        <v>274</v>
      </c>
      <c r="AK100" t="s">
        <v>274</v>
      </c>
      <c r="AL100" t="s">
        <v>274</v>
      </c>
      <c r="AM100" t="s">
        <v>274</v>
      </c>
      <c r="AN100" t="s">
        <v>274</v>
      </c>
      <c r="AO100" t="s">
        <v>274</v>
      </c>
      <c r="AP100" t="s">
        <v>274</v>
      </c>
      <c r="AQ100" t="s">
        <v>274</v>
      </c>
      <c r="AR100" t="s">
        <v>274</v>
      </c>
      <c r="AS100" t="s">
        <v>274</v>
      </c>
      <c r="AT100" t="s">
        <v>274</v>
      </c>
      <c r="AU100" t="s">
        <v>274</v>
      </c>
      <c r="AV100" t="s">
        <v>274</v>
      </c>
      <c r="AW100" t="s">
        <v>274</v>
      </c>
      <c r="AX100" t="s">
        <v>274</v>
      </c>
      <c r="AY100" t="s">
        <v>274</v>
      </c>
      <c r="AZ100" t="s">
        <v>274</v>
      </c>
      <c r="BA100" t="s">
        <v>274</v>
      </c>
      <c r="BB100" t="s">
        <v>274</v>
      </c>
      <c r="BC100" t="s">
        <v>274</v>
      </c>
      <c r="BD100" t="s">
        <v>274</v>
      </c>
      <c r="BE100" t="s">
        <v>274</v>
      </c>
      <c r="BF100" t="s">
        <v>274</v>
      </c>
      <c r="BG100" t="s">
        <v>274</v>
      </c>
      <c r="BH100" t="s">
        <v>274</v>
      </c>
      <c r="BI100" t="s">
        <v>274</v>
      </c>
      <c r="BJ100" t="s">
        <v>274</v>
      </c>
      <c r="BK100" t="s">
        <v>274</v>
      </c>
      <c r="BL100" t="s">
        <v>274</v>
      </c>
      <c r="BM100" t="s">
        <v>274</v>
      </c>
      <c r="BN100" t="s">
        <v>274</v>
      </c>
      <c r="BO100" t="s">
        <v>274</v>
      </c>
      <c r="BP100" t="s">
        <v>274</v>
      </c>
      <c r="BQ100" t="s">
        <v>274</v>
      </c>
      <c r="BR100" t="s">
        <v>274</v>
      </c>
    </row>
    <row r="101" spans="1:70" x14ac:dyDescent="0.3">
      <c r="A101" t="s">
        <v>94</v>
      </c>
      <c r="B101" t="s">
        <v>1939</v>
      </c>
      <c r="C101" t="s">
        <v>578</v>
      </c>
      <c r="D101" t="s">
        <v>579</v>
      </c>
      <c r="E101" t="s">
        <v>274</v>
      </c>
      <c r="F101" t="s">
        <v>274</v>
      </c>
      <c r="G101" t="s">
        <v>274</v>
      </c>
      <c r="H101" t="s">
        <v>274</v>
      </c>
      <c r="I101" t="s">
        <v>274</v>
      </c>
      <c r="J101" t="s">
        <v>274</v>
      </c>
      <c r="K101" t="s">
        <v>274</v>
      </c>
      <c r="L101" t="s">
        <v>274</v>
      </c>
      <c r="M101" t="s">
        <v>274</v>
      </c>
      <c r="N101" t="s">
        <v>274</v>
      </c>
      <c r="O101" t="s">
        <v>274</v>
      </c>
      <c r="P101" t="s">
        <v>274</v>
      </c>
      <c r="Q101" t="s">
        <v>274</v>
      </c>
      <c r="R101" t="s">
        <v>274</v>
      </c>
      <c r="S101" t="s">
        <v>274</v>
      </c>
      <c r="T101" t="s">
        <v>274</v>
      </c>
      <c r="U101" t="s">
        <v>274</v>
      </c>
      <c r="V101" t="s">
        <v>274</v>
      </c>
      <c r="W101" t="s">
        <v>274</v>
      </c>
      <c r="X101" t="s">
        <v>274</v>
      </c>
      <c r="Y101" t="s">
        <v>274</v>
      </c>
      <c r="Z101" t="s">
        <v>1940</v>
      </c>
      <c r="AA101" t="s">
        <v>1941</v>
      </c>
      <c r="AB101" t="s">
        <v>616</v>
      </c>
      <c r="AC101" t="s">
        <v>616</v>
      </c>
      <c r="AD101" t="s">
        <v>616</v>
      </c>
      <c r="AE101" t="s">
        <v>616</v>
      </c>
      <c r="AF101" t="s">
        <v>616</v>
      </c>
      <c r="AG101" s="14" t="s">
        <v>1942</v>
      </c>
      <c r="AH101" t="s">
        <v>1943</v>
      </c>
      <c r="AI101" t="s">
        <v>1944</v>
      </c>
      <c r="AJ101" t="s">
        <v>1945</v>
      </c>
      <c r="AK101" t="s">
        <v>1946</v>
      </c>
      <c r="AL101" t="s">
        <v>1947</v>
      </c>
      <c r="AM101" t="s">
        <v>1948</v>
      </c>
      <c r="AN101" t="s">
        <v>1949</v>
      </c>
      <c r="AO101" t="s">
        <v>1950</v>
      </c>
      <c r="AP101" t="s">
        <v>1951</v>
      </c>
      <c r="AQ101" t="s">
        <v>1952</v>
      </c>
      <c r="AR101" t="s">
        <v>1953</v>
      </c>
      <c r="AS101" t="s">
        <v>1954</v>
      </c>
      <c r="AT101" t="s">
        <v>1955</v>
      </c>
      <c r="AU101" t="s">
        <v>1956</v>
      </c>
      <c r="AV101" t="s">
        <v>1957</v>
      </c>
      <c r="AW101" t="s">
        <v>1958</v>
      </c>
      <c r="AX101" t="s">
        <v>1959</v>
      </c>
      <c r="AY101" t="s">
        <v>1960</v>
      </c>
      <c r="AZ101" t="s">
        <v>1961</v>
      </c>
      <c r="BA101" t="s">
        <v>1962</v>
      </c>
      <c r="BB101" t="s">
        <v>1963</v>
      </c>
      <c r="BC101" t="s">
        <v>1964</v>
      </c>
      <c r="BD101" t="s">
        <v>1965</v>
      </c>
      <c r="BE101" t="s">
        <v>1966</v>
      </c>
      <c r="BF101" t="s">
        <v>1940</v>
      </c>
      <c r="BG101" t="s">
        <v>1967</v>
      </c>
      <c r="BH101" t="s">
        <v>1968</v>
      </c>
      <c r="BI101" t="s">
        <v>1969</v>
      </c>
      <c r="BJ101" t="s">
        <v>1969</v>
      </c>
      <c r="BK101" t="s">
        <v>1969</v>
      </c>
      <c r="BL101" t="s">
        <v>1970</v>
      </c>
      <c r="BM101" t="s">
        <v>1971</v>
      </c>
      <c r="BN101" t="s">
        <v>1972</v>
      </c>
      <c r="BO101" t="s">
        <v>1973</v>
      </c>
      <c r="BP101" t="s">
        <v>1974</v>
      </c>
      <c r="BQ101" t="s">
        <v>1974</v>
      </c>
      <c r="BR101" t="s">
        <v>274</v>
      </c>
    </row>
    <row r="102" spans="1:70" x14ac:dyDescent="0.3">
      <c r="A102" t="s">
        <v>1975</v>
      </c>
      <c r="B102" t="s">
        <v>1976</v>
      </c>
      <c r="C102" t="s">
        <v>578</v>
      </c>
      <c r="D102" t="s">
        <v>579</v>
      </c>
      <c r="E102" t="s">
        <v>274</v>
      </c>
      <c r="F102" t="s">
        <v>274</v>
      </c>
      <c r="G102" t="s">
        <v>274</v>
      </c>
      <c r="H102" t="s">
        <v>274</v>
      </c>
      <c r="I102" t="s">
        <v>274</v>
      </c>
      <c r="J102" t="s">
        <v>274</v>
      </c>
      <c r="K102" t="s">
        <v>274</v>
      </c>
      <c r="L102" t="s">
        <v>274</v>
      </c>
      <c r="M102" t="s">
        <v>274</v>
      </c>
      <c r="N102" t="s">
        <v>274</v>
      </c>
      <c r="O102" t="s">
        <v>274</v>
      </c>
      <c r="P102" t="s">
        <v>274</v>
      </c>
      <c r="Q102" t="s">
        <v>274</v>
      </c>
      <c r="R102" t="s">
        <v>274</v>
      </c>
      <c r="S102" t="s">
        <v>274</v>
      </c>
      <c r="T102" t="s">
        <v>274</v>
      </c>
      <c r="U102" t="s">
        <v>274</v>
      </c>
      <c r="V102" t="s">
        <v>274</v>
      </c>
      <c r="W102" t="s">
        <v>274</v>
      </c>
      <c r="X102" t="s">
        <v>274</v>
      </c>
      <c r="Y102" t="s">
        <v>274</v>
      </c>
      <c r="Z102" t="s">
        <v>274</v>
      </c>
      <c r="AA102" t="s">
        <v>274</v>
      </c>
      <c r="AB102" t="s">
        <v>274</v>
      </c>
      <c r="AC102" t="s">
        <v>274</v>
      </c>
      <c r="AD102" t="s">
        <v>274</v>
      </c>
      <c r="AE102" t="s">
        <v>274</v>
      </c>
      <c r="AF102" t="s">
        <v>274</v>
      </c>
      <c r="AG102" s="14" t="s">
        <v>274</v>
      </c>
      <c r="AH102" t="s">
        <v>274</v>
      </c>
      <c r="AI102" t="s">
        <v>274</v>
      </c>
      <c r="AJ102" t="s">
        <v>274</v>
      </c>
      <c r="AK102" t="s">
        <v>274</v>
      </c>
      <c r="AL102" t="s">
        <v>274</v>
      </c>
      <c r="AM102" t="s">
        <v>274</v>
      </c>
      <c r="AN102" t="s">
        <v>274</v>
      </c>
      <c r="AO102" t="s">
        <v>274</v>
      </c>
      <c r="AP102" t="s">
        <v>274</v>
      </c>
      <c r="AQ102" t="s">
        <v>274</v>
      </c>
      <c r="AR102" t="s">
        <v>274</v>
      </c>
      <c r="AS102" t="s">
        <v>274</v>
      </c>
      <c r="AT102" t="s">
        <v>274</v>
      </c>
      <c r="AU102" t="s">
        <v>274</v>
      </c>
      <c r="AV102" t="s">
        <v>274</v>
      </c>
      <c r="AW102" t="s">
        <v>274</v>
      </c>
      <c r="AX102" t="s">
        <v>274</v>
      </c>
      <c r="AY102" t="s">
        <v>274</v>
      </c>
      <c r="AZ102" t="s">
        <v>274</v>
      </c>
      <c r="BA102" t="s">
        <v>274</v>
      </c>
      <c r="BB102" t="s">
        <v>274</v>
      </c>
      <c r="BC102" t="s">
        <v>274</v>
      </c>
      <c r="BD102" t="s">
        <v>274</v>
      </c>
      <c r="BE102" t="s">
        <v>274</v>
      </c>
      <c r="BF102" t="s">
        <v>274</v>
      </c>
      <c r="BG102" t="s">
        <v>274</v>
      </c>
      <c r="BH102" t="s">
        <v>274</v>
      </c>
      <c r="BI102" t="s">
        <v>274</v>
      </c>
      <c r="BJ102" t="s">
        <v>274</v>
      </c>
      <c r="BK102" t="s">
        <v>274</v>
      </c>
      <c r="BL102" t="s">
        <v>274</v>
      </c>
      <c r="BM102" t="s">
        <v>274</v>
      </c>
      <c r="BN102" t="s">
        <v>274</v>
      </c>
      <c r="BO102" t="s">
        <v>274</v>
      </c>
      <c r="BP102" t="s">
        <v>274</v>
      </c>
      <c r="BQ102" t="s">
        <v>274</v>
      </c>
      <c r="BR102" t="s">
        <v>274</v>
      </c>
    </row>
    <row r="103" spans="1:70" x14ac:dyDescent="0.3">
      <c r="A103" t="s">
        <v>1977</v>
      </c>
      <c r="B103" t="s">
        <v>1978</v>
      </c>
      <c r="C103" t="s">
        <v>578</v>
      </c>
      <c r="D103" t="s">
        <v>579</v>
      </c>
      <c r="E103" t="s">
        <v>274</v>
      </c>
      <c r="F103" t="s">
        <v>274</v>
      </c>
      <c r="G103" t="s">
        <v>274</v>
      </c>
      <c r="H103" t="s">
        <v>274</v>
      </c>
      <c r="I103" t="s">
        <v>274</v>
      </c>
      <c r="J103" t="s">
        <v>274</v>
      </c>
      <c r="K103" t="s">
        <v>274</v>
      </c>
      <c r="L103" t="s">
        <v>274</v>
      </c>
      <c r="M103" t="s">
        <v>274</v>
      </c>
      <c r="N103" t="s">
        <v>274</v>
      </c>
      <c r="O103" t="s">
        <v>274</v>
      </c>
      <c r="P103" t="s">
        <v>274</v>
      </c>
      <c r="Q103" t="s">
        <v>274</v>
      </c>
      <c r="R103" t="s">
        <v>274</v>
      </c>
      <c r="S103" t="s">
        <v>274</v>
      </c>
      <c r="T103" t="s">
        <v>274</v>
      </c>
      <c r="U103" t="s">
        <v>274</v>
      </c>
      <c r="V103" t="s">
        <v>274</v>
      </c>
      <c r="W103" t="s">
        <v>274</v>
      </c>
      <c r="X103" t="s">
        <v>274</v>
      </c>
      <c r="Y103" t="s">
        <v>274</v>
      </c>
      <c r="Z103" t="s">
        <v>274</v>
      </c>
      <c r="AA103" t="s">
        <v>274</v>
      </c>
      <c r="AB103" t="s">
        <v>274</v>
      </c>
      <c r="AC103" t="s">
        <v>274</v>
      </c>
      <c r="AD103" t="s">
        <v>274</v>
      </c>
      <c r="AE103" t="s">
        <v>274</v>
      </c>
      <c r="AF103" t="s">
        <v>274</v>
      </c>
      <c r="AG103" s="14" t="s">
        <v>274</v>
      </c>
      <c r="AH103" t="s">
        <v>274</v>
      </c>
      <c r="AI103" t="s">
        <v>1212</v>
      </c>
      <c r="AJ103" t="s">
        <v>812</v>
      </c>
      <c r="AK103" t="s">
        <v>1979</v>
      </c>
      <c r="AL103" t="s">
        <v>1230</v>
      </c>
      <c r="AM103" t="s">
        <v>1980</v>
      </c>
      <c r="AN103" t="s">
        <v>1981</v>
      </c>
      <c r="AO103" t="s">
        <v>1982</v>
      </c>
      <c r="AP103" t="s">
        <v>1981</v>
      </c>
      <c r="AQ103" t="s">
        <v>1983</v>
      </c>
      <c r="AR103" t="s">
        <v>599</v>
      </c>
      <c r="AS103" t="s">
        <v>1984</v>
      </c>
      <c r="AT103" t="s">
        <v>1985</v>
      </c>
      <c r="AU103" t="s">
        <v>1986</v>
      </c>
      <c r="AV103" t="s">
        <v>784</v>
      </c>
      <c r="AW103" t="s">
        <v>1987</v>
      </c>
      <c r="AX103" t="s">
        <v>1988</v>
      </c>
      <c r="AY103" t="s">
        <v>1989</v>
      </c>
      <c r="AZ103" t="s">
        <v>1990</v>
      </c>
      <c r="BA103" t="s">
        <v>788</v>
      </c>
      <c r="BB103" t="s">
        <v>784</v>
      </c>
      <c r="BC103" t="s">
        <v>784</v>
      </c>
      <c r="BD103" t="s">
        <v>784</v>
      </c>
      <c r="BE103" t="s">
        <v>784</v>
      </c>
      <c r="BF103" t="s">
        <v>784</v>
      </c>
      <c r="BG103" t="s">
        <v>784</v>
      </c>
      <c r="BH103" t="s">
        <v>784</v>
      </c>
      <c r="BI103" t="s">
        <v>784</v>
      </c>
      <c r="BJ103" t="s">
        <v>784</v>
      </c>
      <c r="BK103" t="s">
        <v>1991</v>
      </c>
      <c r="BL103" t="s">
        <v>1986</v>
      </c>
      <c r="BM103" t="s">
        <v>784</v>
      </c>
      <c r="BN103" t="s">
        <v>784</v>
      </c>
      <c r="BO103" t="s">
        <v>1986</v>
      </c>
      <c r="BP103" t="s">
        <v>1281</v>
      </c>
      <c r="BQ103" t="s">
        <v>1992</v>
      </c>
      <c r="BR103" t="s">
        <v>274</v>
      </c>
    </row>
    <row r="104" spans="1:70" x14ac:dyDescent="0.3">
      <c r="A104" t="s">
        <v>96</v>
      </c>
      <c r="B104" t="s">
        <v>1993</v>
      </c>
      <c r="C104" t="s">
        <v>578</v>
      </c>
      <c r="D104" t="s">
        <v>579</v>
      </c>
      <c r="E104" t="s">
        <v>274</v>
      </c>
      <c r="F104" t="s">
        <v>274</v>
      </c>
      <c r="G104" t="s">
        <v>274</v>
      </c>
      <c r="H104" t="s">
        <v>274</v>
      </c>
      <c r="I104" t="s">
        <v>274</v>
      </c>
      <c r="J104" t="s">
        <v>274</v>
      </c>
      <c r="K104" t="s">
        <v>274</v>
      </c>
      <c r="L104" t="s">
        <v>274</v>
      </c>
      <c r="M104" t="s">
        <v>274</v>
      </c>
      <c r="N104" t="s">
        <v>274</v>
      </c>
      <c r="O104" t="s">
        <v>274</v>
      </c>
      <c r="P104" t="s">
        <v>274</v>
      </c>
      <c r="Q104" t="s">
        <v>274</v>
      </c>
      <c r="R104" t="s">
        <v>274</v>
      </c>
      <c r="S104" t="s">
        <v>274</v>
      </c>
      <c r="T104" t="s">
        <v>274</v>
      </c>
      <c r="U104" t="s">
        <v>274</v>
      </c>
      <c r="V104" t="s">
        <v>274</v>
      </c>
      <c r="W104" t="s">
        <v>274</v>
      </c>
      <c r="X104" t="s">
        <v>274</v>
      </c>
      <c r="Y104" t="s">
        <v>274</v>
      </c>
      <c r="Z104" t="s">
        <v>274</v>
      </c>
      <c r="AA104" t="s">
        <v>1105</v>
      </c>
      <c r="AB104" t="s">
        <v>1763</v>
      </c>
      <c r="AC104" t="s">
        <v>1994</v>
      </c>
      <c r="AD104" t="s">
        <v>1103</v>
      </c>
      <c r="AE104" t="s">
        <v>1691</v>
      </c>
      <c r="AF104" t="s">
        <v>1995</v>
      </c>
      <c r="AG104" s="14" t="s">
        <v>1754</v>
      </c>
      <c r="AH104" t="s">
        <v>1996</v>
      </c>
      <c r="AI104" t="s">
        <v>1997</v>
      </c>
      <c r="AJ104" t="s">
        <v>1998</v>
      </c>
      <c r="AK104" t="s">
        <v>1999</v>
      </c>
      <c r="AL104" t="s">
        <v>2000</v>
      </c>
      <c r="AM104" t="s">
        <v>2001</v>
      </c>
      <c r="AN104" t="s">
        <v>2002</v>
      </c>
      <c r="AO104" t="s">
        <v>2003</v>
      </c>
      <c r="AP104" t="s">
        <v>2004</v>
      </c>
      <c r="AQ104" t="s">
        <v>2005</v>
      </c>
      <c r="AR104" t="s">
        <v>2006</v>
      </c>
      <c r="AS104" t="s">
        <v>2007</v>
      </c>
      <c r="AT104" t="s">
        <v>2008</v>
      </c>
      <c r="AU104" t="s">
        <v>2009</v>
      </c>
      <c r="AV104" t="s">
        <v>2010</v>
      </c>
      <c r="AW104" t="s">
        <v>2011</v>
      </c>
      <c r="AX104" t="s">
        <v>2012</v>
      </c>
      <c r="AY104" t="s">
        <v>2013</v>
      </c>
      <c r="AZ104" t="s">
        <v>2014</v>
      </c>
      <c r="BA104" t="s">
        <v>2015</v>
      </c>
      <c r="BB104" t="s">
        <v>2016</v>
      </c>
      <c r="BC104" t="s">
        <v>2017</v>
      </c>
      <c r="BD104" t="s">
        <v>2018</v>
      </c>
      <c r="BE104" t="s">
        <v>2019</v>
      </c>
      <c r="BF104" t="s">
        <v>2020</v>
      </c>
      <c r="BG104" t="s">
        <v>2021</v>
      </c>
      <c r="BH104" t="s">
        <v>2022</v>
      </c>
      <c r="BI104" t="s">
        <v>2023</v>
      </c>
      <c r="BJ104" t="s">
        <v>2024</v>
      </c>
      <c r="BK104" t="s">
        <v>2025</v>
      </c>
      <c r="BL104" t="s">
        <v>2026</v>
      </c>
      <c r="BM104" t="s">
        <v>2027</v>
      </c>
      <c r="BN104" t="s">
        <v>2028</v>
      </c>
      <c r="BO104" t="s">
        <v>2029</v>
      </c>
      <c r="BP104" t="s">
        <v>2030</v>
      </c>
      <c r="BQ104" t="s">
        <v>2031</v>
      </c>
      <c r="BR104" t="s">
        <v>274</v>
      </c>
    </row>
    <row r="105" spans="1:70" x14ac:dyDescent="0.3">
      <c r="A105" t="s">
        <v>2032</v>
      </c>
      <c r="B105" t="s">
        <v>2033</v>
      </c>
      <c r="C105" t="s">
        <v>578</v>
      </c>
      <c r="D105" t="s">
        <v>579</v>
      </c>
      <c r="E105" t="s">
        <v>274</v>
      </c>
      <c r="F105" t="s">
        <v>274</v>
      </c>
      <c r="G105" t="s">
        <v>274</v>
      </c>
      <c r="H105" t="s">
        <v>274</v>
      </c>
      <c r="I105" t="s">
        <v>274</v>
      </c>
      <c r="J105" t="s">
        <v>274</v>
      </c>
      <c r="K105" t="s">
        <v>274</v>
      </c>
      <c r="L105" t="s">
        <v>274</v>
      </c>
      <c r="M105" t="s">
        <v>274</v>
      </c>
      <c r="N105" t="s">
        <v>274</v>
      </c>
      <c r="O105" t="s">
        <v>274</v>
      </c>
      <c r="P105" t="s">
        <v>274</v>
      </c>
      <c r="Q105" t="s">
        <v>274</v>
      </c>
      <c r="R105" t="s">
        <v>274</v>
      </c>
      <c r="S105" t="s">
        <v>274</v>
      </c>
      <c r="T105" t="s">
        <v>274</v>
      </c>
      <c r="U105" t="s">
        <v>274</v>
      </c>
      <c r="V105" t="s">
        <v>274</v>
      </c>
      <c r="W105" t="s">
        <v>274</v>
      </c>
      <c r="X105" t="s">
        <v>274</v>
      </c>
      <c r="Y105" t="s">
        <v>274</v>
      </c>
      <c r="Z105" t="s">
        <v>274</v>
      </c>
      <c r="AA105" t="s">
        <v>274</v>
      </c>
      <c r="AB105" t="s">
        <v>274</v>
      </c>
      <c r="AC105" t="s">
        <v>274</v>
      </c>
      <c r="AD105" t="s">
        <v>274</v>
      </c>
      <c r="AE105" t="s">
        <v>274</v>
      </c>
      <c r="AF105" t="s">
        <v>274</v>
      </c>
      <c r="AG105" s="14" t="s">
        <v>274</v>
      </c>
      <c r="AH105" t="s">
        <v>274</v>
      </c>
      <c r="AI105" t="s">
        <v>274</v>
      </c>
      <c r="AJ105" t="s">
        <v>274</v>
      </c>
      <c r="AK105" t="s">
        <v>274</v>
      </c>
      <c r="AL105" t="s">
        <v>274</v>
      </c>
      <c r="AM105" t="s">
        <v>274</v>
      </c>
      <c r="AN105" t="s">
        <v>274</v>
      </c>
      <c r="AO105" t="s">
        <v>274</v>
      </c>
      <c r="AP105" t="s">
        <v>274</v>
      </c>
      <c r="AQ105" t="s">
        <v>274</v>
      </c>
      <c r="AR105" t="s">
        <v>274</v>
      </c>
      <c r="AS105" t="s">
        <v>274</v>
      </c>
      <c r="AT105" t="s">
        <v>274</v>
      </c>
      <c r="AU105" t="s">
        <v>274</v>
      </c>
      <c r="AV105" t="s">
        <v>274</v>
      </c>
      <c r="AW105" t="s">
        <v>274</v>
      </c>
      <c r="AX105" t="s">
        <v>274</v>
      </c>
      <c r="AY105" t="s">
        <v>274</v>
      </c>
      <c r="AZ105" t="s">
        <v>274</v>
      </c>
      <c r="BA105" t="s">
        <v>274</v>
      </c>
      <c r="BB105" t="s">
        <v>274</v>
      </c>
      <c r="BC105" t="s">
        <v>274</v>
      </c>
      <c r="BD105" t="s">
        <v>274</v>
      </c>
      <c r="BE105" t="s">
        <v>274</v>
      </c>
      <c r="BF105" t="s">
        <v>274</v>
      </c>
      <c r="BG105" t="s">
        <v>274</v>
      </c>
      <c r="BH105" t="s">
        <v>274</v>
      </c>
      <c r="BI105" t="s">
        <v>274</v>
      </c>
      <c r="BJ105" t="s">
        <v>274</v>
      </c>
      <c r="BK105" t="s">
        <v>274</v>
      </c>
      <c r="BL105" t="s">
        <v>274</v>
      </c>
      <c r="BM105" t="s">
        <v>274</v>
      </c>
      <c r="BN105" t="s">
        <v>274</v>
      </c>
      <c r="BO105" t="s">
        <v>274</v>
      </c>
      <c r="BP105" t="s">
        <v>274</v>
      </c>
      <c r="BQ105" t="s">
        <v>274</v>
      </c>
      <c r="BR105" t="s">
        <v>274</v>
      </c>
    </row>
    <row r="106" spans="1:70" x14ac:dyDescent="0.3">
      <c r="A106" t="s">
        <v>213</v>
      </c>
      <c r="B106" t="s">
        <v>2034</v>
      </c>
      <c r="C106" t="s">
        <v>578</v>
      </c>
      <c r="D106" t="s">
        <v>579</v>
      </c>
      <c r="E106" t="s">
        <v>274</v>
      </c>
      <c r="F106" t="s">
        <v>274</v>
      </c>
      <c r="G106" t="s">
        <v>274</v>
      </c>
      <c r="H106" t="s">
        <v>274</v>
      </c>
      <c r="I106" t="s">
        <v>274</v>
      </c>
      <c r="J106" t="s">
        <v>274</v>
      </c>
      <c r="K106" t="s">
        <v>274</v>
      </c>
      <c r="L106" t="s">
        <v>274</v>
      </c>
      <c r="M106" t="s">
        <v>274</v>
      </c>
      <c r="N106" t="s">
        <v>274</v>
      </c>
      <c r="O106" t="s">
        <v>274</v>
      </c>
      <c r="P106" t="s">
        <v>274</v>
      </c>
      <c r="Q106" t="s">
        <v>274</v>
      </c>
      <c r="R106" t="s">
        <v>274</v>
      </c>
      <c r="S106" t="s">
        <v>274</v>
      </c>
      <c r="T106" t="s">
        <v>274</v>
      </c>
      <c r="U106" t="s">
        <v>274</v>
      </c>
      <c r="V106" t="s">
        <v>274</v>
      </c>
      <c r="W106" t="s">
        <v>274</v>
      </c>
      <c r="X106" t="s">
        <v>274</v>
      </c>
      <c r="Y106" t="s">
        <v>274</v>
      </c>
      <c r="Z106" t="s">
        <v>274</v>
      </c>
      <c r="AA106" t="s">
        <v>274</v>
      </c>
      <c r="AB106" t="s">
        <v>274</v>
      </c>
      <c r="AC106" t="s">
        <v>274</v>
      </c>
      <c r="AD106" t="s">
        <v>274</v>
      </c>
      <c r="AE106" t="s">
        <v>274</v>
      </c>
      <c r="AF106" t="s">
        <v>274</v>
      </c>
      <c r="AG106" s="14" t="s">
        <v>274</v>
      </c>
      <c r="AH106" t="s">
        <v>274</v>
      </c>
      <c r="AI106" t="s">
        <v>274</v>
      </c>
      <c r="AJ106" t="s">
        <v>274</v>
      </c>
      <c r="AK106" t="s">
        <v>274</v>
      </c>
      <c r="AL106" t="s">
        <v>2035</v>
      </c>
      <c r="AM106" t="s">
        <v>2036</v>
      </c>
      <c r="AN106" t="s">
        <v>2037</v>
      </c>
      <c r="AO106" t="s">
        <v>2038</v>
      </c>
      <c r="AP106" t="s">
        <v>2039</v>
      </c>
      <c r="AQ106" t="s">
        <v>2040</v>
      </c>
      <c r="AR106" t="s">
        <v>2041</v>
      </c>
      <c r="AS106" t="s">
        <v>2042</v>
      </c>
      <c r="AT106" t="s">
        <v>2043</v>
      </c>
      <c r="AU106" t="s">
        <v>2044</v>
      </c>
      <c r="AV106" t="s">
        <v>2045</v>
      </c>
      <c r="AW106" t="s">
        <v>2046</v>
      </c>
      <c r="AX106" t="s">
        <v>2047</v>
      </c>
      <c r="AY106" t="s">
        <v>2048</v>
      </c>
      <c r="AZ106" t="s">
        <v>2049</v>
      </c>
      <c r="BA106" t="s">
        <v>2050</v>
      </c>
      <c r="BB106" t="s">
        <v>2051</v>
      </c>
      <c r="BC106" t="s">
        <v>2052</v>
      </c>
      <c r="BD106" t="s">
        <v>2053</v>
      </c>
      <c r="BE106" t="s">
        <v>2054</v>
      </c>
      <c r="BF106" t="s">
        <v>2055</v>
      </c>
      <c r="BG106" t="s">
        <v>2056</v>
      </c>
      <c r="BH106" t="s">
        <v>274</v>
      </c>
      <c r="BI106" t="s">
        <v>274</v>
      </c>
      <c r="BJ106" t="s">
        <v>274</v>
      </c>
      <c r="BK106" t="s">
        <v>274</v>
      </c>
      <c r="BL106" t="s">
        <v>274</v>
      </c>
      <c r="BM106" t="s">
        <v>274</v>
      </c>
      <c r="BN106" t="s">
        <v>274</v>
      </c>
      <c r="BO106" t="s">
        <v>274</v>
      </c>
      <c r="BP106" t="s">
        <v>274</v>
      </c>
      <c r="BQ106" t="s">
        <v>274</v>
      </c>
      <c r="BR106" t="s">
        <v>274</v>
      </c>
    </row>
    <row r="107" spans="1:70" x14ac:dyDescent="0.3">
      <c r="A107" t="s">
        <v>97</v>
      </c>
      <c r="B107" t="s">
        <v>2057</v>
      </c>
      <c r="C107" t="s">
        <v>578</v>
      </c>
      <c r="D107" t="s">
        <v>579</v>
      </c>
      <c r="E107" t="s">
        <v>274</v>
      </c>
      <c r="F107" t="s">
        <v>274</v>
      </c>
      <c r="G107" t="s">
        <v>274</v>
      </c>
      <c r="H107" t="s">
        <v>274</v>
      </c>
      <c r="I107" t="s">
        <v>274</v>
      </c>
      <c r="J107" t="s">
        <v>274</v>
      </c>
      <c r="K107" t="s">
        <v>274</v>
      </c>
      <c r="L107" t="s">
        <v>274</v>
      </c>
      <c r="M107" t="s">
        <v>274</v>
      </c>
      <c r="N107" t="s">
        <v>274</v>
      </c>
      <c r="O107" t="s">
        <v>274</v>
      </c>
      <c r="P107" t="s">
        <v>274</v>
      </c>
      <c r="Q107" t="s">
        <v>274</v>
      </c>
      <c r="R107" t="s">
        <v>274</v>
      </c>
      <c r="S107" t="s">
        <v>274</v>
      </c>
      <c r="T107" t="s">
        <v>274</v>
      </c>
      <c r="U107" t="s">
        <v>274</v>
      </c>
      <c r="V107" t="s">
        <v>274</v>
      </c>
      <c r="W107" t="s">
        <v>274</v>
      </c>
      <c r="X107" t="s">
        <v>274</v>
      </c>
      <c r="Y107" t="s">
        <v>274</v>
      </c>
      <c r="Z107" t="s">
        <v>274</v>
      </c>
      <c r="AA107" t="s">
        <v>274</v>
      </c>
      <c r="AB107" t="s">
        <v>274</v>
      </c>
      <c r="AC107" t="s">
        <v>274</v>
      </c>
      <c r="AD107" t="s">
        <v>274</v>
      </c>
      <c r="AE107" t="s">
        <v>274</v>
      </c>
      <c r="AF107" t="s">
        <v>274</v>
      </c>
      <c r="AG107" s="14" t="s">
        <v>274</v>
      </c>
      <c r="AH107" t="s">
        <v>274</v>
      </c>
      <c r="AI107" t="s">
        <v>274</v>
      </c>
      <c r="AJ107" t="s">
        <v>274</v>
      </c>
      <c r="AK107" t="s">
        <v>274</v>
      </c>
      <c r="AL107" t="s">
        <v>274</v>
      </c>
      <c r="AM107" t="s">
        <v>596</v>
      </c>
      <c r="AN107" t="s">
        <v>2058</v>
      </c>
      <c r="AO107" t="s">
        <v>2059</v>
      </c>
      <c r="AP107" t="s">
        <v>2060</v>
      </c>
      <c r="AQ107" t="s">
        <v>346</v>
      </c>
      <c r="AR107" t="s">
        <v>2061</v>
      </c>
      <c r="AS107" t="s">
        <v>2062</v>
      </c>
      <c r="AT107" t="s">
        <v>2063</v>
      </c>
      <c r="AU107" t="s">
        <v>2064</v>
      </c>
      <c r="AV107" t="s">
        <v>2065</v>
      </c>
      <c r="AW107" t="s">
        <v>2066</v>
      </c>
      <c r="AX107" t="s">
        <v>2067</v>
      </c>
      <c r="AY107" t="s">
        <v>2068</v>
      </c>
      <c r="AZ107" t="s">
        <v>2069</v>
      </c>
      <c r="BA107" t="s">
        <v>2070</v>
      </c>
      <c r="BB107" t="s">
        <v>2071</v>
      </c>
      <c r="BC107" t="s">
        <v>2072</v>
      </c>
      <c r="BD107" t="s">
        <v>2073</v>
      </c>
      <c r="BE107" t="s">
        <v>2074</v>
      </c>
      <c r="BF107" t="s">
        <v>2075</v>
      </c>
      <c r="BG107" t="s">
        <v>2076</v>
      </c>
      <c r="BH107" t="s">
        <v>1930</v>
      </c>
      <c r="BI107" t="s">
        <v>888</v>
      </c>
      <c r="BJ107" t="s">
        <v>2077</v>
      </c>
      <c r="BK107" t="s">
        <v>2078</v>
      </c>
      <c r="BL107" t="s">
        <v>2079</v>
      </c>
      <c r="BM107" t="s">
        <v>2080</v>
      </c>
      <c r="BN107" t="s">
        <v>2081</v>
      </c>
      <c r="BO107" t="s">
        <v>2082</v>
      </c>
      <c r="BP107" t="s">
        <v>2083</v>
      </c>
      <c r="BQ107" t="s">
        <v>274</v>
      </c>
      <c r="BR107" t="s">
        <v>274</v>
      </c>
    </row>
    <row r="108" spans="1:70" x14ac:dyDescent="0.3">
      <c r="A108" t="s">
        <v>38</v>
      </c>
      <c r="B108" t="s">
        <v>2084</v>
      </c>
      <c r="C108" t="s">
        <v>578</v>
      </c>
      <c r="D108" t="s">
        <v>579</v>
      </c>
      <c r="E108" t="s">
        <v>274</v>
      </c>
      <c r="F108" t="s">
        <v>274</v>
      </c>
      <c r="G108" t="s">
        <v>274</v>
      </c>
      <c r="H108" t="s">
        <v>274</v>
      </c>
      <c r="I108" t="s">
        <v>274</v>
      </c>
      <c r="J108" t="s">
        <v>274</v>
      </c>
      <c r="K108" t="s">
        <v>274</v>
      </c>
      <c r="L108" t="s">
        <v>274</v>
      </c>
      <c r="M108" t="s">
        <v>274</v>
      </c>
      <c r="N108" t="s">
        <v>274</v>
      </c>
      <c r="O108" t="s">
        <v>274</v>
      </c>
      <c r="P108" t="s">
        <v>274</v>
      </c>
      <c r="Q108" t="s">
        <v>274</v>
      </c>
      <c r="R108" t="s">
        <v>274</v>
      </c>
      <c r="S108" t="s">
        <v>274</v>
      </c>
      <c r="T108" t="s">
        <v>274</v>
      </c>
      <c r="U108" t="s">
        <v>274</v>
      </c>
      <c r="V108" t="s">
        <v>274</v>
      </c>
      <c r="W108" t="s">
        <v>274</v>
      </c>
      <c r="X108" t="s">
        <v>274</v>
      </c>
      <c r="Y108" t="s">
        <v>274</v>
      </c>
      <c r="Z108" t="s">
        <v>274</v>
      </c>
      <c r="AA108" t="s">
        <v>274</v>
      </c>
      <c r="AB108" t="s">
        <v>274</v>
      </c>
      <c r="AC108" t="s">
        <v>274</v>
      </c>
      <c r="AD108" t="s">
        <v>274</v>
      </c>
      <c r="AE108" t="s">
        <v>274</v>
      </c>
      <c r="AF108" t="s">
        <v>274</v>
      </c>
      <c r="AG108" s="14" t="s">
        <v>2085</v>
      </c>
      <c r="AH108" t="s">
        <v>2086</v>
      </c>
      <c r="AI108" t="s">
        <v>2087</v>
      </c>
      <c r="AJ108" t="s">
        <v>2088</v>
      </c>
      <c r="AK108" t="s">
        <v>2089</v>
      </c>
      <c r="AL108" t="s">
        <v>2090</v>
      </c>
      <c r="AM108" t="s">
        <v>2091</v>
      </c>
      <c r="AN108" t="s">
        <v>2092</v>
      </c>
      <c r="AO108" t="s">
        <v>2093</v>
      </c>
      <c r="AP108" t="s">
        <v>2094</v>
      </c>
      <c r="AQ108" t="s">
        <v>2095</v>
      </c>
      <c r="AR108" t="s">
        <v>2096</v>
      </c>
      <c r="AS108" t="s">
        <v>591</v>
      </c>
      <c r="AT108" t="s">
        <v>2097</v>
      </c>
      <c r="AU108" t="s">
        <v>2098</v>
      </c>
      <c r="AV108" t="s">
        <v>2099</v>
      </c>
      <c r="AW108" t="s">
        <v>2100</v>
      </c>
      <c r="AX108" t="s">
        <v>2101</v>
      </c>
      <c r="AY108" t="s">
        <v>2102</v>
      </c>
      <c r="AZ108" t="s">
        <v>2103</v>
      </c>
      <c r="BA108" t="s">
        <v>2104</v>
      </c>
      <c r="BB108" t="s">
        <v>2105</v>
      </c>
      <c r="BC108" t="s">
        <v>2106</v>
      </c>
      <c r="BD108" t="s">
        <v>2107</v>
      </c>
      <c r="BE108" t="s">
        <v>2108</v>
      </c>
      <c r="BF108" t="s">
        <v>2109</v>
      </c>
      <c r="BG108" t="s">
        <v>2110</v>
      </c>
      <c r="BH108" t="s">
        <v>2111</v>
      </c>
      <c r="BI108" t="s">
        <v>2112</v>
      </c>
      <c r="BJ108" t="s">
        <v>2113</v>
      </c>
      <c r="BK108" t="s">
        <v>2114</v>
      </c>
      <c r="BL108" t="s">
        <v>2115</v>
      </c>
      <c r="BM108" t="s">
        <v>2116</v>
      </c>
      <c r="BN108" t="s">
        <v>2117</v>
      </c>
      <c r="BO108" t="s">
        <v>2118</v>
      </c>
      <c r="BP108" t="s">
        <v>2119</v>
      </c>
      <c r="BQ108" t="s">
        <v>2120</v>
      </c>
      <c r="BR108" t="s">
        <v>274</v>
      </c>
    </row>
    <row r="109" spans="1:70" x14ac:dyDescent="0.3">
      <c r="A109" t="s">
        <v>2121</v>
      </c>
      <c r="B109" t="s">
        <v>2122</v>
      </c>
      <c r="C109" t="s">
        <v>578</v>
      </c>
      <c r="D109" t="s">
        <v>579</v>
      </c>
      <c r="E109" t="s">
        <v>274</v>
      </c>
      <c r="F109" t="s">
        <v>274</v>
      </c>
      <c r="G109" t="s">
        <v>274</v>
      </c>
      <c r="H109" t="s">
        <v>274</v>
      </c>
      <c r="I109" t="s">
        <v>274</v>
      </c>
      <c r="J109" t="s">
        <v>274</v>
      </c>
      <c r="K109" t="s">
        <v>274</v>
      </c>
      <c r="L109" t="s">
        <v>274</v>
      </c>
      <c r="M109" t="s">
        <v>274</v>
      </c>
      <c r="N109" t="s">
        <v>274</v>
      </c>
      <c r="O109" t="s">
        <v>274</v>
      </c>
      <c r="P109" t="s">
        <v>274</v>
      </c>
      <c r="Q109" t="s">
        <v>274</v>
      </c>
      <c r="R109" t="s">
        <v>274</v>
      </c>
      <c r="S109" t="s">
        <v>274</v>
      </c>
      <c r="T109" t="s">
        <v>274</v>
      </c>
      <c r="U109" t="s">
        <v>274</v>
      </c>
      <c r="V109" t="s">
        <v>274</v>
      </c>
      <c r="W109" t="s">
        <v>274</v>
      </c>
      <c r="X109" t="s">
        <v>274</v>
      </c>
      <c r="Y109" t="s">
        <v>274</v>
      </c>
      <c r="Z109" t="s">
        <v>274</v>
      </c>
      <c r="AA109" t="s">
        <v>274</v>
      </c>
      <c r="AB109" t="s">
        <v>274</v>
      </c>
      <c r="AC109" t="s">
        <v>274</v>
      </c>
      <c r="AD109" t="s">
        <v>274</v>
      </c>
      <c r="AE109" t="s">
        <v>274</v>
      </c>
      <c r="AF109" t="s">
        <v>274</v>
      </c>
      <c r="AG109" s="14" t="s">
        <v>274</v>
      </c>
      <c r="AH109" t="s">
        <v>274</v>
      </c>
      <c r="AI109" t="s">
        <v>274</v>
      </c>
      <c r="AJ109" t="s">
        <v>274</v>
      </c>
      <c r="AK109" t="s">
        <v>274</v>
      </c>
      <c r="AL109" t="s">
        <v>274</v>
      </c>
      <c r="AM109" t="s">
        <v>274</v>
      </c>
      <c r="AN109" t="s">
        <v>274</v>
      </c>
      <c r="AO109" t="s">
        <v>274</v>
      </c>
      <c r="AP109" t="s">
        <v>274</v>
      </c>
      <c r="AQ109" t="s">
        <v>274</v>
      </c>
      <c r="AR109" t="s">
        <v>274</v>
      </c>
      <c r="AS109" t="s">
        <v>274</v>
      </c>
      <c r="AT109" t="s">
        <v>274</v>
      </c>
      <c r="AU109" t="s">
        <v>274</v>
      </c>
      <c r="AV109" t="s">
        <v>274</v>
      </c>
      <c r="AW109" t="s">
        <v>274</v>
      </c>
      <c r="AX109" t="s">
        <v>274</v>
      </c>
      <c r="AY109" t="s">
        <v>274</v>
      </c>
      <c r="AZ109" t="s">
        <v>274</v>
      </c>
      <c r="BA109" t="s">
        <v>274</v>
      </c>
      <c r="BB109" t="s">
        <v>274</v>
      </c>
      <c r="BC109" t="s">
        <v>274</v>
      </c>
      <c r="BD109" t="s">
        <v>274</v>
      </c>
      <c r="BE109" t="s">
        <v>274</v>
      </c>
      <c r="BF109" t="s">
        <v>274</v>
      </c>
      <c r="BG109" t="s">
        <v>274</v>
      </c>
      <c r="BH109" t="s">
        <v>274</v>
      </c>
      <c r="BI109" t="s">
        <v>274</v>
      </c>
      <c r="BJ109" t="s">
        <v>274</v>
      </c>
      <c r="BK109" t="s">
        <v>274</v>
      </c>
      <c r="BL109" t="s">
        <v>274</v>
      </c>
      <c r="BM109" t="s">
        <v>274</v>
      </c>
      <c r="BN109" t="s">
        <v>274</v>
      </c>
      <c r="BO109" t="s">
        <v>274</v>
      </c>
      <c r="BP109" t="s">
        <v>274</v>
      </c>
      <c r="BQ109" t="s">
        <v>274</v>
      </c>
      <c r="BR109" t="s">
        <v>274</v>
      </c>
    </row>
    <row r="110" spans="1:70" x14ac:dyDescent="0.3">
      <c r="A110" t="s">
        <v>2123</v>
      </c>
      <c r="B110" t="s">
        <v>2124</v>
      </c>
      <c r="C110" t="s">
        <v>578</v>
      </c>
      <c r="D110" t="s">
        <v>579</v>
      </c>
      <c r="E110" t="s">
        <v>274</v>
      </c>
      <c r="F110" t="s">
        <v>274</v>
      </c>
      <c r="G110" t="s">
        <v>274</v>
      </c>
      <c r="H110" t="s">
        <v>274</v>
      </c>
      <c r="I110" t="s">
        <v>274</v>
      </c>
      <c r="J110" t="s">
        <v>274</v>
      </c>
      <c r="K110" t="s">
        <v>274</v>
      </c>
      <c r="L110" t="s">
        <v>274</v>
      </c>
      <c r="M110" t="s">
        <v>274</v>
      </c>
      <c r="N110" t="s">
        <v>274</v>
      </c>
      <c r="O110" t="s">
        <v>274</v>
      </c>
      <c r="P110" t="s">
        <v>274</v>
      </c>
      <c r="Q110" t="s">
        <v>274</v>
      </c>
      <c r="R110" t="s">
        <v>274</v>
      </c>
      <c r="S110" t="s">
        <v>274</v>
      </c>
      <c r="T110" t="s">
        <v>274</v>
      </c>
      <c r="U110" t="s">
        <v>274</v>
      </c>
      <c r="V110" t="s">
        <v>274</v>
      </c>
      <c r="W110" t="s">
        <v>274</v>
      </c>
      <c r="X110" t="s">
        <v>274</v>
      </c>
      <c r="Y110" t="s">
        <v>274</v>
      </c>
      <c r="Z110" t="s">
        <v>274</v>
      </c>
      <c r="AA110" t="s">
        <v>274</v>
      </c>
      <c r="AB110" t="s">
        <v>274</v>
      </c>
      <c r="AC110" t="s">
        <v>274</v>
      </c>
      <c r="AD110" t="s">
        <v>274</v>
      </c>
      <c r="AE110" t="s">
        <v>274</v>
      </c>
      <c r="AF110" t="s">
        <v>274</v>
      </c>
      <c r="AG110" s="14" t="s">
        <v>274</v>
      </c>
      <c r="AH110" t="s">
        <v>274</v>
      </c>
      <c r="AI110" t="s">
        <v>274</v>
      </c>
      <c r="AJ110" t="s">
        <v>274</v>
      </c>
      <c r="AK110" t="s">
        <v>274</v>
      </c>
      <c r="AL110" t="s">
        <v>274</v>
      </c>
      <c r="AM110" t="s">
        <v>274</v>
      </c>
      <c r="AN110" t="s">
        <v>274</v>
      </c>
      <c r="AO110" t="s">
        <v>274</v>
      </c>
      <c r="AP110" t="s">
        <v>274</v>
      </c>
      <c r="AQ110" t="s">
        <v>274</v>
      </c>
      <c r="AR110" t="s">
        <v>274</v>
      </c>
      <c r="AS110" t="s">
        <v>274</v>
      </c>
      <c r="AT110" t="s">
        <v>274</v>
      </c>
      <c r="AU110" t="s">
        <v>274</v>
      </c>
      <c r="AV110" t="s">
        <v>274</v>
      </c>
      <c r="AW110" t="s">
        <v>274</v>
      </c>
      <c r="AX110" t="s">
        <v>274</v>
      </c>
      <c r="AY110" t="s">
        <v>274</v>
      </c>
      <c r="AZ110" t="s">
        <v>274</v>
      </c>
      <c r="BA110" t="s">
        <v>274</v>
      </c>
      <c r="BB110" t="s">
        <v>274</v>
      </c>
      <c r="BC110" t="s">
        <v>274</v>
      </c>
      <c r="BD110" t="s">
        <v>274</v>
      </c>
      <c r="BE110" t="s">
        <v>274</v>
      </c>
      <c r="BF110" t="s">
        <v>274</v>
      </c>
      <c r="BG110" t="s">
        <v>274</v>
      </c>
      <c r="BH110" t="s">
        <v>274</v>
      </c>
      <c r="BI110" t="s">
        <v>274</v>
      </c>
      <c r="BJ110" t="s">
        <v>274</v>
      </c>
      <c r="BK110" t="s">
        <v>274</v>
      </c>
      <c r="BL110" t="s">
        <v>274</v>
      </c>
      <c r="BM110" t="s">
        <v>274</v>
      </c>
      <c r="BN110" t="s">
        <v>274</v>
      </c>
      <c r="BO110" t="s">
        <v>274</v>
      </c>
      <c r="BP110" t="s">
        <v>274</v>
      </c>
      <c r="BQ110" t="s">
        <v>274</v>
      </c>
      <c r="BR110" t="s">
        <v>274</v>
      </c>
    </row>
    <row r="111" spans="1:70" x14ac:dyDescent="0.3">
      <c r="A111" t="s">
        <v>2125</v>
      </c>
      <c r="B111" t="s">
        <v>2126</v>
      </c>
      <c r="C111" t="s">
        <v>578</v>
      </c>
      <c r="D111" t="s">
        <v>579</v>
      </c>
      <c r="E111" t="s">
        <v>274</v>
      </c>
      <c r="F111" t="s">
        <v>274</v>
      </c>
      <c r="G111" t="s">
        <v>274</v>
      </c>
      <c r="H111" t="s">
        <v>274</v>
      </c>
      <c r="I111" t="s">
        <v>274</v>
      </c>
      <c r="J111" t="s">
        <v>274</v>
      </c>
      <c r="K111" t="s">
        <v>274</v>
      </c>
      <c r="L111" t="s">
        <v>274</v>
      </c>
      <c r="M111" t="s">
        <v>274</v>
      </c>
      <c r="N111" t="s">
        <v>274</v>
      </c>
      <c r="O111" t="s">
        <v>274</v>
      </c>
      <c r="P111" t="s">
        <v>274</v>
      </c>
      <c r="Q111" t="s">
        <v>274</v>
      </c>
      <c r="R111" t="s">
        <v>274</v>
      </c>
      <c r="S111" t="s">
        <v>274</v>
      </c>
      <c r="T111" t="s">
        <v>274</v>
      </c>
      <c r="U111" t="s">
        <v>274</v>
      </c>
      <c r="V111" t="s">
        <v>274</v>
      </c>
      <c r="W111" t="s">
        <v>274</v>
      </c>
      <c r="X111" t="s">
        <v>274</v>
      </c>
      <c r="Y111" t="s">
        <v>274</v>
      </c>
      <c r="Z111" t="s">
        <v>274</v>
      </c>
      <c r="AA111" t="s">
        <v>274</v>
      </c>
      <c r="AB111" t="s">
        <v>274</v>
      </c>
      <c r="AC111" t="s">
        <v>274</v>
      </c>
      <c r="AD111" t="s">
        <v>274</v>
      </c>
      <c r="AE111" t="s">
        <v>274</v>
      </c>
      <c r="AF111" t="s">
        <v>274</v>
      </c>
      <c r="AG111" s="14" t="s">
        <v>274</v>
      </c>
      <c r="AH111" t="s">
        <v>274</v>
      </c>
      <c r="AI111" t="s">
        <v>274</v>
      </c>
      <c r="AJ111" t="s">
        <v>274</v>
      </c>
      <c r="AK111" t="s">
        <v>274</v>
      </c>
      <c r="AL111" t="s">
        <v>274</v>
      </c>
      <c r="AM111" t="s">
        <v>274</v>
      </c>
      <c r="AN111" t="s">
        <v>274</v>
      </c>
      <c r="AO111" t="s">
        <v>274</v>
      </c>
      <c r="AP111" t="s">
        <v>274</v>
      </c>
      <c r="AQ111" t="s">
        <v>274</v>
      </c>
      <c r="AR111" t="s">
        <v>274</v>
      </c>
      <c r="AS111" t="s">
        <v>274</v>
      </c>
      <c r="AT111" t="s">
        <v>274</v>
      </c>
      <c r="AU111" t="s">
        <v>274</v>
      </c>
      <c r="AV111" t="s">
        <v>274</v>
      </c>
      <c r="AW111" t="s">
        <v>274</v>
      </c>
      <c r="AX111" t="s">
        <v>274</v>
      </c>
      <c r="AY111" t="s">
        <v>274</v>
      </c>
      <c r="AZ111" t="s">
        <v>274</v>
      </c>
      <c r="BA111" t="s">
        <v>274</v>
      </c>
      <c r="BB111" t="s">
        <v>274</v>
      </c>
      <c r="BC111" t="s">
        <v>274</v>
      </c>
      <c r="BD111" t="s">
        <v>274</v>
      </c>
      <c r="BE111" t="s">
        <v>274</v>
      </c>
      <c r="BF111" t="s">
        <v>274</v>
      </c>
      <c r="BG111" t="s">
        <v>274</v>
      </c>
      <c r="BH111" t="s">
        <v>274</v>
      </c>
      <c r="BI111" t="s">
        <v>274</v>
      </c>
      <c r="BJ111" t="s">
        <v>274</v>
      </c>
      <c r="BK111" t="s">
        <v>274</v>
      </c>
      <c r="BL111" t="s">
        <v>274</v>
      </c>
      <c r="BM111" t="s">
        <v>274</v>
      </c>
      <c r="BN111" t="s">
        <v>274</v>
      </c>
      <c r="BO111" t="s">
        <v>274</v>
      </c>
      <c r="BP111" t="s">
        <v>274</v>
      </c>
      <c r="BQ111" t="s">
        <v>274</v>
      </c>
      <c r="BR111" t="s">
        <v>274</v>
      </c>
    </row>
    <row r="112" spans="1:70" x14ac:dyDescent="0.3">
      <c r="A112" t="s">
        <v>2127</v>
      </c>
      <c r="B112" t="s">
        <v>2128</v>
      </c>
      <c r="C112" t="s">
        <v>578</v>
      </c>
      <c r="D112" t="s">
        <v>579</v>
      </c>
      <c r="E112" t="s">
        <v>274</v>
      </c>
      <c r="F112" t="s">
        <v>274</v>
      </c>
      <c r="G112" t="s">
        <v>274</v>
      </c>
      <c r="H112" t="s">
        <v>274</v>
      </c>
      <c r="I112" t="s">
        <v>274</v>
      </c>
      <c r="J112" t="s">
        <v>274</v>
      </c>
      <c r="K112" t="s">
        <v>274</v>
      </c>
      <c r="L112" t="s">
        <v>274</v>
      </c>
      <c r="M112" t="s">
        <v>274</v>
      </c>
      <c r="N112" t="s">
        <v>274</v>
      </c>
      <c r="O112" t="s">
        <v>274</v>
      </c>
      <c r="P112" t="s">
        <v>274</v>
      </c>
      <c r="Q112" t="s">
        <v>274</v>
      </c>
      <c r="R112" t="s">
        <v>274</v>
      </c>
      <c r="S112" t="s">
        <v>274</v>
      </c>
      <c r="T112" t="s">
        <v>274</v>
      </c>
      <c r="U112" t="s">
        <v>274</v>
      </c>
      <c r="V112" t="s">
        <v>274</v>
      </c>
      <c r="W112" t="s">
        <v>274</v>
      </c>
      <c r="X112" t="s">
        <v>274</v>
      </c>
      <c r="Y112" t="s">
        <v>274</v>
      </c>
      <c r="Z112" t="s">
        <v>274</v>
      </c>
      <c r="AA112" t="s">
        <v>274</v>
      </c>
      <c r="AB112" t="s">
        <v>274</v>
      </c>
      <c r="AC112" t="s">
        <v>274</v>
      </c>
      <c r="AD112" t="s">
        <v>274</v>
      </c>
      <c r="AE112" t="s">
        <v>274</v>
      </c>
      <c r="AF112" t="s">
        <v>274</v>
      </c>
      <c r="AG112" s="14" t="s">
        <v>274</v>
      </c>
      <c r="AH112" t="s">
        <v>274</v>
      </c>
      <c r="AI112" t="s">
        <v>274</v>
      </c>
      <c r="AJ112" t="s">
        <v>274</v>
      </c>
      <c r="AK112" t="s">
        <v>274</v>
      </c>
      <c r="AL112" t="s">
        <v>274</v>
      </c>
      <c r="AM112" t="s">
        <v>274</v>
      </c>
      <c r="AN112" t="s">
        <v>274</v>
      </c>
      <c r="AO112" t="s">
        <v>274</v>
      </c>
      <c r="AP112" t="s">
        <v>274</v>
      </c>
      <c r="AQ112" t="s">
        <v>274</v>
      </c>
      <c r="AR112" t="s">
        <v>274</v>
      </c>
      <c r="AS112" t="s">
        <v>274</v>
      </c>
      <c r="AT112" t="s">
        <v>274</v>
      </c>
      <c r="AU112" t="s">
        <v>274</v>
      </c>
      <c r="AV112" t="s">
        <v>274</v>
      </c>
      <c r="AW112" t="s">
        <v>274</v>
      </c>
      <c r="AX112" t="s">
        <v>274</v>
      </c>
      <c r="AY112" t="s">
        <v>274</v>
      </c>
      <c r="AZ112" t="s">
        <v>274</v>
      </c>
      <c r="BA112" t="s">
        <v>274</v>
      </c>
      <c r="BB112" t="s">
        <v>274</v>
      </c>
      <c r="BC112" t="s">
        <v>274</v>
      </c>
      <c r="BD112" t="s">
        <v>274</v>
      </c>
      <c r="BE112" t="s">
        <v>274</v>
      </c>
      <c r="BF112" t="s">
        <v>274</v>
      </c>
      <c r="BG112" t="s">
        <v>274</v>
      </c>
      <c r="BH112" t="s">
        <v>274</v>
      </c>
      <c r="BI112" t="s">
        <v>274</v>
      </c>
      <c r="BJ112" t="s">
        <v>274</v>
      </c>
      <c r="BK112" t="s">
        <v>274</v>
      </c>
      <c r="BL112" t="s">
        <v>274</v>
      </c>
      <c r="BM112" t="s">
        <v>274</v>
      </c>
      <c r="BN112" t="s">
        <v>274</v>
      </c>
      <c r="BO112" t="s">
        <v>274</v>
      </c>
      <c r="BP112" t="s">
        <v>274</v>
      </c>
      <c r="BQ112" t="s">
        <v>274</v>
      </c>
      <c r="BR112" t="s">
        <v>274</v>
      </c>
    </row>
    <row r="113" spans="1:70" x14ac:dyDescent="0.3">
      <c r="A113" t="s">
        <v>98</v>
      </c>
      <c r="B113" t="s">
        <v>2129</v>
      </c>
      <c r="C113" t="s">
        <v>578</v>
      </c>
      <c r="D113" t="s">
        <v>579</v>
      </c>
      <c r="E113" t="s">
        <v>274</v>
      </c>
      <c r="F113" t="s">
        <v>274</v>
      </c>
      <c r="G113" t="s">
        <v>274</v>
      </c>
      <c r="H113" t="s">
        <v>274</v>
      </c>
      <c r="I113" t="s">
        <v>274</v>
      </c>
      <c r="J113" t="s">
        <v>274</v>
      </c>
      <c r="K113" t="s">
        <v>274</v>
      </c>
      <c r="L113" t="s">
        <v>274</v>
      </c>
      <c r="M113" t="s">
        <v>274</v>
      </c>
      <c r="N113" t="s">
        <v>274</v>
      </c>
      <c r="O113" t="s">
        <v>274</v>
      </c>
      <c r="P113" t="s">
        <v>274</v>
      </c>
      <c r="Q113" t="s">
        <v>274</v>
      </c>
      <c r="R113" t="s">
        <v>274</v>
      </c>
      <c r="S113" t="s">
        <v>274</v>
      </c>
      <c r="T113" t="s">
        <v>274</v>
      </c>
      <c r="U113" t="s">
        <v>274</v>
      </c>
      <c r="V113" t="s">
        <v>274</v>
      </c>
      <c r="W113" t="s">
        <v>274</v>
      </c>
      <c r="X113" t="s">
        <v>274</v>
      </c>
      <c r="Y113" t="s">
        <v>274</v>
      </c>
      <c r="Z113" t="s">
        <v>274</v>
      </c>
      <c r="AA113" t="s">
        <v>274</v>
      </c>
      <c r="AB113" t="s">
        <v>274</v>
      </c>
      <c r="AC113" t="s">
        <v>274</v>
      </c>
      <c r="AD113" t="s">
        <v>274</v>
      </c>
      <c r="AE113" t="s">
        <v>2130</v>
      </c>
      <c r="AF113" t="s">
        <v>2131</v>
      </c>
      <c r="AG113" s="14" t="s">
        <v>2132</v>
      </c>
      <c r="AH113" t="s">
        <v>2133</v>
      </c>
      <c r="AI113" t="s">
        <v>2134</v>
      </c>
      <c r="AJ113" t="s">
        <v>2135</v>
      </c>
      <c r="AK113" t="s">
        <v>2136</v>
      </c>
      <c r="AL113" t="s">
        <v>2137</v>
      </c>
      <c r="AM113" t="s">
        <v>2138</v>
      </c>
      <c r="AN113" t="s">
        <v>2139</v>
      </c>
      <c r="AO113" t="s">
        <v>2140</v>
      </c>
      <c r="AP113" t="s">
        <v>2141</v>
      </c>
      <c r="AQ113" t="s">
        <v>2142</v>
      </c>
      <c r="AR113" t="s">
        <v>2143</v>
      </c>
      <c r="AS113" t="s">
        <v>2144</v>
      </c>
      <c r="AT113" t="s">
        <v>2145</v>
      </c>
      <c r="AU113" t="s">
        <v>2146</v>
      </c>
      <c r="AV113" t="s">
        <v>2147</v>
      </c>
      <c r="AW113" t="s">
        <v>2148</v>
      </c>
      <c r="AX113" t="s">
        <v>2149</v>
      </c>
      <c r="AY113" t="s">
        <v>2150</v>
      </c>
      <c r="AZ113" t="s">
        <v>2151</v>
      </c>
      <c r="BA113" t="s">
        <v>2152</v>
      </c>
      <c r="BB113" t="s">
        <v>2153</v>
      </c>
      <c r="BC113" t="s">
        <v>2154</v>
      </c>
      <c r="BD113" t="s">
        <v>2155</v>
      </c>
      <c r="BE113" t="s">
        <v>2156</v>
      </c>
      <c r="BF113" t="s">
        <v>2157</v>
      </c>
      <c r="BG113" t="s">
        <v>2158</v>
      </c>
      <c r="BH113" t="s">
        <v>2159</v>
      </c>
      <c r="BI113" t="s">
        <v>2160</v>
      </c>
      <c r="BJ113" t="s">
        <v>2161</v>
      </c>
      <c r="BK113" t="s">
        <v>2162</v>
      </c>
      <c r="BL113" t="s">
        <v>2163</v>
      </c>
      <c r="BM113" t="s">
        <v>2164</v>
      </c>
      <c r="BN113" t="s">
        <v>2165</v>
      </c>
      <c r="BO113" t="s">
        <v>2166</v>
      </c>
      <c r="BP113" t="s">
        <v>2167</v>
      </c>
      <c r="BQ113" t="s">
        <v>2168</v>
      </c>
      <c r="BR113" t="s">
        <v>274</v>
      </c>
    </row>
    <row r="114" spans="1:70" x14ac:dyDescent="0.3">
      <c r="A114" t="s">
        <v>2169</v>
      </c>
      <c r="B114" t="s">
        <v>2170</v>
      </c>
      <c r="C114" t="s">
        <v>578</v>
      </c>
      <c r="D114" t="s">
        <v>579</v>
      </c>
      <c r="E114" t="s">
        <v>274</v>
      </c>
      <c r="F114" t="s">
        <v>274</v>
      </c>
      <c r="G114" t="s">
        <v>274</v>
      </c>
      <c r="H114" t="s">
        <v>274</v>
      </c>
      <c r="I114" t="s">
        <v>274</v>
      </c>
      <c r="J114" t="s">
        <v>274</v>
      </c>
      <c r="K114" t="s">
        <v>274</v>
      </c>
      <c r="L114" t="s">
        <v>274</v>
      </c>
      <c r="M114" t="s">
        <v>274</v>
      </c>
      <c r="N114" t="s">
        <v>274</v>
      </c>
      <c r="O114" t="s">
        <v>274</v>
      </c>
      <c r="P114" t="s">
        <v>274</v>
      </c>
      <c r="Q114" t="s">
        <v>274</v>
      </c>
      <c r="R114" t="s">
        <v>274</v>
      </c>
      <c r="S114" t="s">
        <v>274</v>
      </c>
      <c r="T114" t="s">
        <v>274</v>
      </c>
      <c r="U114" t="s">
        <v>274</v>
      </c>
      <c r="V114" t="s">
        <v>274</v>
      </c>
      <c r="W114" t="s">
        <v>274</v>
      </c>
      <c r="X114" t="s">
        <v>274</v>
      </c>
      <c r="Y114" t="s">
        <v>274</v>
      </c>
      <c r="Z114" t="s">
        <v>274</v>
      </c>
      <c r="AA114" t="s">
        <v>274</v>
      </c>
      <c r="AB114" t="s">
        <v>274</v>
      </c>
      <c r="AC114" t="s">
        <v>274</v>
      </c>
      <c r="AD114" t="s">
        <v>274</v>
      </c>
      <c r="AE114" t="s">
        <v>274</v>
      </c>
      <c r="AF114" t="s">
        <v>274</v>
      </c>
      <c r="AG114" s="14" t="s">
        <v>274</v>
      </c>
      <c r="AH114" t="s">
        <v>274</v>
      </c>
      <c r="AI114" t="s">
        <v>274</v>
      </c>
      <c r="AJ114" t="s">
        <v>274</v>
      </c>
      <c r="AK114" t="s">
        <v>274</v>
      </c>
      <c r="AL114" t="s">
        <v>274</v>
      </c>
      <c r="AM114" t="s">
        <v>274</v>
      </c>
      <c r="AN114" t="s">
        <v>274</v>
      </c>
      <c r="AO114" t="s">
        <v>274</v>
      </c>
      <c r="AP114" t="s">
        <v>274</v>
      </c>
      <c r="AQ114" t="s">
        <v>274</v>
      </c>
      <c r="AR114" t="s">
        <v>274</v>
      </c>
      <c r="AS114" t="s">
        <v>274</v>
      </c>
      <c r="AT114" t="s">
        <v>274</v>
      </c>
      <c r="AU114" t="s">
        <v>274</v>
      </c>
      <c r="AV114" t="s">
        <v>274</v>
      </c>
      <c r="AW114" t="s">
        <v>274</v>
      </c>
      <c r="AX114" t="s">
        <v>274</v>
      </c>
      <c r="AY114" t="s">
        <v>274</v>
      </c>
      <c r="AZ114" t="s">
        <v>274</v>
      </c>
      <c r="BA114" t="s">
        <v>274</v>
      </c>
      <c r="BB114" t="s">
        <v>274</v>
      </c>
      <c r="BC114" t="s">
        <v>274</v>
      </c>
      <c r="BD114" t="s">
        <v>274</v>
      </c>
      <c r="BE114" t="s">
        <v>274</v>
      </c>
      <c r="BF114" t="s">
        <v>274</v>
      </c>
      <c r="BG114" t="s">
        <v>274</v>
      </c>
      <c r="BH114" t="s">
        <v>274</v>
      </c>
      <c r="BI114" t="s">
        <v>274</v>
      </c>
      <c r="BJ114" t="s">
        <v>274</v>
      </c>
      <c r="BK114" t="s">
        <v>274</v>
      </c>
      <c r="BL114" t="s">
        <v>274</v>
      </c>
      <c r="BM114" t="s">
        <v>274</v>
      </c>
      <c r="BN114" t="s">
        <v>274</v>
      </c>
      <c r="BO114" t="s">
        <v>274</v>
      </c>
      <c r="BP114" t="s">
        <v>274</v>
      </c>
      <c r="BQ114" t="s">
        <v>274</v>
      </c>
      <c r="BR114" t="s">
        <v>274</v>
      </c>
    </row>
    <row r="115" spans="1:70" x14ac:dyDescent="0.3">
      <c r="A115" t="s">
        <v>2171</v>
      </c>
      <c r="B115" t="s">
        <v>2172</v>
      </c>
      <c r="C115" t="s">
        <v>578</v>
      </c>
      <c r="D115" t="s">
        <v>579</v>
      </c>
      <c r="E115" t="s">
        <v>274</v>
      </c>
      <c r="F115" t="s">
        <v>274</v>
      </c>
      <c r="G115" t="s">
        <v>274</v>
      </c>
      <c r="H115" t="s">
        <v>274</v>
      </c>
      <c r="I115" t="s">
        <v>274</v>
      </c>
      <c r="J115" t="s">
        <v>274</v>
      </c>
      <c r="K115" t="s">
        <v>274</v>
      </c>
      <c r="L115" t="s">
        <v>274</v>
      </c>
      <c r="M115" t="s">
        <v>274</v>
      </c>
      <c r="N115" t="s">
        <v>274</v>
      </c>
      <c r="O115" t="s">
        <v>274</v>
      </c>
      <c r="P115" t="s">
        <v>274</v>
      </c>
      <c r="Q115" t="s">
        <v>274</v>
      </c>
      <c r="R115" t="s">
        <v>274</v>
      </c>
      <c r="S115" t="s">
        <v>274</v>
      </c>
      <c r="T115" t="s">
        <v>274</v>
      </c>
      <c r="U115" t="s">
        <v>274</v>
      </c>
      <c r="V115" t="s">
        <v>274</v>
      </c>
      <c r="W115" t="s">
        <v>274</v>
      </c>
      <c r="X115" t="s">
        <v>274</v>
      </c>
      <c r="Y115" t="s">
        <v>274</v>
      </c>
      <c r="Z115" t="s">
        <v>274</v>
      </c>
      <c r="AA115" t="s">
        <v>274</v>
      </c>
      <c r="AB115" t="s">
        <v>274</v>
      </c>
      <c r="AC115" t="s">
        <v>274</v>
      </c>
      <c r="AD115" t="s">
        <v>274</v>
      </c>
      <c r="AE115" t="s">
        <v>274</v>
      </c>
      <c r="AF115" t="s">
        <v>274</v>
      </c>
      <c r="AG115" s="14" t="s">
        <v>274</v>
      </c>
      <c r="AH115" t="s">
        <v>274</v>
      </c>
      <c r="AI115" t="s">
        <v>274</v>
      </c>
      <c r="AJ115" t="s">
        <v>274</v>
      </c>
      <c r="AK115" t="s">
        <v>274</v>
      </c>
      <c r="AL115" t="s">
        <v>274</v>
      </c>
      <c r="AM115" t="s">
        <v>274</v>
      </c>
      <c r="AN115" t="s">
        <v>274</v>
      </c>
      <c r="AO115" t="s">
        <v>274</v>
      </c>
      <c r="AP115" t="s">
        <v>274</v>
      </c>
      <c r="AQ115" t="s">
        <v>274</v>
      </c>
      <c r="AR115" t="s">
        <v>274</v>
      </c>
      <c r="AS115" t="s">
        <v>274</v>
      </c>
      <c r="AT115" t="s">
        <v>274</v>
      </c>
      <c r="AU115" t="s">
        <v>274</v>
      </c>
      <c r="AV115" t="s">
        <v>274</v>
      </c>
      <c r="AW115" t="s">
        <v>274</v>
      </c>
      <c r="AX115" t="s">
        <v>274</v>
      </c>
      <c r="AY115" t="s">
        <v>274</v>
      </c>
      <c r="AZ115" t="s">
        <v>274</v>
      </c>
      <c r="BA115" t="s">
        <v>274</v>
      </c>
      <c r="BB115" t="s">
        <v>274</v>
      </c>
      <c r="BC115" t="s">
        <v>274</v>
      </c>
      <c r="BD115" t="s">
        <v>274</v>
      </c>
      <c r="BE115" t="s">
        <v>274</v>
      </c>
      <c r="BF115" t="s">
        <v>274</v>
      </c>
      <c r="BG115" t="s">
        <v>274</v>
      </c>
      <c r="BH115" t="s">
        <v>274</v>
      </c>
      <c r="BI115" t="s">
        <v>274</v>
      </c>
      <c r="BJ115" t="s">
        <v>274</v>
      </c>
      <c r="BK115" t="s">
        <v>274</v>
      </c>
      <c r="BL115" t="s">
        <v>274</v>
      </c>
      <c r="BM115" t="s">
        <v>274</v>
      </c>
      <c r="BN115" t="s">
        <v>274</v>
      </c>
      <c r="BO115" t="s">
        <v>274</v>
      </c>
      <c r="BP115" t="s">
        <v>274</v>
      </c>
      <c r="BQ115" t="s">
        <v>274</v>
      </c>
      <c r="BR115" t="s">
        <v>274</v>
      </c>
    </row>
    <row r="116" spans="1:70" x14ac:dyDescent="0.3">
      <c r="A116" t="s">
        <v>99</v>
      </c>
      <c r="B116" t="s">
        <v>2173</v>
      </c>
      <c r="C116" t="s">
        <v>578</v>
      </c>
      <c r="D116" t="s">
        <v>579</v>
      </c>
      <c r="E116" t="s">
        <v>274</v>
      </c>
      <c r="F116" t="s">
        <v>274</v>
      </c>
      <c r="G116" t="s">
        <v>274</v>
      </c>
      <c r="H116" t="s">
        <v>274</v>
      </c>
      <c r="I116" t="s">
        <v>274</v>
      </c>
      <c r="J116" t="s">
        <v>274</v>
      </c>
      <c r="K116" t="s">
        <v>274</v>
      </c>
      <c r="L116" t="s">
        <v>274</v>
      </c>
      <c r="M116" t="s">
        <v>274</v>
      </c>
      <c r="N116" t="s">
        <v>274</v>
      </c>
      <c r="O116" t="s">
        <v>274</v>
      </c>
      <c r="P116" t="s">
        <v>274</v>
      </c>
      <c r="Q116" t="s">
        <v>274</v>
      </c>
      <c r="R116" t="s">
        <v>274</v>
      </c>
      <c r="S116" t="s">
        <v>274</v>
      </c>
      <c r="T116" t="s">
        <v>274</v>
      </c>
      <c r="U116" t="s">
        <v>274</v>
      </c>
      <c r="V116" t="s">
        <v>274</v>
      </c>
      <c r="W116" t="s">
        <v>1940</v>
      </c>
      <c r="X116" t="s">
        <v>1239</v>
      </c>
      <c r="Y116" t="s">
        <v>1105</v>
      </c>
      <c r="Z116" t="s">
        <v>1105</v>
      </c>
      <c r="AA116" t="s">
        <v>1105</v>
      </c>
      <c r="AB116" t="s">
        <v>1105</v>
      </c>
      <c r="AC116" t="s">
        <v>1105</v>
      </c>
      <c r="AD116" t="s">
        <v>1105</v>
      </c>
      <c r="AE116" t="s">
        <v>1105</v>
      </c>
      <c r="AF116" t="s">
        <v>1105</v>
      </c>
      <c r="AG116" s="14" t="s">
        <v>1105</v>
      </c>
      <c r="AH116" t="s">
        <v>1105</v>
      </c>
      <c r="AI116" t="s">
        <v>1105</v>
      </c>
      <c r="AJ116" t="s">
        <v>2174</v>
      </c>
      <c r="AK116" t="s">
        <v>2175</v>
      </c>
      <c r="AL116" t="s">
        <v>2176</v>
      </c>
      <c r="AM116" t="s">
        <v>2177</v>
      </c>
      <c r="AN116" t="s">
        <v>1237</v>
      </c>
      <c r="AO116" t="s">
        <v>2178</v>
      </c>
      <c r="AP116" t="s">
        <v>2179</v>
      </c>
      <c r="AQ116" t="s">
        <v>1209</v>
      </c>
      <c r="AR116" t="s">
        <v>2180</v>
      </c>
      <c r="AS116" t="s">
        <v>1685</v>
      </c>
      <c r="AT116" t="s">
        <v>2181</v>
      </c>
      <c r="AU116" t="s">
        <v>2182</v>
      </c>
      <c r="AV116" t="s">
        <v>1201</v>
      </c>
      <c r="AW116" t="s">
        <v>2183</v>
      </c>
      <c r="AX116" t="s">
        <v>1288</v>
      </c>
      <c r="AY116" t="s">
        <v>2184</v>
      </c>
      <c r="AZ116" t="s">
        <v>2185</v>
      </c>
      <c r="BA116" t="s">
        <v>2186</v>
      </c>
      <c r="BB116" t="s">
        <v>1933</v>
      </c>
      <c r="BC116" t="s">
        <v>2187</v>
      </c>
      <c r="BD116" t="s">
        <v>1666</v>
      </c>
      <c r="BE116" t="s">
        <v>2188</v>
      </c>
      <c r="BF116" t="s">
        <v>1220</v>
      </c>
      <c r="BG116" t="s">
        <v>587</v>
      </c>
      <c r="BH116" t="s">
        <v>2189</v>
      </c>
      <c r="BI116" t="s">
        <v>2190</v>
      </c>
      <c r="BJ116" t="s">
        <v>2191</v>
      </c>
      <c r="BK116" t="s">
        <v>2192</v>
      </c>
      <c r="BL116" t="s">
        <v>2193</v>
      </c>
      <c r="BM116" t="s">
        <v>2194</v>
      </c>
      <c r="BN116" t="s">
        <v>2195</v>
      </c>
      <c r="BO116" t="s">
        <v>2196</v>
      </c>
      <c r="BP116" t="s">
        <v>274</v>
      </c>
      <c r="BQ116" t="s">
        <v>274</v>
      </c>
      <c r="BR116" t="s">
        <v>274</v>
      </c>
    </row>
    <row r="117" spans="1:70" x14ac:dyDescent="0.3">
      <c r="A117" t="s">
        <v>2197</v>
      </c>
      <c r="B117" t="s">
        <v>2198</v>
      </c>
      <c r="C117" t="s">
        <v>578</v>
      </c>
      <c r="D117" t="s">
        <v>579</v>
      </c>
      <c r="E117" t="s">
        <v>274</v>
      </c>
      <c r="F117" t="s">
        <v>274</v>
      </c>
      <c r="G117" t="s">
        <v>274</v>
      </c>
      <c r="H117" t="s">
        <v>274</v>
      </c>
      <c r="I117" t="s">
        <v>274</v>
      </c>
      <c r="J117" t="s">
        <v>274</v>
      </c>
      <c r="K117" t="s">
        <v>274</v>
      </c>
      <c r="L117" t="s">
        <v>274</v>
      </c>
      <c r="M117" t="s">
        <v>274</v>
      </c>
      <c r="N117" t="s">
        <v>274</v>
      </c>
      <c r="O117" t="s">
        <v>274</v>
      </c>
      <c r="P117" t="s">
        <v>274</v>
      </c>
      <c r="Q117" t="s">
        <v>274</v>
      </c>
      <c r="R117" t="s">
        <v>274</v>
      </c>
      <c r="S117" t="s">
        <v>274</v>
      </c>
      <c r="T117" t="s">
        <v>274</v>
      </c>
      <c r="U117" t="s">
        <v>274</v>
      </c>
      <c r="V117" t="s">
        <v>274</v>
      </c>
      <c r="W117" t="s">
        <v>274</v>
      </c>
      <c r="X117" t="s">
        <v>274</v>
      </c>
      <c r="Y117" t="s">
        <v>274</v>
      </c>
      <c r="Z117" t="s">
        <v>274</v>
      </c>
      <c r="AA117" t="s">
        <v>274</v>
      </c>
      <c r="AB117" t="s">
        <v>274</v>
      </c>
      <c r="AC117" t="s">
        <v>274</v>
      </c>
      <c r="AD117" t="s">
        <v>274</v>
      </c>
      <c r="AE117" t="s">
        <v>274</v>
      </c>
      <c r="AF117" t="s">
        <v>274</v>
      </c>
      <c r="AG117" s="14" t="s">
        <v>274</v>
      </c>
      <c r="AH117" t="s">
        <v>274</v>
      </c>
      <c r="AI117" t="s">
        <v>274</v>
      </c>
      <c r="AJ117" t="s">
        <v>274</v>
      </c>
      <c r="AK117" t="s">
        <v>274</v>
      </c>
      <c r="AL117" t="s">
        <v>274</v>
      </c>
      <c r="AM117" t="s">
        <v>274</v>
      </c>
      <c r="AN117" t="s">
        <v>274</v>
      </c>
      <c r="AO117" t="s">
        <v>274</v>
      </c>
      <c r="AP117" t="s">
        <v>274</v>
      </c>
      <c r="AQ117" t="s">
        <v>274</v>
      </c>
      <c r="AR117" t="s">
        <v>274</v>
      </c>
      <c r="AS117" t="s">
        <v>274</v>
      </c>
      <c r="AT117" t="s">
        <v>274</v>
      </c>
      <c r="AU117" t="s">
        <v>274</v>
      </c>
      <c r="AV117" t="s">
        <v>274</v>
      </c>
      <c r="AW117" t="s">
        <v>274</v>
      </c>
      <c r="AX117" t="s">
        <v>274</v>
      </c>
      <c r="AY117" t="s">
        <v>274</v>
      </c>
      <c r="AZ117" t="s">
        <v>274</v>
      </c>
      <c r="BA117" t="s">
        <v>274</v>
      </c>
      <c r="BB117" t="s">
        <v>274</v>
      </c>
      <c r="BC117" t="s">
        <v>274</v>
      </c>
      <c r="BD117" t="s">
        <v>274</v>
      </c>
      <c r="BE117" t="s">
        <v>274</v>
      </c>
      <c r="BF117" t="s">
        <v>274</v>
      </c>
      <c r="BG117" t="s">
        <v>274</v>
      </c>
      <c r="BH117" t="s">
        <v>274</v>
      </c>
      <c r="BI117" t="s">
        <v>274</v>
      </c>
      <c r="BJ117" t="s">
        <v>274</v>
      </c>
      <c r="BK117" t="s">
        <v>274</v>
      </c>
      <c r="BL117" t="s">
        <v>274</v>
      </c>
      <c r="BM117" t="s">
        <v>274</v>
      </c>
      <c r="BN117" t="s">
        <v>274</v>
      </c>
      <c r="BO117" t="s">
        <v>274</v>
      </c>
      <c r="BP117" t="s">
        <v>274</v>
      </c>
      <c r="BQ117" t="s">
        <v>274</v>
      </c>
      <c r="BR117" t="s">
        <v>274</v>
      </c>
    </row>
    <row r="118" spans="1:70" x14ac:dyDescent="0.3">
      <c r="A118" t="s">
        <v>100</v>
      </c>
      <c r="B118" t="s">
        <v>2199</v>
      </c>
      <c r="C118" t="s">
        <v>578</v>
      </c>
      <c r="D118" t="s">
        <v>579</v>
      </c>
      <c r="E118" t="s">
        <v>274</v>
      </c>
      <c r="F118" t="s">
        <v>274</v>
      </c>
      <c r="G118" t="s">
        <v>274</v>
      </c>
      <c r="H118" t="s">
        <v>274</v>
      </c>
      <c r="I118" t="s">
        <v>274</v>
      </c>
      <c r="J118" t="s">
        <v>274</v>
      </c>
      <c r="K118" t="s">
        <v>274</v>
      </c>
      <c r="L118" t="s">
        <v>274</v>
      </c>
      <c r="M118" t="s">
        <v>274</v>
      </c>
      <c r="N118" t="s">
        <v>274</v>
      </c>
      <c r="O118" t="s">
        <v>274</v>
      </c>
      <c r="P118" t="s">
        <v>274</v>
      </c>
      <c r="Q118" t="s">
        <v>274</v>
      </c>
      <c r="R118" t="s">
        <v>274</v>
      </c>
      <c r="S118" t="s">
        <v>274</v>
      </c>
      <c r="T118" t="s">
        <v>274</v>
      </c>
      <c r="U118" t="s">
        <v>274</v>
      </c>
      <c r="V118" t="s">
        <v>274</v>
      </c>
      <c r="W118" t="s">
        <v>274</v>
      </c>
      <c r="X118" t="s">
        <v>274</v>
      </c>
      <c r="Y118" t="s">
        <v>274</v>
      </c>
      <c r="Z118" t="s">
        <v>274</v>
      </c>
      <c r="AA118" t="s">
        <v>274</v>
      </c>
      <c r="AB118" t="s">
        <v>274</v>
      </c>
      <c r="AC118" t="s">
        <v>274</v>
      </c>
      <c r="AD118" t="s">
        <v>274</v>
      </c>
      <c r="AE118" t="s">
        <v>274</v>
      </c>
      <c r="AF118" t="s">
        <v>274</v>
      </c>
      <c r="AG118" s="14" t="s">
        <v>274</v>
      </c>
      <c r="AH118" t="s">
        <v>274</v>
      </c>
      <c r="AI118" t="s">
        <v>274</v>
      </c>
      <c r="AJ118" t="s">
        <v>274</v>
      </c>
      <c r="AK118" t="s">
        <v>274</v>
      </c>
      <c r="AL118" t="s">
        <v>274</v>
      </c>
      <c r="AM118" t="s">
        <v>274</v>
      </c>
      <c r="AN118" t="s">
        <v>274</v>
      </c>
      <c r="AO118" t="s">
        <v>274</v>
      </c>
      <c r="AP118" t="s">
        <v>274</v>
      </c>
      <c r="AQ118" t="s">
        <v>274</v>
      </c>
      <c r="AR118" t="s">
        <v>274</v>
      </c>
      <c r="AS118" t="s">
        <v>274</v>
      </c>
      <c r="AT118" t="s">
        <v>274</v>
      </c>
      <c r="AU118" t="s">
        <v>274</v>
      </c>
      <c r="AV118" t="s">
        <v>274</v>
      </c>
      <c r="AW118" t="s">
        <v>274</v>
      </c>
      <c r="AX118" t="s">
        <v>274</v>
      </c>
      <c r="AY118" t="s">
        <v>274</v>
      </c>
      <c r="AZ118" t="s">
        <v>274</v>
      </c>
      <c r="BA118" t="s">
        <v>274</v>
      </c>
      <c r="BB118" t="s">
        <v>274</v>
      </c>
      <c r="BC118" t="s">
        <v>274</v>
      </c>
      <c r="BD118" t="s">
        <v>274</v>
      </c>
      <c r="BE118" t="s">
        <v>274</v>
      </c>
      <c r="BF118" t="s">
        <v>274</v>
      </c>
      <c r="BG118" t="s">
        <v>274</v>
      </c>
      <c r="BH118" t="s">
        <v>274</v>
      </c>
      <c r="BI118" t="s">
        <v>274</v>
      </c>
      <c r="BJ118" t="s">
        <v>274</v>
      </c>
      <c r="BK118" t="s">
        <v>274</v>
      </c>
      <c r="BL118" t="s">
        <v>274</v>
      </c>
      <c r="BM118" t="s">
        <v>274</v>
      </c>
      <c r="BN118" t="s">
        <v>274</v>
      </c>
      <c r="BO118" t="s">
        <v>274</v>
      </c>
      <c r="BP118" t="s">
        <v>274</v>
      </c>
      <c r="BQ118" t="s">
        <v>274</v>
      </c>
      <c r="BR118" t="s">
        <v>274</v>
      </c>
    </row>
    <row r="119" spans="1:70" x14ac:dyDescent="0.3">
      <c r="A119" t="s">
        <v>101</v>
      </c>
      <c r="B119" t="s">
        <v>2200</v>
      </c>
      <c r="C119" t="s">
        <v>578</v>
      </c>
      <c r="D119" t="s">
        <v>579</v>
      </c>
      <c r="E119" t="s">
        <v>274</v>
      </c>
      <c r="F119" t="s">
        <v>274</v>
      </c>
      <c r="G119" t="s">
        <v>274</v>
      </c>
      <c r="H119" t="s">
        <v>274</v>
      </c>
      <c r="I119" t="s">
        <v>274</v>
      </c>
      <c r="J119" t="s">
        <v>274</v>
      </c>
      <c r="K119" t="s">
        <v>274</v>
      </c>
      <c r="L119" t="s">
        <v>274</v>
      </c>
      <c r="M119" t="s">
        <v>274</v>
      </c>
      <c r="N119" t="s">
        <v>274</v>
      </c>
      <c r="O119" t="s">
        <v>274</v>
      </c>
      <c r="P119" t="s">
        <v>274</v>
      </c>
      <c r="Q119" t="s">
        <v>274</v>
      </c>
      <c r="R119" t="s">
        <v>274</v>
      </c>
      <c r="S119" t="s">
        <v>274</v>
      </c>
      <c r="T119" t="s">
        <v>274</v>
      </c>
      <c r="U119" t="s">
        <v>274</v>
      </c>
      <c r="V119" t="s">
        <v>274</v>
      </c>
      <c r="W119" t="s">
        <v>274</v>
      </c>
      <c r="X119" t="s">
        <v>274</v>
      </c>
      <c r="Y119" t="s">
        <v>274</v>
      </c>
      <c r="Z119" t="s">
        <v>274</v>
      </c>
      <c r="AA119" t="s">
        <v>274</v>
      </c>
      <c r="AB119" t="s">
        <v>274</v>
      </c>
      <c r="AC119" t="s">
        <v>274</v>
      </c>
      <c r="AD119" t="s">
        <v>274</v>
      </c>
      <c r="AE119" t="s">
        <v>274</v>
      </c>
      <c r="AF119" t="s">
        <v>274</v>
      </c>
      <c r="AG119" s="14" t="s">
        <v>274</v>
      </c>
      <c r="AH119" t="s">
        <v>274</v>
      </c>
      <c r="AI119" t="s">
        <v>274</v>
      </c>
      <c r="AJ119" t="s">
        <v>274</v>
      </c>
      <c r="AK119" t="s">
        <v>274</v>
      </c>
      <c r="AL119" t="s">
        <v>274</v>
      </c>
      <c r="AM119" t="s">
        <v>274</v>
      </c>
      <c r="AN119" t="s">
        <v>274</v>
      </c>
      <c r="AO119" t="s">
        <v>274</v>
      </c>
      <c r="AP119" t="s">
        <v>274</v>
      </c>
      <c r="AQ119" t="s">
        <v>274</v>
      </c>
      <c r="AR119" t="s">
        <v>274</v>
      </c>
      <c r="AS119" t="s">
        <v>274</v>
      </c>
      <c r="AT119" t="s">
        <v>274</v>
      </c>
      <c r="AU119" t="s">
        <v>274</v>
      </c>
      <c r="AV119" t="s">
        <v>274</v>
      </c>
      <c r="AW119" t="s">
        <v>2201</v>
      </c>
      <c r="AX119" t="s">
        <v>1235</v>
      </c>
      <c r="AY119" t="s">
        <v>1240</v>
      </c>
      <c r="AZ119" t="s">
        <v>868</v>
      </c>
      <c r="BA119" t="s">
        <v>868</v>
      </c>
      <c r="BB119" t="s">
        <v>868</v>
      </c>
      <c r="BC119" t="s">
        <v>868</v>
      </c>
      <c r="BD119" t="s">
        <v>580</v>
      </c>
      <c r="BE119" t="s">
        <v>580</v>
      </c>
      <c r="BF119" t="s">
        <v>580</v>
      </c>
      <c r="BG119" t="s">
        <v>1240</v>
      </c>
      <c r="BH119" t="s">
        <v>2202</v>
      </c>
      <c r="BI119" t="s">
        <v>1488</v>
      </c>
      <c r="BJ119" t="s">
        <v>274</v>
      </c>
      <c r="BK119" t="s">
        <v>274</v>
      </c>
      <c r="BL119" t="s">
        <v>274</v>
      </c>
      <c r="BM119" t="s">
        <v>274</v>
      </c>
      <c r="BN119" t="s">
        <v>274</v>
      </c>
      <c r="BO119" t="s">
        <v>274</v>
      </c>
      <c r="BP119" t="s">
        <v>274</v>
      </c>
      <c r="BQ119" t="s">
        <v>274</v>
      </c>
      <c r="BR119" t="s">
        <v>274</v>
      </c>
    </row>
    <row r="120" spans="1:70" x14ac:dyDescent="0.3">
      <c r="A120" t="s">
        <v>244</v>
      </c>
      <c r="B120" t="s">
        <v>2203</v>
      </c>
      <c r="C120" t="s">
        <v>578</v>
      </c>
      <c r="D120" t="s">
        <v>579</v>
      </c>
      <c r="E120" t="s">
        <v>274</v>
      </c>
      <c r="F120" t="s">
        <v>274</v>
      </c>
      <c r="G120" t="s">
        <v>274</v>
      </c>
      <c r="H120" t="s">
        <v>274</v>
      </c>
      <c r="I120" t="s">
        <v>274</v>
      </c>
      <c r="J120" t="s">
        <v>274</v>
      </c>
      <c r="K120" t="s">
        <v>274</v>
      </c>
      <c r="L120" t="s">
        <v>274</v>
      </c>
      <c r="M120" t="s">
        <v>274</v>
      </c>
      <c r="N120" t="s">
        <v>274</v>
      </c>
      <c r="O120" t="s">
        <v>274</v>
      </c>
      <c r="P120" t="s">
        <v>274</v>
      </c>
      <c r="Q120" t="s">
        <v>274</v>
      </c>
      <c r="R120" t="s">
        <v>274</v>
      </c>
      <c r="S120" t="s">
        <v>274</v>
      </c>
      <c r="T120" t="s">
        <v>274</v>
      </c>
      <c r="U120" t="s">
        <v>274</v>
      </c>
      <c r="V120" t="s">
        <v>274</v>
      </c>
      <c r="W120" t="s">
        <v>274</v>
      </c>
      <c r="X120" t="s">
        <v>274</v>
      </c>
      <c r="Y120" t="s">
        <v>274</v>
      </c>
      <c r="Z120" t="s">
        <v>274</v>
      </c>
      <c r="AA120" t="s">
        <v>274</v>
      </c>
      <c r="AB120" t="s">
        <v>274</v>
      </c>
      <c r="AC120" t="s">
        <v>274</v>
      </c>
      <c r="AD120" t="s">
        <v>274</v>
      </c>
      <c r="AE120" t="s">
        <v>274</v>
      </c>
      <c r="AF120" t="s">
        <v>274</v>
      </c>
      <c r="AG120" s="14" t="s">
        <v>274</v>
      </c>
      <c r="AH120" t="s">
        <v>274</v>
      </c>
      <c r="AI120" t="s">
        <v>274</v>
      </c>
      <c r="AJ120" t="s">
        <v>274</v>
      </c>
      <c r="AK120" t="s">
        <v>274</v>
      </c>
      <c r="AL120" t="s">
        <v>274</v>
      </c>
      <c r="AM120" t="s">
        <v>274</v>
      </c>
      <c r="AN120" t="s">
        <v>274</v>
      </c>
      <c r="AO120" t="s">
        <v>274</v>
      </c>
      <c r="AP120" t="s">
        <v>274</v>
      </c>
      <c r="AQ120" t="s">
        <v>274</v>
      </c>
      <c r="AR120" t="s">
        <v>274</v>
      </c>
      <c r="AS120" t="s">
        <v>274</v>
      </c>
      <c r="AT120" t="s">
        <v>274</v>
      </c>
      <c r="AU120" t="s">
        <v>616</v>
      </c>
      <c r="AV120" t="s">
        <v>616</v>
      </c>
      <c r="AW120" t="s">
        <v>2204</v>
      </c>
      <c r="AX120" t="s">
        <v>810</v>
      </c>
      <c r="AY120" t="s">
        <v>1941</v>
      </c>
      <c r="AZ120" t="s">
        <v>2205</v>
      </c>
      <c r="BA120" t="s">
        <v>2206</v>
      </c>
      <c r="BB120" t="s">
        <v>2207</v>
      </c>
      <c r="BC120" t="s">
        <v>2208</v>
      </c>
      <c r="BD120" t="s">
        <v>2209</v>
      </c>
      <c r="BE120" t="s">
        <v>2210</v>
      </c>
      <c r="BF120" t="s">
        <v>1078</v>
      </c>
      <c r="BG120" t="s">
        <v>2211</v>
      </c>
      <c r="BH120" t="s">
        <v>2212</v>
      </c>
      <c r="BI120" t="s">
        <v>2213</v>
      </c>
      <c r="BJ120" t="s">
        <v>274</v>
      </c>
      <c r="BK120" t="s">
        <v>274</v>
      </c>
      <c r="BL120" t="s">
        <v>274</v>
      </c>
      <c r="BM120" t="s">
        <v>274</v>
      </c>
      <c r="BN120" t="s">
        <v>274</v>
      </c>
      <c r="BO120" t="s">
        <v>274</v>
      </c>
      <c r="BP120" t="s">
        <v>274</v>
      </c>
      <c r="BQ120" t="s">
        <v>274</v>
      </c>
      <c r="BR120" t="s">
        <v>274</v>
      </c>
    </row>
    <row r="121" spans="1:70" x14ac:dyDescent="0.3">
      <c r="A121" t="s">
        <v>102</v>
      </c>
      <c r="B121" t="s">
        <v>2214</v>
      </c>
      <c r="C121" t="s">
        <v>578</v>
      </c>
      <c r="D121" t="s">
        <v>579</v>
      </c>
      <c r="E121" t="s">
        <v>274</v>
      </c>
      <c r="F121" t="s">
        <v>274</v>
      </c>
      <c r="G121" t="s">
        <v>274</v>
      </c>
      <c r="H121" t="s">
        <v>274</v>
      </c>
      <c r="I121" t="s">
        <v>274</v>
      </c>
      <c r="J121" t="s">
        <v>274</v>
      </c>
      <c r="K121" t="s">
        <v>274</v>
      </c>
      <c r="L121" t="s">
        <v>274</v>
      </c>
      <c r="M121" t="s">
        <v>274</v>
      </c>
      <c r="N121" t="s">
        <v>274</v>
      </c>
      <c r="O121" t="s">
        <v>274</v>
      </c>
      <c r="P121" t="s">
        <v>274</v>
      </c>
      <c r="Q121" t="s">
        <v>274</v>
      </c>
      <c r="R121" t="s">
        <v>274</v>
      </c>
      <c r="S121" t="s">
        <v>274</v>
      </c>
      <c r="T121" t="s">
        <v>274</v>
      </c>
      <c r="U121" t="s">
        <v>274</v>
      </c>
      <c r="V121" t="s">
        <v>274</v>
      </c>
      <c r="W121" t="s">
        <v>274</v>
      </c>
      <c r="X121" t="s">
        <v>274</v>
      </c>
      <c r="Y121" t="s">
        <v>274</v>
      </c>
      <c r="Z121" t="s">
        <v>274</v>
      </c>
      <c r="AA121" t="s">
        <v>2215</v>
      </c>
      <c r="AB121" t="s">
        <v>2216</v>
      </c>
      <c r="AC121" t="s">
        <v>2217</v>
      </c>
      <c r="AD121" t="s">
        <v>2218</v>
      </c>
      <c r="AE121" t="s">
        <v>2219</v>
      </c>
      <c r="AF121" t="s">
        <v>2220</v>
      </c>
      <c r="AG121" s="14" t="s">
        <v>2221</v>
      </c>
      <c r="AH121" t="s">
        <v>2222</v>
      </c>
      <c r="AI121" t="s">
        <v>2223</v>
      </c>
      <c r="AJ121" t="s">
        <v>2224</v>
      </c>
      <c r="AK121" t="s">
        <v>2225</v>
      </c>
      <c r="AL121" t="s">
        <v>2226</v>
      </c>
      <c r="AM121" t="s">
        <v>2227</v>
      </c>
      <c r="AN121" t="s">
        <v>2228</v>
      </c>
      <c r="AO121" t="s">
        <v>2229</v>
      </c>
      <c r="AP121" t="s">
        <v>2230</v>
      </c>
      <c r="AQ121" t="s">
        <v>870</v>
      </c>
      <c r="AR121" t="s">
        <v>2231</v>
      </c>
      <c r="AS121" t="s">
        <v>2232</v>
      </c>
      <c r="AT121" t="s">
        <v>2233</v>
      </c>
      <c r="AU121" t="s">
        <v>2234</v>
      </c>
      <c r="AV121" t="s">
        <v>2235</v>
      </c>
      <c r="AW121" t="s">
        <v>2236</v>
      </c>
      <c r="AX121" t="s">
        <v>2237</v>
      </c>
      <c r="AY121" t="s">
        <v>2238</v>
      </c>
      <c r="AZ121" t="s">
        <v>2239</v>
      </c>
      <c r="BA121" t="s">
        <v>2240</v>
      </c>
      <c r="BB121" t="s">
        <v>2241</v>
      </c>
      <c r="BC121" t="s">
        <v>2242</v>
      </c>
      <c r="BD121" t="s">
        <v>2243</v>
      </c>
      <c r="BE121" t="s">
        <v>2244</v>
      </c>
      <c r="BF121" t="s">
        <v>2245</v>
      </c>
      <c r="BG121" t="s">
        <v>2246</v>
      </c>
      <c r="BH121" t="s">
        <v>2247</v>
      </c>
      <c r="BI121" t="s">
        <v>2248</v>
      </c>
      <c r="BJ121" t="s">
        <v>2249</v>
      </c>
      <c r="BK121" t="s">
        <v>2250</v>
      </c>
      <c r="BL121" t="s">
        <v>2251</v>
      </c>
      <c r="BM121" t="s">
        <v>2252</v>
      </c>
      <c r="BN121" t="s">
        <v>2253</v>
      </c>
      <c r="BO121" t="s">
        <v>2254</v>
      </c>
      <c r="BP121" t="s">
        <v>2255</v>
      </c>
      <c r="BQ121" t="s">
        <v>2256</v>
      </c>
      <c r="BR121" t="s">
        <v>274</v>
      </c>
    </row>
    <row r="122" spans="1:70" x14ac:dyDescent="0.3">
      <c r="A122" t="s">
        <v>103</v>
      </c>
      <c r="B122" t="s">
        <v>2257</v>
      </c>
      <c r="C122" t="s">
        <v>578</v>
      </c>
      <c r="D122" t="s">
        <v>579</v>
      </c>
      <c r="E122" t="s">
        <v>274</v>
      </c>
      <c r="F122" t="s">
        <v>274</v>
      </c>
      <c r="G122" t="s">
        <v>274</v>
      </c>
      <c r="H122" t="s">
        <v>274</v>
      </c>
      <c r="I122" t="s">
        <v>274</v>
      </c>
      <c r="J122" t="s">
        <v>274</v>
      </c>
      <c r="K122" t="s">
        <v>274</v>
      </c>
      <c r="L122" t="s">
        <v>274</v>
      </c>
      <c r="M122" t="s">
        <v>274</v>
      </c>
      <c r="N122" t="s">
        <v>274</v>
      </c>
      <c r="O122" t="s">
        <v>274</v>
      </c>
      <c r="P122" t="s">
        <v>274</v>
      </c>
      <c r="Q122" t="s">
        <v>274</v>
      </c>
      <c r="R122" t="s">
        <v>274</v>
      </c>
      <c r="S122" t="s">
        <v>274</v>
      </c>
      <c r="T122" t="s">
        <v>274</v>
      </c>
      <c r="U122" t="s">
        <v>274</v>
      </c>
      <c r="V122" t="s">
        <v>274</v>
      </c>
      <c r="W122" t="s">
        <v>274</v>
      </c>
      <c r="X122" t="s">
        <v>274</v>
      </c>
      <c r="Y122" t="s">
        <v>274</v>
      </c>
      <c r="Z122" t="s">
        <v>274</v>
      </c>
      <c r="AA122" t="s">
        <v>274</v>
      </c>
      <c r="AB122" t="s">
        <v>274</v>
      </c>
      <c r="AC122" t="s">
        <v>274</v>
      </c>
      <c r="AD122" t="s">
        <v>274</v>
      </c>
      <c r="AE122" t="s">
        <v>274</v>
      </c>
      <c r="AF122" t="s">
        <v>274</v>
      </c>
      <c r="AG122" s="14" t="s">
        <v>274</v>
      </c>
      <c r="AH122" t="s">
        <v>274</v>
      </c>
      <c r="AI122" t="s">
        <v>274</v>
      </c>
      <c r="AJ122" t="s">
        <v>274</v>
      </c>
      <c r="AK122" t="s">
        <v>274</v>
      </c>
      <c r="AL122" t="s">
        <v>274</v>
      </c>
      <c r="AM122" t="s">
        <v>274</v>
      </c>
      <c r="AN122" t="s">
        <v>274</v>
      </c>
      <c r="AO122" t="s">
        <v>274</v>
      </c>
      <c r="AP122" t="s">
        <v>274</v>
      </c>
      <c r="AQ122" t="s">
        <v>274</v>
      </c>
      <c r="AR122" t="s">
        <v>274</v>
      </c>
      <c r="AS122" t="s">
        <v>274</v>
      </c>
      <c r="AT122" t="s">
        <v>274</v>
      </c>
      <c r="AU122" t="s">
        <v>274</v>
      </c>
      <c r="AV122" t="s">
        <v>274</v>
      </c>
      <c r="AW122" t="s">
        <v>274</v>
      </c>
      <c r="AX122" t="s">
        <v>274</v>
      </c>
      <c r="AY122" t="s">
        <v>274</v>
      </c>
      <c r="AZ122" t="s">
        <v>274</v>
      </c>
      <c r="BA122" t="s">
        <v>274</v>
      </c>
      <c r="BB122" t="s">
        <v>274</v>
      </c>
      <c r="BC122" t="s">
        <v>274</v>
      </c>
      <c r="BD122" t="s">
        <v>274</v>
      </c>
      <c r="BE122" t="s">
        <v>274</v>
      </c>
      <c r="BF122" t="s">
        <v>2258</v>
      </c>
      <c r="BG122" t="s">
        <v>2259</v>
      </c>
      <c r="BH122" t="s">
        <v>2260</v>
      </c>
      <c r="BI122" t="s">
        <v>2261</v>
      </c>
      <c r="BJ122" t="s">
        <v>2262</v>
      </c>
      <c r="BK122" t="s">
        <v>2263</v>
      </c>
      <c r="BL122" t="s">
        <v>2264</v>
      </c>
      <c r="BM122" t="s">
        <v>2265</v>
      </c>
      <c r="BN122" t="s">
        <v>2266</v>
      </c>
      <c r="BO122" t="s">
        <v>2267</v>
      </c>
      <c r="BP122" t="s">
        <v>274</v>
      </c>
      <c r="BQ122" t="s">
        <v>274</v>
      </c>
      <c r="BR122" t="s">
        <v>274</v>
      </c>
    </row>
    <row r="123" spans="1:70" x14ac:dyDescent="0.3">
      <c r="A123" t="s">
        <v>104</v>
      </c>
      <c r="B123" t="s">
        <v>2268</v>
      </c>
      <c r="C123" t="s">
        <v>578</v>
      </c>
      <c r="D123" t="s">
        <v>579</v>
      </c>
      <c r="E123" t="s">
        <v>274</v>
      </c>
      <c r="F123" t="s">
        <v>274</v>
      </c>
      <c r="G123" t="s">
        <v>274</v>
      </c>
      <c r="H123" t="s">
        <v>274</v>
      </c>
      <c r="I123" t="s">
        <v>274</v>
      </c>
      <c r="J123" t="s">
        <v>274</v>
      </c>
      <c r="K123" t="s">
        <v>274</v>
      </c>
      <c r="L123" t="s">
        <v>274</v>
      </c>
      <c r="M123" t="s">
        <v>274</v>
      </c>
      <c r="N123" t="s">
        <v>274</v>
      </c>
      <c r="O123" t="s">
        <v>274</v>
      </c>
      <c r="P123" t="s">
        <v>274</v>
      </c>
      <c r="Q123" t="s">
        <v>274</v>
      </c>
      <c r="R123" t="s">
        <v>274</v>
      </c>
      <c r="S123" t="s">
        <v>274</v>
      </c>
      <c r="T123" t="s">
        <v>274</v>
      </c>
      <c r="U123" t="s">
        <v>274</v>
      </c>
      <c r="V123" t="s">
        <v>274</v>
      </c>
      <c r="W123" t="s">
        <v>274</v>
      </c>
      <c r="X123" t="s">
        <v>274</v>
      </c>
      <c r="Y123" t="s">
        <v>274</v>
      </c>
      <c r="Z123" t="s">
        <v>274</v>
      </c>
      <c r="AA123" t="s">
        <v>274</v>
      </c>
      <c r="AB123" t="s">
        <v>274</v>
      </c>
      <c r="AC123" t="s">
        <v>274</v>
      </c>
      <c r="AD123" t="s">
        <v>274</v>
      </c>
      <c r="AE123" t="s">
        <v>274</v>
      </c>
      <c r="AF123" t="s">
        <v>274</v>
      </c>
      <c r="AG123" s="14" t="s">
        <v>274</v>
      </c>
      <c r="AH123" t="s">
        <v>2269</v>
      </c>
      <c r="AI123" t="s">
        <v>2270</v>
      </c>
      <c r="AJ123" t="s">
        <v>2271</v>
      </c>
      <c r="AK123" t="s">
        <v>2272</v>
      </c>
      <c r="AL123" t="s">
        <v>2273</v>
      </c>
      <c r="AM123" t="s">
        <v>2274</v>
      </c>
      <c r="AN123" t="s">
        <v>2275</v>
      </c>
      <c r="AO123" t="s">
        <v>2276</v>
      </c>
      <c r="AP123" t="s">
        <v>2277</v>
      </c>
      <c r="AQ123" t="s">
        <v>2278</v>
      </c>
      <c r="AR123" t="s">
        <v>2279</v>
      </c>
      <c r="AS123" t="s">
        <v>2280</v>
      </c>
      <c r="AT123" t="s">
        <v>2281</v>
      </c>
      <c r="AU123" t="s">
        <v>2282</v>
      </c>
      <c r="AV123" t="s">
        <v>2283</v>
      </c>
      <c r="AW123" t="s">
        <v>2284</v>
      </c>
      <c r="AX123" t="s">
        <v>2285</v>
      </c>
      <c r="AY123" t="s">
        <v>2286</v>
      </c>
      <c r="AZ123" t="s">
        <v>2287</v>
      </c>
      <c r="BA123" t="s">
        <v>2288</v>
      </c>
      <c r="BB123" t="s">
        <v>2289</v>
      </c>
      <c r="BC123" t="s">
        <v>2290</v>
      </c>
      <c r="BD123" t="s">
        <v>2291</v>
      </c>
      <c r="BE123" t="s">
        <v>2292</v>
      </c>
      <c r="BF123" t="s">
        <v>2293</v>
      </c>
      <c r="BG123" t="s">
        <v>2294</v>
      </c>
      <c r="BH123" t="s">
        <v>2295</v>
      </c>
      <c r="BI123" t="s">
        <v>2296</v>
      </c>
      <c r="BJ123" t="s">
        <v>2297</v>
      </c>
      <c r="BK123" t="s">
        <v>2298</v>
      </c>
      <c r="BL123" t="s">
        <v>2299</v>
      </c>
      <c r="BM123" t="s">
        <v>2300</v>
      </c>
      <c r="BN123" t="s">
        <v>2301</v>
      </c>
      <c r="BO123" t="s">
        <v>2302</v>
      </c>
      <c r="BP123" t="s">
        <v>2303</v>
      </c>
      <c r="BQ123" t="s">
        <v>2304</v>
      </c>
      <c r="BR123" t="s">
        <v>274</v>
      </c>
    </row>
    <row r="124" spans="1:70" x14ac:dyDescent="0.3">
      <c r="A124" t="s">
        <v>105</v>
      </c>
      <c r="B124" t="s">
        <v>2305</v>
      </c>
      <c r="C124" t="s">
        <v>578</v>
      </c>
      <c r="D124" t="s">
        <v>579</v>
      </c>
      <c r="E124" t="s">
        <v>274</v>
      </c>
      <c r="F124" t="s">
        <v>274</v>
      </c>
      <c r="G124" t="s">
        <v>274</v>
      </c>
      <c r="H124" t="s">
        <v>274</v>
      </c>
      <c r="I124" t="s">
        <v>274</v>
      </c>
      <c r="J124" t="s">
        <v>274</v>
      </c>
      <c r="K124" t="s">
        <v>274</v>
      </c>
      <c r="L124" t="s">
        <v>274</v>
      </c>
      <c r="M124" t="s">
        <v>274</v>
      </c>
      <c r="N124" t="s">
        <v>274</v>
      </c>
      <c r="O124" t="s">
        <v>274</v>
      </c>
      <c r="P124" t="s">
        <v>274</v>
      </c>
      <c r="Q124" t="s">
        <v>274</v>
      </c>
      <c r="R124" t="s">
        <v>274</v>
      </c>
      <c r="S124" t="s">
        <v>274</v>
      </c>
      <c r="T124" t="s">
        <v>274</v>
      </c>
      <c r="U124" t="s">
        <v>2306</v>
      </c>
      <c r="V124" t="s">
        <v>2307</v>
      </c>
      <c r="W124" t="s">
        <v>2308</v>
      </c>
      <c r="X124" t="s">
        <v>2309</v>
      </c>
      <c r="Y124" t="s">
        <v>2310</v>
      </c>
      <c r="Z124" t="s">
        <v>2311</v>
      </c>
      <c r="AA124" t="s">
        <v>2312</v>
      </c>
      <c r="AB124" t="s">
        <v>2313</v>
      </c>
      <c r="AC124" t="s">
        <v>2314</v>
      </c>
      <c r="AD124" t="s">
        <v>698</v>
      </c>
      <c r="AE124" t="s">
        <v>2315</v>
      </c>
      <c r="AF124" t="s">
        <v>2316</v>
      </c>
      <c r="AG124" s="14" t="s">
        <v>2317</v>
      </c>
      <c r="AH124" t="s">
        <v>2318</v>
      </c>
      <c r="AI124" t="s">
        <v>2319</v>
      </c>
      <c r="AJ124" t="s">
        <v>2320</v>
      </c>
      <c r="AK124" t="s">
        <v>2321</v>
      </c>
      <c r="AL124" t="s">
        <v>2322</v>
      </c>
      <c r="AM124" t="s">
        <v>2323</v>
      </c>
      <c r="AN124" t="s">
        <v>2324</v>
      </c>
      <c r="AO124" t="s">
        <v>2325</v>
      </c>
      <c r="AP124" t="s">
        <v>2326</v>
      </c>
      <c r="AQ124" t="s">
        <v>2327</v>
      </c>
      <c r="AR124" t="s">
        <v>2328</v>
      </c>
      <c r="AS124" t="s">
        <v>2329</v>
      </c>
      <c r="AT124" t="s">
        <v>2330</v>
      </c>
      <c r="AU124" t="s">
        <v>2331</v>
      </c>
      <c r="AV124" t="s">
        <v>2332</v>
      </c>
      <c r="AW124" t="s">
        <v>2333</v>
      </c>
      <c r="AX124" t="s">
        <v>2334</v>
      </c>
      <c r="AY124" t="s">
        <v>2335</v>
      </c>
      <c r="AZ124" t="s">
        <v>2336</v>
      </c>
      <c r="BA124" t="s">
        <v>2337</v>
      </c>
      <c r="BB124" t="s">
        <v>2338</v>
      </c>
      <c r="BC124" t="s">
        <v>2339</v>
      </c>
      <c r="BD124" t="s">
        <v>2340</v>
      </c>
      <c r="BE124" t="s">
        <v>2341</v>
      </c>
      <c r="BF124" t="s">
        <v>2342</v>
      </c>
      <c r="BG124" t="s">
        <v>2343</v>
      </c>
      <c r="BH124" t="s">
        <v>2344</v>
      </c>
      <c r="BI124" t="s">
        <v>2345</v>
      </c>
      <c r="BJ124" t="s">
        <v>2346</v>
      </c>
      <c r="BK124" t="s">
        <v>2347</v>
      </c>
      <c r="BL124" t="s">
        <v>2348</v>
      </c>
      <c r="BM124" t="s">
        <v>2349</v>
      </c>
      <c r="BN124" t="s">
        <v>2350</v>
      </c>
      <c r="BO124" t="s">
        <v>2351</v>
      </c>
      <c r="BP124" t="s">
        <v>2352</v>
      </c>
      <c r="BQ124" t="s">
        <v>2353</v>
      </c>
      <c r="BR124" t="s">
        <v>274</v>
      </c>
    </row>
    <row r="125" spans="1:70" x14ac:dyDescent="0.3">
      <c r="A125" t="s">
        <v>106</v>
      </c>
      <c r="B125" t="s">
        <v>2354</v>
      </c>
      <c r="C125" t="s">
        <v>578</v>
      </c>
      <c r="D125" t="s">
        <v>579</v>
      </c>
      <c r="E125" t="s">
        <v>274</v>
      </c>
      <c r="F125" t="s">
        <v>274</v>
      </c>
      <c r="G125" t="s">
        <v>274</v>
      </c>
      <c r="H125" t="s">
        <v>274</v>
      </c>
      <c r="I125" t="s">
        <v>274</v>
      </c>
      <c r="J125" t="s">
        <v>274</v>
      </c>
      <c r="K125" t="s">
        <v>274</v>
      </c>
      <c r="L125" t="s">
        <v>274</v>
      </c>
      <c r="M125" t="s">
        <v>274</v>
      </c>
      <c r="N125" t="s">
        <v>274</v>
      </c>
      <c r="O125" t="s">
        <v>274</v>
      </c>
      <c r="P125" t="s">
        <v>274</v>
      </c>
      <c r="Q125" t="s">
        <v>274</v>
      </c>
      <c r="R125" t="s">
        <v>274</v>
      </c>
      <c r="S125" t="s">
        <v>274</v>
      </c>
      <c r="T125" t="s">
        <v>274</v>
      </c>
      <c r="U125" t="s">
        <v>274</v>
      </c>
      <c r="V125" t="s">
        <v>274</v>
      </c>
      <c r="W125" t="s">
        <v>274</v>
      </c>
      <c r="X125" t="s">
        <v>274</v>
      </c>
      <c r="Y125" t="s">
        <v>274</v>
      </c>
      <c r="Z125" t="s">
        <v>274</v>
      </c>
      <c r="AA125" t="s">
        <v>274</v>
      </c>
      <c r="AB125" t="s">
        <v>274</v>
      </c>
      <c r="AC125" t="s">
        <v>274</v>
      </c>
      <c r="AD125" t="s">
        <v>274</v>
      </c>
      <c r="AE125" t="s">
        <v>274</v>
      </c>
      <c r="AF125" t="s">
        <v>274</v>
      </c>
      <c r="AG125" s="14" t="s">
        <v>274</v>
      </c>
      <c r="AH125" t="s">
        <v>274</v>
      </c>
      <c r="AI125" t="s">
        <v>274</v>
      </c>
      <c r="AJ125" t="s">
        <v>274</v>
      </c>
      <c r="AK125" t="s">
        <v>274</v>
      </c>
      <c r="AL125" t="s">
        <v>274</v>
      </c>
      <c r="AM125" t="s">
        <v>274</v>
      </c>
      <c r="AN125" t="s">
        <v>274</v>
      </c>
      <c r="AO125" t="s">
        <v>274</v>
      </c>
      <c r="AP125" t="s">
        <v>391</v>
      </c>
      <c r="AQ125" t="s">
        <v>936</v>
      </c>
      <c r="AR125" t="s">
        <v>2355</v>
      </c>
      <c r="AS125" t="s">
        <v>2356</v>
      </c>
      <c r="AT125" t="s">
        <v>2357</v>
      </c>
      <c r="AU125" t="s">
        <v>2358</v>
      </c>
      <c r="AV125" t="s">
        <v>2359</v>
      </c>
      <c r="AW125" t="s">
        <v>2360</v>
      </c>
      <c r="AX125" t="s">
        <v>2361</v>
      </c>
      <c r="AY125" t="s">
        <v>2362</v>
      </c>
      <c r="AZ125" t="s">
        <v>2363</v>
      </c>
      <c r="BA125" t="s">
        <v>2364</v>
      </c>
      <c r="BB125" t="s">
        <v>2055</v>
      </c>
      <c r="BC125" t="s">
        <v>2365</v>
      </c>
      <c r="BD125" t="s">
        <v>2366</v>
      </c>
      <c r="BE125" t="s">
        <v>2367</v>
      </c>
      <c r="BF125" t="s">
        <v>2368</v>
      </c>
      <c r="BG125" t="s">
        <v>2369</v>
      </c>
      <c r="BH125" t="s">
        <v>2370</v>
      </c>
      <c r="BI125" t="s">
        <v>2371</v>
      </c>
      <c r="BJ125" t="s">
        <v>2372</v>
      </c>
      <c r="BK125" t="s">
        <v>2373</v>
      </c>
      <c r="BL125" t="s">
        <v>2374</v>
      </c>
      <c r="BM125" t="s">
        <v>2375</v>
      </c>
      <c r="BN125" t="s">
        <v>2376</v>
      </c>
      <c r="BO125" t="s">
        <v>2377</v>
      </c>
      <c r="BP125" t="s">
        <v>2378</v>
      </c>
      <c r="BQ125" t="s">
        <v>2370</v>
      </c>
      <c r="BR125" t="s">
        <v>274</v>
      </c>
    </row>
    <row r="126" spans="1:70" x14ac:dyDescent="0.3">
      <c r="A126" t="s">
        <v>107</v>
      </c>
      <c r="B126" t="s">
        <v>2379</v>
      </c>
      <c r="C126" t="s">
        <v>578</v>
      </c>
      <c r="D126" t="s">
        <v>579</v>
      </c>
      <c r="E126" t="s">
        <v>274</v>
      </c>
      <c r="F126" t="s">
        <v>274</v>
      </c>
      <c r="G126" t="s">
        <v>274</v>
      </c>
      <c r="H126" t="s">
        <v>274</v>
      </c>
      <c r="I126" t="s">
        <v>274</v>
      </c>
      <c r="J126" t="s">
        <v>274</v>
      </c>
      <c r="K126" t="s">
        <v>274</v>
      </c>
      <c r="L126" t="s">
        <v>274</v>
      </c>
      <c r="M126" t="s">
        <v>274</v>
      </c>
      <c r="N126" t="s">
        <v>274</v>
      </c>
      <c r="O126" t="s">
        <v>274</v>
      </c>
      <c r="P126" t="s">
        <v>274</v>
      </c>
      <c r="Q126" t="s">
        <v>274</v>
      </c>
      <c r="R126" t="s">
        <v>274</v>
      </c>
      <c r="S126" t="s">
        <v>274</v>
      </c>
      <c r="T126" t="s">
        <v>274</v>
      </c>
      <c r="U126" t="s">
        <v>274</v>
      </c>
      <c r="V126" t="s">
        <v>274</v>
      </c>
      <c r="W126" t="s">
        <v>274</v>
      </c>
      <c r="X126" t="s">
        <v>274</v>
      </c>
      <c r="Y126" t="s">
        <v>274</v>
      </c>
      <c r="Z126" t="s">
        <v>274</v>
      </c>
      <c r="AA126" t="s">
        <v>274</v>
      </c>
      <c r="AB126" t="s">
        <v>274</v>
      </c>
      <c r="AC126" t="s">
        <v>274</v>
      </c>
      <c r="AD126" t="s">
        <v>274</v>
      </c>
      <c r="AE126" t="s">
        <v>274</v>
      </c>
      <c r="AF126" t="s">
        <v>274</v>
      </c>
      <c r="AG126" s="14" t="s">
        <v>274</v>
      </c>
      <c r="AH126" t="s">
        <v>274</v>
      </c>
      <c r="AI126" t="s">
        <v>274</v>
      </c>
      <c r="AJ126" t="s">
        <v>274</v>
      </c>
      <c r="AK126" t="s">
        <v>274</v>
      </c>
      <c r="AL126" t="s">
        <v>2380</v>
      </c>
      <c r="AM126" t="s">
        <v>2381</v>
      </c>
      <c r="AN126" t="s">
        <v>2382</v>
      </c>
      <c r="AO126" t="s">
        <v>2383</v>
      </c>
      <c r="AP126" t="s">
        <v>2384</v>
      </c>
      <c r="AQ126" t="s">
        <v>2385</v>
      </c>
      <c r="AR126" t="s">
        <v>2386</v>
      </c>
      <c r="AS126" t="s">
        <v>2387</v>
      </c>
      <c r="AT126" t="s">
        <v>2388</v>
      </c>
      <c r="AU126" t="s">
        <v>2389</v>
      </c>
      <c r="AV126" t="s">
        <v>2390</v>
      </c>
      <c r="AW126" t="s">
        <v>2391</v>
      </c>
      <c r="AX126" t="s">
        <v>2392</v>
      </c>
      <c r="AY126" t="s">
        <v>2393</v>
      </c>
      <c r="AZ126" t="s">
        <v>2394</v>
      </c>
      <c r="BA126" t="s">
        <v>2395</v>
      </c>
      <c r="BB126" t="s">
        <v>2396</v>
      </c>
      <c r="BC126" t="s">
        <v>2397</v>
      </c>
      <c r="BD126" t="s">
        <v>2398</v>
      </c>
      <c r="BE126" t="s">
        <v>2399</v>
      </c>
      <c r="BF126" t="s">
        <v>2400</v>
      </c>
      <c r="BG126" t="s">
        <v>2401</v>
      </c>
      <c r="BH126" t="s">
        <v>2402</v>
      </c>
      <c r="BI126" t="s">
        <v>2403</v>
      </c>
      <c r="BJ126" t="s">
        <v>2404</v>
      </c>
      <c r="BK126" t="s">
        <v>274</v>
      </c>
      <c r="BL126" t="s">
        <v>274</v>
      </c>
      <c r="BM126" t="s">
        <v>274</v>
      </c>
      <c r="BN126" t="s">
        <v>274</v>
      </c>
      <c r="BO126" t="s">
        <v>274</v>
      </c>
      <c r="BP126" t="s">
        <v>274</v>
      </c>
      <c r="BQ126" t="s">
        <v>274</v>
      </c>
      <c r="BR126" t="s">
        <v>274</v>
      </c>
    </row>
    <row r="127" spans="1:70" x14ac:dyDescent="0.3">
      <c r="A127" t="s">
        <v>214</v>
      </c>
      <c r="B127" t="s">
        <v>2405</v>
      </c>
      <c r="C127" t="s">
        <v>578</v>
      </c>
      <c r="D127" t="s">
        <v>579</v>
      </c>
      <c r="E127" t="s">
        <v>274</v>
      </c>
      <c r="F127" t="s">
        <v>274</v>
      </c>
      <c r="G127" t="s">
        <v>274</v>
      </c>
      <c r="H127" t="s">
        <v>274</v>
      </c>
      <c r="I127" t="s">
        <v>274</v>
      </c>
      <c r="J127" t="s">
        <v>274</v>
      </c>
      <c r="K127" t="s">
        <v>274</v>
      </c>
      <c r="L127" t="s">
        <v>274</v>
      </c>
      <c r="M127" t="s">
        <v>274</v>
      </c>
      <c r="N127" t="s">
        <v>274</v>
      </c>
      <c r="O127" t="s">
        <v>274</v>
      </c>
      <c r="P127" t="s">
        <v>274</v>
      </c>
      <c r="Q127" t="s">
        <v>274</v>
      </c>
      <c r="R127" t="s">
        <v>274</v>
      </c>
      <c r="S127" t="s">
        <v>274</v>
      </c>
      <c r="T127" t="s">
        <v>274</v>
      </c>
      <c r="U127" t="s">
        <v>274</v>
      </c>
      <c r="V127" t="s">
        <v>274</v>
      </c>
      <c r="W127" t="s">
        <v>274</v>
      </c>
      <c r="X127" t="s">
        <v>274</v>
      </c>
      <c r="Y127" t="s">
        <v>274</v>
      </c>
      <c r="Z127" t="s">
        <v>274</v>
      </c>
      <c r="AA127" t="s">
        <v>274</v>
      </c>
      <c r="AB127" t="s">
        <v>274</v>
      </c>
      <c r="AC127" t="s">
        <v>274</v>
      </c>
      <c r="AD127" t="s">
        <v>274</v>
      </c>
      <c r="AE127" t="s">
        <v>274</v>
      </c>
      <c r="AF127" t="s">
        <v>274</v>
      </c>
      <c r="AG127" s="14" t="s">
        <v>274</v>
      </c>
      <c r="AH127" t="s">
        <v>274</v>
      </c>
      <c r="AI127" t="s">
        <v>274</v>
      </c>
      <c r="AJ127" t="s">
        <v>274</v>
      </c>
      <c r="AK127" t="s">
        <v>274</v>
      </c>
      <c r="AL127" t="s">
        <v>274</v>
      </c>
      <c r="AM127" t="s">
        <v>274</v>
      </c>
      <c r="AN127" t="s">
        <v>274</v>
      </c>
      <c r="AO127" t="s">
        <v>274</v>
      </c>
      <c r="AP127" t="s">
        <v>274</v>
      </c>
      <c r="AQ127" t="s">
        <v>274</v>
      </c>
      <c r="AR127" t="s">
        <v>274</v>
      </c>
      <c r="AS127" t="s">
        <v>274</v>
      </c>
      <c r="AT127" t="s">
        <v>274</v>
      </c>
      <c r="AU127" t="s">
        <v>274</v>
      </c>
      <c r="AV127" t="s">
        <v>274</v>
      </c>
      <c r="AW127" t="s">
        <v>274</v>
      </c>
      <c r="AX127" t="s">
        <v>274</v>
      </c>
      <c r="AY127" t="s">
        <v>274</v>
      </c>
      <c r="AZ127" t="s">
        <v>274</v>
      </c>
      <c r="BA127" t="s">
        <v>274</v>
      </c>
      <c r="BB127" t="s">
        <v>274</v>
      </c>
      <c r="BC127" t="s">
        <v>274</v>
      </c>
      <c r="BD127" t="s">
        <v>274</v>
      </c>
      <c r="BE127" t="s">
        <v>274</v>
      </c>
      <c r="BF127" t="s">
        <v>274</v>
      </c>
      <c r="BG127" t="s">
        <v>274</v>
      </c>
      <c r="BH127" t="s">
        <v>274</v>
      </c>
      <c r="BI127" t="s">
        <v>274</v>
      </c>
      <c r="BJ127" t="s">
        <v>274</v>
      </c>
      <c r="BK127" t="s">
        <v>274</v>
      </c>
      <c r="BL127" t="s">
        <v>274</v>
      </c>
      <c r="BM127" t="s">
        <v>274</v>
      </c>
      <c r="BN127" t="s">
        <v>274</v>
      </c>
      <c r="BO127" t="s">
        <v>274</v>
      </c>
      <c r="BP127" t="s">
        <v>274</v>
      </c>
      <c r="BQ127" t="s">
        <v>274</v>
      </c>
      <c r="BR127" t="s">
        <v>274</v>
      </c>
    </row>
    <row r="128" spans="1:70" x14ac:dyDescent="0.3">
      <c r="A128" t="s">
        <v>108</v>
      </c>
      <c r="B128" t="s">
        <v>2406</v>
      </c>
      <c r="C128" t="s">
        <v>578</v>
      </c>
      <c r="D128" t="s">
        <v>579</v>
      </c>
      <c r="E128" t="s">
        <v>274</v>
      </c>
      <c r="F128" t="s">
        <v>274</v>
      </c>
      <c r="G128" t="s">
        <v>274</v>
      </c>
      <c r="H128" t="s">
        <v>274</v>
      </c>
      <c r="I128" t="s">
        <v>274</v>
      </c>
      <c r="J128" t="s">
        <v>274</v>
      </c>
      <c r="K128" t="s">
        <v>274</v>
      </c>
      <c r="L128" t="s">
        <v>274</v>
      </c>
      <c r="M128" t="s">
        <v>274</v>
      </c>
      <c r="N128" t="s">
        <v>274</v>
      </c>
      <c r="O128" t="s">
        <v>274</v>
      </c>
      <c r="P128" t="s">
        <v>597</v>
      </c>
      <c r="Q128" t="s">
        <v>597</v>
      </c>
      <c r="R128" t="s">
        <v>597</v>
      </c>
      <c r="S128" t="s">
        <v>594</v>
      </c>
      <c r="T128" t="s">
        <v>1212</v>
      </c>
      <c r="U128" t="s">
        <v>1212</v>
      </c>
      <c r="V128" t="s">
        <v>1212</v>
      </c>
      <c r="W128" t="s">
        <v>1212</v>
      </c>
      <c r="X128" t="s">
        <v>1212</v>
      </c>
      <c r="Y128" t="s">
        <v>811</v>
      </c>
      <c r="Z128" t="s">
        <v>804</v>
      </c>
      <c r="AA128" t="s">
        <v>1239</v>
      </c>
      <c r="AB128" t="s">
        <v>2407</v>
      </c>
      <c r="AC128" t="s">
        <v>1258</v>
      </c>
      <c r="AD128" t="s">
        <v>1240</v>
      </c>
      <c r="AE128" t="s">
        <v>1240</v>
      </c>
      <c r="AF128" t="s">
        <v>1240</v>
      </c>
      <c r="AG128" s="14" t="s">
        <v>616</v>
      </c>
      <c r="AH128" t="s">
        <v>1832</v>
      </c>
      <c r="AI128" t="s">
        <v>2408</v>
      </c>
      <c r="AJ128" t="s">
        <v>2409</v>
      </c>
      <c r="AK128" t="s">
        <v>2410</v>
      </c>
      <c r="AL128" t="s">
        <v>2411</v>
      </c>
      <c r="AM128" t="s">
        <v>2412</v>
      </c>
      <c r="AN128" t="s">
        <v>2413</v>
      </c>
      <c r="AO128" t="s">
        <v>2414</v>
      </c>
      <c r="AP128" t="s">
        <v>2415</v>
      </c>
      <c r="AQ128" t="s">
        <v>2416</v>
      </c>
      <c r="AR128" t="s">
        <v>2417</v>
      </c>
      <c r="AS128" t="s">
        <v>2418</v>
      </c>
      <c r="AT128" t="s">
        <v>2419</v>
      </c>
      <c r="AU128" t="s">
        <v>2420</v>
      </c>
      <c r="AV128" t="s">
        <v>2421</v>
      </c>
      <c r="AW128" t="s">
        <v>2422</v>
      </c>
      <c r="AX128" t="s">
        <v>2423</v>
      </c>
      <c r="AY128" t="s">
        <v>2424</v>
      </c>
      <c r="AZ128" t="s">
        <v>2425</v>
      </c>
      <c r="BA128" t="s">
        <v>2426</v>
      </c>
      <c r="BB128" t="s">
        <v>2427</v>
      </c>
      <c r="BC128" t="s">
        <v>2428</v>
      </c>
      <c r="BD128" t="s">
        <v>2429</v>
      </c>
      <c r="BE128" t="s">
        <v>2430</v>
      </c>
      <c r="BF128" t="s">
        <v>2431</v>
      </c>
      <c r="BG128" t="s">
        <v>2432</v>
      </c>
      <c r="BH128" t="s">
        <v>2433</v>
      </c>
      <c r="BI128" t="s">
        <v>2434</v>
      </c>
      <c r="BJ128" t="s">
        <v>2435</v>
      </c>
      <c r="BK128" t="s">
        <v>2436</v>
      </c>
      <c r="BL128" t="s">
        <v>2437</v>
      </c>
      <c r="BM128" t="s">
        <v>2438</v>
      </c>
      <c r="BN128" t="s">
        <v>2439</v>
      </c>
      <c r="BO128" t="s">
        <v>2440</v>
      </c>
      <c r="BP128" t="s">
        <v>2441</v>
      </c>
      <c r="BQ128" t="s">
        <v>274</v>
      </c>
      <c r="BR128" t="s">
        <v>274</v>
      </c>
    </row>
    <row r="129" spans="1:70" x14ac:dyDescent="0.3">
      <c r="A129" t="s">
        <v>215</v>
      </c>
      <c r="B129" t="s">
        <v>2442</v>
      </c>
      <c r="C129" t="s">
        <v>578</v>
      </c>
      <c r="D129" t="s">
        <v>579</v>
      </c>
      <c r="E129" t="s">
        <v>274</v>
      </c>
      <c r="F129" t="s">
        <v>274</v>
      </c>
      <c r="G129" t="s">
        <v>274</v>
      </c>
      <c r="H129" t="s">
        <v>274</v>
      </c>
      <c r="I129" t="s">
        <v>274</v>
      </c>
      <c r="J129" t="s">
        <v>274</v>
      </c>
      <c r="K129" t="s">
        <v>274</v>
      </c>
      <c r="L129" t="s">
        <v>274</v>
      </c>
      <c r="M129" t="s">
        <v>274</v>
      </c>
      <c r="N129" t="s">
        <v>274</v>
      </c>
      <c r="O129" t="s">
        <v>274</v>
      </c>
      <c r="P129" t="s">
        <v>274</v>
      </c>
      <c r="Q129" t="s">
        <v>274</v>
      </c>
      <c r="R129" t="s">
        <v>274</v>
      </c>
      <c r="S129" t="s">
        <v>274</v>
      </c>
      <c r="T129" t="s">
        <v>274</v>
      </c>
      <c r="U129" t="s">
        <v>274</v>
      </c>
      <c r="V129" t="s">
        <v>274</v>
      </c>
      <c r="W129" t="s">
        <v>274</v>
      </c>
      <c r="X129" t="s">
        <v>274</v>
      </c>
      <c r="Y129" t="s">
        <v>274</v>
      </c>
      <c r="Z129" t="s">
        <v>274</v>
      </c>
      <c r="AA129" t="s">
        <v>274</v>
      </c>
      <c r="AB129" t="s">
        <v>274</v>
      </c>
      <c r="AC129" t="s">
        <v>274</v>
      </c>
      <c r="AD129" t="s">
        <v>274</v>
      </c>
      <c r="AE129" t="s">
        <v>274</v>
      </c>
      <c r="AF129" t="s">
        <v>274</v>
      </c>
      <c r="AG129" s="14" t="s">
        <v>274</v>
      </c>
      <c r="AH129" t="s">
        <v>274</v>
      </c>
      <c r="AI129" t="s">
        <v>274</v>
      </c>
      <c r="AJ129" t="s">
        <v>274</v>
      </c>
      <c r="AK129" t="s">
        <v>274</v>
      </c>
      <c r="AL129" t="s">
        <v>274</v>
      </c>
      <c r="AM129" t="s">
        <v>274</v>
      </c>
      <c r="AN129" t="s">
        <v>274</v>
      </c>
      <c r="AO129" t="s">
        <v>2443</v>
      </c>
      <c r="AP129" t="s">
        <v>2444</v>
      </c>
      <c r="AQ129" t="s">
        <v>2445</v>
      </c>
      <c r="AR129" t="s">
        <v>2446</v>
      </c>
      <c r="AS129" t="s">
        <v>2447</v>
      </c>
      <c r="AT129" t="s">
        <v>2448</v>
      </c>
      <c r="AU129" t="s">
        <v>2449</v>
      </c>
      <c r="AV129" t="s">
        <v>2450</v>
      </c>
      <c r="AW129" t="s">
        <v>2451</v>
      </c>
      <c r="AX129" t="s">
        <v>2452</v>
      </c>
      <c r="AY129" t="s">
        <v>2453</v>
      </c>
      <c r="AZ129" t="s">
        <v>2454</v>
      </c>
      <c r="BA129" t="s">
        <v>2455</v>
      </c>
      <c r="BB129" t="s">
        <v>2456</v>
      </c>
      <c r="BC129" t="s">
        <v>2457</v>
      </c>
      <c r="BD129" t="s">
        <v>2458</v>
      </c>
      <c r="BE129" t="s">
        <v>2459</v>
      </c>
      <c r="BF129" t="s">
        <v>2460</v>
      </c>
      <c r="BG129" t="s">
        <v>2461</v>
      </c>
      <c r="BH129" t="s">
        <v>2462</v>
      </c>
      <c r="BI129" t="s">
        <v>2463</v>
      </c>
      <c r="BJ129" t="s">
        <v>2464</v>
      </c>
      <c r="BK129" t="s">
        <v>2465</v>
      </c>
      <c r="BL129" t="s">
        <v>2466</v>
      </c>
      <c r="BM129" t="s">
        <v>2467</v>
      </c>
      <c r="BN129" t="s">
        <v>2468</v>
      </c>
      <c r="BO129" t="s">
        <v>2469</v>
      </c>
      <c r="BP129" t="s">
        <v>2470</v>
      </c>
      <c r="BQ129" t="s">
        <v>274</v>
      </c>
      <c r="BR129" t="s">
        <v>274</v>
      </c>
    </row>
    <row r="130" spans="1:70" x14ac:dyDescent="0.3">
      <c r="A130" t="s">
        <v>109</v>
      </c>
      <c r="B130" t="s">
        <v>2471</v>
      </c>
      <c r="C130" t="s">
        <v>578</v>
      </c>
      <c r="D130" t="s">
        <v>579</v>
      </c>
      <c r="E130" t="s">
        <v>274</v>
      </c>
      <c r="F130" t="s">
        <v>274</v>
      </c>
      <c r="G130" t="s">
        <v>274</v>
      </c>
      <c r="H130" t="s">
        <v>274</v>
      </c>
      <c r="I130" t="s">
        <v>274</v>
      </c>
      <c r="J130" t="s">
        <v>274</v>
      </c>
      <c r="K130" t="s">
        <v>274</v>
      </c>
      <c r="L130" t="s">
        <v>274</v>
      </c>
      <c r="M130" t="s">
        <v>274</v>
      </c>
      <c r="N130" t="s">
        <v>274</v>
      </c>
      <c r="O130" t="s">
        <v>274</v>
      </c>
      <c r="P130" t="s">
        <v>274</v>
      </c>
      <c r="Q130" t="s">
        <v>274</v>
      </c>
      <c r="R130" t="s">
        <v>274</v>
      </c>
      <c r="S130" t="s">
        <v>274</v>
      </c>
      <c r="T130" t="s">
        <v>274</v>
      </c>
      <c r="U130" t="s">
        <v>274</v>
      </c>
      <c r="V130" t="s">
        <v>274</v>
      </c>
      <c r="W130" t="s">
        <v>274</v>
      </c>
      <c r="X130" t="s">
        <v>274</v>
      </c>
      <c r="Y130" t="s">
        <v>274</v>
      </c>
      <c r="Z130" t="s">
        <v>274</v>
      </c>
      <c r="AA130" t="s">
        <v>274</v>
      </c>
      <c r="AB130" t="s">
        <v>274</v>
      </c>
      <c r="AC130" t="s">
        <v>274</v>
      </c>
      <c r="AD130" t="s">
        <v>274</v>
      </c>
      <c r="AE130" t="s">
        <v>274</v>
      </c>
      <c r="AF130" t="s">
        <v>274</v>
      </c>
      <c r="AG130" s="14" t="s">
        <v>274</v>
      </c>
      <c r="AH130" t="s">
        <v>274</v>
      </c>
      <c r="AI130" t="s">
        <v>274</v>
      </c>
      <c r="AJ130" t="s">
        <v>274</v>
      </c>
      <c r="AK130" t="s">
        <v>274</v>
      </c>
      <c r="AL130" t="s">
        <v>274</v>
      </c>
      <c r="AM130" t="s">
        <v>274</v>
      </c>
      <c r="AN130" t="s">
        <v>274</v>
      </c>
      <c r="AO130" t="s">
        <v>274</v>
      </c>
      <c r="AP130" t="s">
        <v>274</v>
      </c>
      <c r="AQ130" t="s">
        <v>274</v>
      </c>
      <c r="AR130" t="s">
        <v>274</v>
      </c>
      <c r="AS130" t="s">
        <v>274</v>
      </c>
      <c r="AT130" t="s">
        <v>274</v>
      </c>
      <c r="AU130" t="s">
        <v>274</v>
      </c>
      <c r="AV130" t="s">
        <v>274</v>
      </c>
      <c r="AW130" t="s">
        <v>274</v>
      </c>
      <c r="AX130" t="s">
        <v>274</v>
      </c>
      <c r="AY130" t="s">
        <v>274</v>
      </c>
      <c r="AZ130" t="s">
        <v>274</v>
      </c>
      <c r="BA130" t="s">
        <v>274</v>
      </c>
      <c r="BB130" t="s">
        <v>274</v>
      </c>
      <c r="BC130" t="s">
        <v>274</v>
      </c>
      <c r="BD130" t="s">
        <v>274</v>
      </c>
      <c r="BE130" t="s">
        <v>274</v>
      </c>
      <c r="BF130" t="s">
        <v>274</v>
      </c>
      <c r="BG130" t="s">
        <v>274</v>
      </c>
      <c r="BH130" t="s">
        <v>274</v>
      </c>
      <c r="BI130" t="s">
        <v>274</v>
      </c>
      <c r="BJ130" t="s">
        <v>274</v>
      </c>
      <c r="BK130" t="s">
        <v>274</v>
      </c>
      <c r="BL130" t="s">
        <v>274</v>
      </c>
      <c r="BM130" t="s">
        <v>274</v>
      </c>
      <c r="BN130" t="s">
        <v>274</v>
      </c>
      <c r="BO130" t="s">
        <v>274</v>
      </c>
      <c r="BP130" t="s">
        <v>274</v>
      </c>
      <c r="BQ130" t="s">
        <v>274</v>
      </c>
      <c r="BR130" t="s">
        <v>274</v>
      </c>
    </row>
    <row r="131" spans="1:70" x14ac:dyDescent="0.3">
      <c r="A131" t="s">
        <v>216</v>
      </c>
      <c r="B131" t="s">
        <v>2472</v>
      </c>
      <c r="C131" t="s">
        <v>578</v>
      </c>
      <c r="D131" t="s">
        <v>579</v>
      </c>
      <c r="E131" t="s">
        <v>274</v>
      </c>
      <c r="F131" t="s">
        <v>274</v>
      </c>
      <c r="G131" t="s">
        <v>274</v>
      </c>
      <c r="H131" t="s">
        <v>274</v>
      </c>
      <c r="I131" t="s">
        <v>274</v>
      </c>
      <c r="J131" t="s">
        <v>274</v>
      </c>
      <c r="K131" t="s">
        <v>274</v>
      </c>
      <c r="L131" t="s">
        <v>274</v>
      </c>
      <c r="M131" t="s">
        <v>274</v>
      </c>
      <c r="N131" t="s">
        <v>274</v>
      </c>
      <c r="O131" t="s">
        <v>274</v>
      </c>
      <c r="P131" t="s">
        <v>274</v>
      </c>
      <c r="Q131" t="s">
        <v>274</v>
      </c>
      <c r="R131" t="s">
        <v>274</v>
      </c>
      <c r="S131" t="s">
        <v>274</v>
      </c>
      <c r="T131" t="s">
        <v>274</v>
      </c>
      <c r="U131" t="s">
        <v>274</v>
      </c>
      <c r="V131" t="s">
        <v>274</v>
      </c>
      <c r="W131" t="s">
        <v>274</v>
      </c>
      <c r="X131" t="s">
        <v>274</v>
      </c>
      <c r="Y131" t="s">
        <v>274</v>
      </c>
      <c r="Z131" t="s">
        <v>274</v>
      </c>
      <c r="AA131" t="s">
        <v>274</v>
      </c>
      <c r="AB131" t="s">
        <v>274</v>
      </c>
      <c r="AC131" t="s">
        <v>274</v>
      </c>
      <c r="AD131" t="s">
        <v>274</v>
      </c>
      <c r="AE131" t="s">
        <v>274</v>
      </c>
      <c r="AF131" t="s">
        <v>274</v>
      </c>
      <c r="AG131" s="14" t="s">
        <v>274</v>
      </c>
      <c r="AH131" t="s">
        <v>274</v>
      </c>
      <c r="AI131" t="s">
        <v>274</v>
      </c>
      <c r="AJ131" t="s">
        <v>274</v>
      </c>
      <c r="AK131" t="s">
        <v>274</v>
      </c>
      <c r="AL131" t="s">
        <v>274</v>
      </c>
      <c r="AM131" t="s">
        <v>274</v>
      </c>
      <c r="AN131" t="s">
        <v>274</v>
      </c>
      <c r="AO131" t="s">
        <v>274</v>
      </c>
      <c r="AP131" t="s">
        <v>274</v>
      </c>
      <c r="AQ131" t="s">
        <v>274</v>
      </c>
      <c r="AR131" t="s">
        <v>274</v>
      </c>
      <c r="AS131" t="s">
        <v>274</v>
      </c>
      <c r="AT131" t="s">
        <v>274</v>
      </c>
      <c r="AU131" t="s">
        <v>274</v>
      </c>
      <c r="AV131" t="s">
        <v>274</v>
      </c>
      <c r="AW131" t="s">
        <v>274</v>
      </c>
      <c r="AX131" t="s">
        <v>274</v>
      </c>
      <c r="AY131" t="s">
        <v>274</v>
      </c>
      <c r="AZ131" t="s">
        <v>274</v>
      </c>
      <c r="BA131" t="s">
        <v>274</v>
      </c>
      <c r="BB131" t="s">
        <v>274</v>
      </c>
      <c r="BC131" t="s">
        <v>274</v>
      </c>
      <c r="BD131" t="s">
        <v>274</v>
      </c>
      <c r="BE131" t="s">
        <v>274</v>
      </c>
      <c r="BF131" t="s">
        <v>274</v>
      </c>
      <c r="BG131" t="s">
        <v>274</v>
      </c>
      <c r="BH131" t="s">
        <v>274</v>
      </c>
      <c r="BI131" t="s">
        <v>274</v>
      </c>
      <c r="BJ131" t="s">
        <v>274</v>
      </c>
      <c r="BK131" t="s">
        <v>274</v>
      </c>
      <c r="BL131" t="s">
        <v>274</v>
      </c>
      <c r="BM131" t="s">
        <v>274</v>
      </c>
      <c r="BN131" t="s">
        <v>274</v>
      </c>
      <c r="BO131" t="s">
        <v>274</v>
      </c>
      <c r="BP131" t="s">
        <v>274</v>
      </c>
      <c r="BQ131" t="s">
        <v>274</v>
      </c>
      <c r="BR131" t="s">
        <v>274</v>
      </c>
    </row>
    <row r="132" spans="1:70" x14ac:dyDescent="0.3">
      <c r="A132" t="s">
        <v>217</v>
      </c>
      <c r="B132" t="s">
        <v>2473</v>
      </c>
      <c r="C132" t="s">
        <v>578</v>
      </c>
      <c r="D132" t="s">
        <v>579</v>
      </c>
      <c r="E132" t="s">
        <v>274</v>
      </c>
      <c r="F132" t="s">
        <v>274</v>
      </c>
      <c r="G132" t="s">
        <v>274</v>
      </c>
      <c r="H132" t="s">
        <v>274</v>
      </c>
      <c r="I132" t="s">
        <v>274</v>
      </c>
      <c r="J132" t="s">
        <v>274</v>
      </c>
      <c r="K132" t="s">
        <v>274</v>
      </c>
      <c r="L132" t="s">
        <v>274</v>
      </c>
      <c r="M132" t="s">
        <v>274</v>
      </c>
      <c r="N132" t="s">
        <v>274</v>
      </c>
      <c r="O132" t="s">
        <v>274</v>
      </c>
      <c r="P132" t="s">
        <v>274</v>
      </c>
      <c r="Q132" t="s">
        <v>274</v>
      </c>
      <c r="R132" t="s">
        <v>274</v>
      </c>
      <c r="S132" t="s">
        <v>274</v>
      </c>
      <c r="T132" t="s">
        <v>274</v>
      </c>
      <c r="U132" t="s">
        <v>274</v>
      </c>
      <c r="V132" t="s">
        <v>274</v>
      </c>
      <c r="W132" t="s">
        <v>274</v>
      </c>
      <c r="X132" t="s">
        <v>274</v>
      </c>
      <c r="Y132" t="s">
        <v>2474</v>
      </c>
      <c r="Z132" t="s">
        <v>2475</v>
      </c>
      <c r="AA132" t="s">
        <v>2475</v>
      </c>
      <c r="AB132" t="s">
        <v>2475</v>
      </c>
      <c r="AC132" t="s">
        <v>2476</v>
      </c>
      <c r="AD132" t="s">
        <v>2477</v>
      </c>
      <c r="AE132" t="s">
        <v>2478</v>
      </c>
      <c r="AF132" t="s">
        <v>2478</v>
      </c>
      <c r="AG132" s="14" t="s">
        <v>2477</v>
      </c>
      <c r="AH132" t="s">
        <v>2478</v>
      </c>
      <c r="AI132" t="s">
        <v>2478</v>
      </c>
      <c r="AJ132" t="s">
        <v>2479</v>
      </c>
      <c r="AK132" t="s">
        <v>2480</v>
      </c>
      <c r="AL132" t="s">
        <v>2481</v>
      </c>
      <c r="AM132" t="s">
        <v>2482</v>
      </c>
      <c r="AN132" t="s">
        <v>2483</v>
      </c>
      <c r="AO132" t="s">
        <v>2484</v>
      </c>
      <c r="AP132" t="s">
        <v>2485</v>
      </c>
      <c r="AQ132" t="s">
        <v>2486</v>
      </c>
      <c r="AR132" t="s">
        <v>2487</v>
      </c>
      <c r="AS132" t="s">
        <v>2488</v>
      </c>
      <c r="AT132" t="s">
        <v>2489</v>
      </c>
      <c r="AU132" t="s">
        <v>2490</v>
      </c>
      <c r="AV132" t="s">
        <v>2491</v>
      </c>
      <c r="AW132" t="s">
        <v>2492</v>
      </c>
      <c r="AX132" t="s">
        <v>2493</v>
      </c>
      <c r="AY132" t="s">
        <v>2494</v>
      </c>
      <c r="AZ132" t="s">
        <v>2495</v>
      </c>
      <c r="BA132" t="s">
        <v>2496</v>
      </c>
      <c r="BB132" t="s">
        <v>2497</v>
      </c>
      <c r="BC132" t="s">
        <v>2498</v>
      </c>
      <c r="BD132" t="s">
        <v>2499</v>
      </c>
      <c r="BE132" t="s">
        <v>2500</v>
      </c>
      <c r="BF132" t="s">
        <v>2501</v>
      </c>
      <c r="BG132" t="s">
        <v>2502</v>
      </c>
      <c r="BH132" t="s">
        <v>2503</v>
      </c>
      <c r="BI132" t="s">
        <v>2504</v>
      </c>
      <c r="BJ132" t="s">
        <v>2505</v>
      </c>
      <c r="BK132" t="s">
        <v>2506</v>
      </c>
      <c r="BL132" t="s">
        <v>2507</v>
      </c>
      <c r="BM132" t="s">
        <v>2508</v>
      </c>
      <c r="BN132" t="s">
        <v>2509</v>
      </c>
      <c r="BO132" t="s">
        <v>2510</v>
      </c>
      <c r="BP132" t="s">
        <v>2511</v>
      </c>
      <c r="BQ132" t="s">
        <v>274</v>
      </c>
      <c r="BR132" t="s">
        <v>274</v>
      </c>
    </row>
    <row r="133" spans="1:70" x14ac:dyDescent="0.3">
      <c r="A133" t="s">
        <v>110</v>
      </c>
      <c r="B133" t="s">
        <v>2512</v>
      </c>
      <c r="C133" t="s">
        <v>578</v>
      </c>
      <c r="D133" t="s">
        <v>579</v>
      </c>
      <c r="E133" t="s">
        <v>274</v>
      </c>
      <c r="F133" t="s">
        <v>274</v>
      </c>
      <c r="G133" t="s">
        <v>274</v>
      </c>
      <c r="H133" t="s">
        <v>274</v>
      </c>
      <c r="I133" t="s">
        <v>274</v>
      </c>
      <c r="J133" t="s">
        <v>274</v>
      </c>
      <c r="K133" t="s">
        <v>274</v>
      </c>
      <c r="L133" t="s">
        <v>274</v>
      </c>
      <c r="M133" t="s">
        <v>274</v>
      </c>
      <c r="N133" t="s">
        <v>274</v>
      </c>
      <c r="O133" t="s">
        <v>274</v>
      </c>
      <c r="P133" t="s">
        <v>274</v>
      </c>
      <c r="Q133" t="s">
        <v>274</v>
      </c>
      <c r="R133" t="s">
        <v>274</v>
      </c>
      <c r="S133" t="s">
        <v>274</v>
      </c>
      <c r="T133" t="s">
        <v>274</v>
      </c>
      <c r="U133" t="s">
        <v>274</v>
      </c>
      <c r="V133" t="s">
        <v>274</v>
      </c>
      <c r="W133" t="s">
        <v>274</v>
      </c>
      <c r="X133" t="s">
        <v>274</v>
      </c>
      <c r="Y133" t="s">
        <v>274</v>
      </c>
      <c r="Z133" t="s">
        <v>274</v>
      </c>
      <c r="AA133" t="s">
        <v>274</v>
      </c>
      <c r="AB133" t="s">
        <v>274</v>
      </c>
      <c r="AC133" t="s">
        <v>274</v>
      </c>
      <c r="AD133" t="s">
        <v>274</v>
      </c>
      <c r="AE133" t="s">
        <v>274</v>
      </c>
      <c r="AF133" t="s">
        <v>274</v>
      </c>
      <c r="AG133" s="14" t="s">
        <v>274</v>
      </c>
      <c r="AH133" t="s">
        <v>274</v>
      </c>
      <c r="AI133" t="s">
        <v>274</v>
      </c>
      <c r="AJ133" t="s">
        <v>274</v>
      </c>
      <c r="AK133" t="s">
        <v>274</v>
      </c>
      <c r="AL133" t="s">
        <v>274</v>
      </c>
      <c r="AM133" t="s">
        <v>274</v>
      </c>
      <c r="AN133" t="s">
        <v>274</v>
      </c>
      <c r="AO133" t="s">
        <v>2513</v>
      </c>
      <c r="AP133" t="s">
        <v>2514</v>
      </c>
      <c r="AQ133" t="s">
        <v>2515</v>
      </c>
      <c r="AR133" t="s">
        <v>1215</v>
      </c>
      <c r="AS133" t="s">
        <v>2516</v>
      </c>
      <c r="AT133" t="s">
        <v>2517</v>
      </c>
      <c r="AU133" t="s">
        <v>2518</v>
      </c>
      <c r="AV133" t="s">
        <v>2519</v>
      </c>
      <c r="AW133" t="s">
        <v>2520</v>
      </c>
      <c r="AX133" t="s">
        <v>2521</v>
      </c>
      <c r="AY133" t="s">
        <v>2522</v>
      </c>
      <c r="AZ133" t="s">
        <v>2523</v>
      </c>
      <c r="BA133" t="s">
        <v>2524</v>
      </c>
      <c r="BB133" t="s">
        <v>2525</v>
      </c>
      <c r="BC133" t="s">
        <v>2526</v>
      </c>
      <c r="BD133" t="s">
        <v>2527</v>
      </c>
      <c r="BE133" t="s">
        <v>2528</v>
      </c>
      <c r="BF133" t="s">
        <v>2529</v>
      </c>
      <c r="BG133" t="s">
        <v>2530</v>
      </c>
      <c r="BH133" t="s">
        <v>2531</v>
      </c>
      <c r="BI133" t="s">
        <v>2532</v>
      </c>
      <c r="BJ133" t="s">
        <v>2533</v>
      </c>
      <c r="BK133" t="s">
        <v>2534</v>
      </c>
      <c r="BL133" t="s">
        <v>2535</v>
      </c>
      <c r="BM133" t="s">
        <v>2536</v>
      </c>
      <c r="BN133" t="s">
        <v>2537</v>
      </c>
      <c r="BO133" t="s">
        <v>2538</v>
      </c>
      <c r="BP133" t="s">
        <v>2539</v>
      </c>
      <c r="BQ133" t="s">
        <v>2540</v>
      </c>
      <c r="BR133" t="s">
        <v>274</v>
      </c>
    </row>
    <row r="134" spans="1:70" x14ac:dyDescent="0.3">
      <c r="A134" t="s">
        <v>111</v>
      </c>
      <c r="B134" t="s">
        <v>2541</v>
      </c>
      <c r="C134" t="s">
        <v>578</v>
      </c>
      <c r="D134" t="s">
        <v>579</v>
      </c>
      <c r="E134" t="s">
        <v>274</v>
      </c>
      <c r="F134" t="s">
        <v>274</v>
      </c>
      <c r="G134" t="s">
        <v>274</v>
      </c>
      <c r="H134" t="s">
        <v>274</v>
      </c>
      <c r="I134" t="s">
        <v>274</v>
      </c>
      <c r="J134" t="s">
        <v>274</v>
      </c>
      <c r="K134" t="s">
        <v>274</v>
      </c>
      <c r="L134" t="s">
        <v>274</v>
      </c>
      <c r="M134" t="s">
        <v>274</v>
      </c>
      <c r="N134" t="s">
        <v>274</v>
      </c>
      <c r="O134" t="s">
        <v>274</v>
      </c>
      <c r="P134" t="s">
        <v>274</v>
      </c>
      <c r="Q134" t="s">
        <v>274</v>
      </c>
      <c r="R134" t="s">
        <v>274</v>
      </c>
      <c r="S134" t="s">
        <v>274</v>
      </c>
      <c r="T134" t="s">
        <v>274</v>
      </c>
      <c r="U134" t="s">
        <v>274</v>
      </c>
      <c r="V134" t="s">
        <v>274</v>
      </c>
      <c r="W134" t="s">
        <v>274</v>
      </c>
      <c r="X134" t="s">
        <v>2542</v>
      </c>
      <c r="Y134" t="s">
        <v>2543</v>
      </c>
      <c r="Z134" t="s">
        <v>2544</v>
      </c>
      <c r="AA134" t="s">
        <v>2545</v>
      </c>
      <c r="AB134" t="s">
        <v>2546</v>
      </c>
      <c r="AC134" t="s">
        <v>2547</v>
      </c>
      <c r="AD134" t="s">
        <v>2548</v>
      </c>
      <c r="AE134" t="s">
        <v>2549</v>
      </c>
      <c r="AF134" t="s">
        <v>2550</v>
      </c>
      <c r="AG134" s="14" t="s">
        <v>1547</v>
      </c>
      <c r="AH134" t="s">
        <v>2551</v>
      </c>
      <c r="AI134" t="s">
        <v>2552</v>
      </c>
      <c r="AJ134" t="s">
        <v>2553</v>
      </c>
      <c r="AK134" t="s">
        <v>2554</v>
      </c>
      <c r="AL134" t="s">
        <v>2555</v>
      </c>
      <c r="AM134" t="s">
        <v>2556</v>
      </c>
      <c r="AN134" t="s">
        <v>2557</v>
      </c>
      <c r="AO134" t="s">
        <v>2558</v>
      </c>
      <c r="AP134" t="s">
        <v>2559</v>
      </c>
      <c r="AQ134" t="s">
        <v>2560</v>
      </c>
      <c r="AR134" t="s">
        <v>2561</v>
      </c>
      <c r="AS134" t="s">
        <v>2562</v>
      </c>
      <c r="AT134" t="s">
        <v>2563</v>
      </c>
      <c r="AU134" t="s">
        <v>2564</v>
      </c>
      <c r="AV134" t="s">
        <v>2565</v>
      </c>
      <c r="AW134" t="s">
        <v>2566</v>
      </c>
      <c r="AX134" t="s">
        <v>2567</v>
      </c>
      <c r="AY134" t="s">
        <v>2568</v>
      </c>
      <c r="AZ134" t="s">
        <v>2569</v>
      </c>
      <c r="BA134" t="s">
        <v>2570</v>
      </c>
      <c r="BB134" t="s">
        <v>2571</v>
      </c>
      <c r="BC134" t="s">
        <v>2572</v>
      </c>
      <c r="BD134" t="s">
        <v>2573</v>
      </c>
      <c r="BE134" t="s">
        <v>2574</v>
      </c>
      <c r="BF134" t="s">
        <v>2575</v>
      </c>
      <c r="BG134" t="s">
        <v>2576</v>
      </c>
      <c r="BH134" t="s">
        <v>2577</v>
      </c>
      <c r="BI134" t="s">
        <v>2578</v>
      </c>
      <c r="BJ134" t="s">
        <v>2579</v>
      </c>
      <c r="BK134" t="s">
        <v>2580</v>
      </c>
      <c r="BL134" t="s">
        <v>2581</v>
      </c>
      <c r="BM134" t="s">
        <v>2582</v>
      </c>
      <c r="BN134" t="s">
        <v>2583</v>
      </c>
      <c r="BO134" t="s">
        <v>2584</v>
      </c>
      <c r="BP134" t="s">
        <v>2585</v>
      </c>
      <c r="BQ134" t="s">
        <v>2586</v>
      </c>
      <c r="BR134" t="s">
        <v>274</v>
      </c>
    </row>
    <row r="135" spans="1:70" x14ac:dyDescent="0.3">
      <c r="A135" t="s">
        <v>2587</v>
      </c>
      <c r="B135" t="s">
        <v>2588</v>
      </c>
      <c r="C135" t="s">
        <v>578</v>
      </c>
      <c r="D135" t="s">
        <v>579</v>
      </c>
      <c r="E135" t="s">
        <v>274</v>
      </c>
      <c r="F135" t="s">
        <v>274</v>
      </c>
      <c r="G135" t="s">
        <v>274</v>
      </c>
      <c r="H135" t="s">
        <v>274</v>
      </c>
      <c r="I135" t="s">
        <v>274</v>
      </c>
      <c r="J135" t="s">
        <v>274</v>
      </c>
      <c r="K135" t="s">
        <v>274</v>
      </c>
      <c r="L135" t="s">
        <v>274</v>
      </c>
      <c r="M135" t="s">
        <v>274</v>
      </c>
      <c r="N135" t="s">
        <v>274</v>
      </c>
      <c r="O135" t="s">
        <v>274</v>
      </c>
      <c r="P135" t="s">
        <v>274</v>
      </c>
      <c r="Q135" t="s">
        <v>274</v>
      </c>
      <c r="R135" t="s">
        <v>274</v>
      </c>
      <c r="S135" t="s">
        <v>274</v>
      </c>
      <c r="T135" t="s">
        <v>274</v>
      </c>
      <c r="U135" t="s">
        <v>274</v>
      </c>
      <c r="V135" t="s">
        <v>274</v>
      </c>
      <c r="W135" t="s">
        <v>274</v>
      </c>
      <c r="X135" t="s">
        <v>274</v>
      </c>
      <c r="Y135" t="s">
        <v>274</v>
      </c>
      <c r="Z135" t="s">
        <v>274</v>
      </c>
      <c r="AA135" t="s">
        <v>274</v>
      </c>
      <c r="AB135" t="s">
        <v>274</v>
      </c>
      <c r="AC135" t="s">
        <v>274</v>
      </c>
      <c r="AD135" t="s">
        <v>274</v>
      </c>
      <c r="AE135" t="s">
        <v>274</v>
      </c>
      <c r="AF135" t="s">
        <v>274</v>
      </c>
      <c r="AG135" s="14" t="s">
        <v>274</v>
      </c>
      <c r="AH135" t="s">
        <v>274</v>
      </c>
      <c r="AI135" t="s">
        <v>274</v>
      </c>
      <c r="AJ135" t="s">
        <v>274</v>
      </c>
      <c r="AK135" t="s">
        <v>274</v>
      </c>
      <c r="AL135" t="s">
        <v>274</v>
      </c>
      <c r="AM135" t="s">
        <v>274</v>
      </c>
      <c r="AN135" t="s">
        <v>274</v>
      </c>
      <c r="AO135" t="s">
        <v>274</v>
      </c>
      <c r="AP135" t="s">
        <v>274</v>
      </c>
      <c r="AQ135" t="s">
        <v>274</v>
      </c>
      <c r="AR135" t="s">
        <v>274</v>
      </c>
      <c r="AS135" t="s">
        <v>274</v>
      </c>
      <c r="AT135" t="s">
        <v>274</v>
      </c>
      <c r="AU135" t="s">
        <v>274</v>
      </c>
      <c r="AV135" t="s">
        <v>274</v>
      </c>
      <c r="AW135" t="s">
        <v>274</v>
      </c>
      <c r="AX135" t="s">
        <v>274</v>
      </c>
      <c r="AY135" t="s">
        <v>274</v>
      </c>
      <c r="AZ135" t="s">
        <v>274</v>
      </c>
      <c r="BA135" t="s">
        <v>274</v>
      </c>
      <c r="BB135" t="s">
        <v>274</v>
      </c>
      <c r="BC135" t="s">
        <v>274</v>
      </c>
      <c r="BD135" t="s">
        <v>274</v>
      </c>
      <c r="BE135" t="s">
        <v>274</v>
      </c>
      <c r="BF135" t="s">
        <v>274</v>
      </c>
      <c r="BG135" t="s">
        <v>274</v>
      </c>
      <c r="BH135" t="s">
        <v>274</v>
      </c>
      <c r="BI135" t="s">
        <v>274</v>
      </c>
      <c r="BJ135" t="s">
        <v>274</v>
      </c>
      <c r="BK135" t="s">
        <v>274</v>
      </c>
      <c r="BL135" t="s">
        <v>274</v>
      </c>
      <c r="BM135" t="s">
        <v>274</v>
      </c>
      <c r="BN135" t="s">
        <v>274</v>
      </c>
      <c r="BO135" t="s">
        <v>274</v>
      </c>
      <c r="BP135" t="s">
        <v>274</v>
      </c>
      <c r="BQ135" t="s">
        <v>274</v>
      </c>
      <c r="BR135" t="s">
        <v>274</v>
      </c>
    </row>
    <row r="136" spans="1:70" x14ac:dyDescent="0.3">
      <c r="A136" t="s">
        <v>112</v>
      </c>
      <c r="B136" t="s">
        <v>2589</v>
      </c>
      <c r="C136" t="s">
        <v>578</v>
      </c>
      <c r="D136" t="s">
        <v>579</v>
      </c>
      <c r="E136" t="s">
        <v>274</v>
      </c>
      <c r="F136" t="s">
        <v>274</v>
      </c>
      <c r="G136" t="s">
        <v>274</v>
      </c>
      <c r="H136" t="s">
        <v>274</v>
      </c>
      <c r="I136" t="s">
        <v>274</v>
      </c>
      <c r="J136" t="s">
        <v>274</v>
      </c>
      <c r="K136" t="s">
        <v>274</v>
      </c>
      <c r="L136" t="s">
        <v>274</v>
      </c>
      <c r="M136" t="s">
        <v>274</v>
      </c>
      <c r="N136" t="s">
        <v>274</v>
      </c>
      <c r="O136" t="s">
        <v>274</v>
      </c>
      <c r="P136" t="s">
        <v>274</v>
      </c>
      <c r="Q136" t="s">
        <v>274</v>
      </c>
      <c r="R136" t="s">
        <v>274</v>
      </c>
      <c r="S136" t="s">
        <v>274</v>
      </c>
      <c r="T136" t="s">
        <v>274</v>
      </c>
      <c r="U136" t="s">
        <v>274</v>
      </c>
      <c r="V136" t="s">
        <v>274</v>
      </c>
      <c r="W136" t="s">
        <v>274</v>
      </c>
      <c r="X136" t="s">
        <v>274</v>
      </c>
      <c r="Y136" t="s">
        <v>274</v>
      </c>
      <c r="Z136" t="s">
        <v>274</v>
      </c>
      <c r="AA136" t="s">
        <v>274</v>
      </c>
      <c r="AB136" t="s">
        <v>274</v>
      </c>
      <c r="AC136" t="s">
        <v>274</v>
      </c>
      <c r="AD136" t="s">
        <v>274</v>
      </c>
      <c r="AE136" t="s">
        <v>274</v>
      </c>
      <c r="AF136" t="s">
        <v>274</v>
      </c>
      <c r="AG136" s="14" t="s">
        <v>274</v>
      </c>
      <c r="AH136" t="s">
        <v>274</v>
      </c>
      <c r="AI136" t="s">
        <v>274</v>
      </c>
      <c r="AJ136" t="s">
        <v>2590</v>
      </c>
      <c r="AK136" t="s">
        <v>2590</v>
      </c>
      <c r="AL136" t="s">
        <v>2591</v>
      </c>
      <c r="AM136" t="s">
        <v>1855</v>
      </c>
      <c r="AN136" t="s">
        <v>2592</v>
      </c>
      <c r="AO136" t="s">
        <v>1835</v>
      </c>
      <c r="AP136" t="s">
        <v>274</v>
      </c>
      <c r="AQ136" t="s">
        <v>2593</v>
      </c>
      <c r="AR136" t="s">
        <v>2594</v>
      </c>
      <c r="AS136" t="s">
        <v>2594</v>
      </c>
      <c r="AT136" t="s">
        <v>2595</v>
      </c>
      <c r="AU136" t="s">
        <v>1856</v>
      </c>
      <c r="AV136" t="s">
        <v>2596</v>
      </c>
      <c r="AW136" t="s">
        <v>2597</v>
      </c>
      <c r="AX136" t="s">
        <v>1848</v>
      </c>
      <c r="AY136" t="s">
        <v>2598</v>
      </c>
      <c r="AZ136" t="s">
        <v>1860</v>
      </c>
      <c r="BA136" t="s">
        <v>1855</v>
      </c>
      <c r="BB136" t="s">
        <v>2599</v>
      </c>
      <c r="BC136" t="s">
        <v>2600</v>
      </c>
      <c r="BD136" t="s">
        <v>274</v>
      </c>
      <c r="BE136" t="s">
        <v>274</v>
      </c>
      <c r="BF136" t="s">
        <v>274</v>
      </c>
      <c r="BG136" t="s">
        <v>274</v>
      </c>
      <c r="BH136" t="s">
        <v>274</v>
      </c>
      <c r="BI136" t="s">
        <v>274</v>
      </c>
      <c r="BJ136" t="s">
        <v>274</v>
      </c>
      <c r="BK136" t="s">
        <v>274</v>
      </c>
      <c r="BL136" t="s">
        <v>274</v>
      </c>
      <c r="BM136" t="s">
        <v>274</v>
      </c>
      <c r="BN136" t="s">
        <v>274</v>
      </c>
      <c r="BO136" t="s">
        <v>274</v>
      </c>
      <c r="BP136" t="s">
        <v>274</v>
      </c>
      <c r="BQ136" t="s">
        <v>274</v>
      </c>
      <c r="BR136" t="s">
        <v>274</v>
      </c>
    </row>
    <row r="137" spans="1:70" x14ac:dyDescent="0.3">
      <c r="A137" t="s">
        <v>113</v>
      </c>
      <c r="B137" t="s">
        <v>2601</v>
      </c>
      <c r="C137" t="s">
        <v>578</v>
      </c>
      <c r="D137" t="s">
        <v>579</v>
      </c>
      <c r="E137" t="s">
        <v>274</v>
      </c>
      <c r="F137" t="s">
        <v>274</v>
      </c>
      <c r="G137" t="s">
        <v>274</v>
      </c>
      <c r="H137" t="s">
        <v>274</v>
      </c>
      <c r="I137" t="s">
        <v>274</v>
      </c>
      <c r="J137" t="s">
        <v>274</v>
      </c>
      <c r="K137" t="s">
        <v>274</v>
      </c>
      <c r="L137" t="s">
        <v>274</v>
      </c>
      <c r="M137" t="s">
        <v>274</v>
      </c>
      <c r="N137" t="s">
        <v>274</v>
      </c>
      <c r="O137" t="s">
        <v>274</v>
      </c>
      <c r="P137" t="s">
        <v>274</v>
      </c>
      <c r="Q137" t="s">
        <v>274</v>
      </c>
      <c r="R137" t="s">
        <v>274</v>
      </c>
      <c r="S137" t="s">
        <v>274</v>
      </c>
      <c r="T137" t="s">
        <v>274</v>
      </c>
      <c r="U137" t="s">
        <v>274</v>
      </c>
      <c r="V137" t="s">
        <v>274</v>
      </c>
      <c r="W137" t="s">
        <v>274</v>
      </c>
      <c r="X137" t="s">
        <v>274</v>
      </c>
      <c r="Y137" t="s">
        <v>274</v>
      </c>
      <c r="Z137" t="s">
        <v>274</v>
      </c>
      <c r="AA137" t="s">
        <v>2602</v>
      </c>
      <c r="AB137" t="s">
        <v>2603</v>
      </c>
      <c r="AC137" t="s">
        <v>2604</v>
      </c>
      <c r="AD137" t="s">
        <v>2605</v>
      </c>
      <c r="AE137" t="s">
        <v>2606</v>
      </c>
      <c r="AF137" t="s">
        <v>2607</v>
      </c>
      <c r="AG137" s="14" t="s">
        <v>2608</v>
      </c>
      <c r="AH137" t="s">
        <v>2609</v>
      </c>
      <c r="AI137" t="s">
        <v>2610</v>
      </c>
      <c r="AJ137" t="s">
        <v>2611</v>
      </c>
      <c r="AK137" t="s">
        <v>2612</v>
      </c>
      <c r="AL137" t="s">
        <v>2613</v>
      </c>
      <c r="AM137" t="s">
        <v>2614</v>
      </c>
      <c r="AN137" t="s">
        <v>2615</v>
      </c>
      <c r="AO137" t="s">
        <v>2616</v>
      </c>
      <c r="AP137" t="s">
        <v>2617</v>
      </c>
      <c r="AQ137" t="s">
        <v>274</v>
      </c>
      <c r="AR137" t="s">
        <v>2618</v>
      </c>
      <c r="AS137" t="s">
        <v>2619</v>
      </c>
      <c r="AT137" t="s">
        <v>2620</v>
      </c>
      <c r="AU137" t="s">
        <v>2621</v>
      </c>
      <c r="AV137" t="s">
        <v>2622</v>
      </c>
      <c r="AW137" t="s">
        <v>2623</v>
      </c>
      <c r="AX137" t="s">
        <v>292</v>
      </c>
      <c r="AY137" t="s">
        <v>2624</v>
      </c>
      <c r="AZ137" t="s">
        <v>2625</v>
      </c>
      <c r="BA137" t="s">
        <v>2626</v>
      </c>
      <c r="BB137" t="s">
        <v>2627</v>
      </c>
      <c r="BC137" t="s">
        <v>2628</v>
      </c>
      <c r="BD137" t="s">
        <v>2629</v>
      </c>
      <c r="BE137" t="s">
        <v>2630</v>
      </c>
      <c r="BF137" t="s">
        <v>2631</v>
      </c>
      <c r="BG137" t="s">
        <v>2632</v>
      </c>
      <c r="BH137" t="s">
        <v>2633</v>
      </c>
      <c r="BI137" t="s">
        <v>2634</v>
      </c>
      <c r="BJ137" t="s">
        <v>2635</v>
      </c>
      <c r="BK137" t="s">
        <v>2636</v>
      </c>
      <c r="BL137" t="s">
        <v>2637</v>
      </c>
      <c r="BM137" t="s">
        <v>274</v>
      </c>
      <c r="BN137" t="s">
        <v>274</v>
      </c>
      <c r="BO137" t="s">
        <v>274</v>
      </c>
      <c r="BP137" t="s">
        <v>274</v>
      </c>
      <c r="BQ137" t="s">
        <v>274</v>
      </c>
      <c r="BR137" t="s">
        <v>274</v>
      </c>
    </row>
    <row r="138" spans="1:70" x14ac:dyDescent="0.3">
      <c r="A138" t="s">
        <v>114</v>
      </c>
      <c r="B138" t="s">
        <v>2638</v>
      </c>
      <c r="C138" t="s">
        <v>578</v>
      </c>
      <c r="D138" t="s">
        <v>579</v>
      </c>
      <c r="E138" t="s">
        <v>274</v>
      </c>
      <c r="F138" t="s">
        <v>274</v>
      </c>
      <c r="G138" t="s">
        <v>274</v>
      </c>
      <c r="H138" t="s">
        <v>274</v>
      </c>
      <c r="I138" t="s">
        <v>274</v>
      </c>
      <c r="J138" t="s">
        <v>274</v>
      </c>
      <c r="K138" t="s">
        <v>274</v>
      </c>
      <c r="L138" t="s">
        <v>274</v>
      </c>
      <c r="M138" t="s">
        <v>274</v>
      </c>
      <c r="N138" t="s">
        <v>274</v>
      </c>
      <c r="O138" t="s">
        <v>274</v>
      </c>
      <c r="P138" t="s">
        <v>274</v>
      </c>
      <c r="Q138" t="s">
        <v>274</v>
      </c>
      <c r="R138" t="s">
        <v>274</v>
      </c>
      <c r="S138" t="s">
        <v>274</v>
      </c>
      <c r="T138" t="s">
        <v>274</v>
      </c>
      <c r="U138" t="s">
        <v>274</v>
      </c>
      <c r="V138" t="s">
        <v>274</v>
      </c>
      <c r="W138" t="s">
        <v>274</v>
      </c>
      <c r="X138" t="s">
        <v>274</v>
      </c>
      <c r="Y138" t="s">
        <v>274</v>
      </c>
      <c r="Z138" t="s">
        <v>2639</v>
      </c>
      <c r="AA138" t="s">
        <v>2640</v>
      </c>
      <c r="AB138" t="s">
        <v>2641</v>
      </c>
      <c r="AC138" t="s">
        <v>2642</v>
      </c>
      <c r="AD138" t="s">
        <v>2643</v>
      </c>
      <c r="AE138" t="s">
        <v>2644</v>
      </c>
      <c r="AF138" t="s">
        <v>2645</v>
      </c>
      <c r="AG138" s="14" t="s">
        <v>2646</v>
      </c>
      <c r="AH138" t="s">
        <v>2647</v>
      </c>
      <c r="AI138" t="s">
        <v>274</v>
      </c>
      <c r="AJ138" t="s">
        <v>2648</v>
      </c>
      <c r="AK138" t="s">
        <v>2649</v>
      </c>
      <c r="AL138" t="s">
        <v>274</v>
      </c>
      <c r="AM138" t="s">
        <v>2650</v>
      </c>
      <c r="AN138" t="s">
        <v>2651</v>
      </c>
      <c r="AO138" t="s">
        <v>2652</v>
      </c>
      <c r="AP138" t="s">
        <v>2653</v>
      </c>
      <c r="AQ138" t="s">
        <v>2654</v>
      </c>
      <c r="AR138" t="s">
        <v>2655</v>
      </c>
      <c r="AS138" t="s">
        <v>2656</v>
      </c>
      <c r="AT138" t="s">
        <v>2657</v>
      </c>
      <c r="AU138" t="s">
        <v>2658</v>
      </c>
      <c r="AV138" t="s">
        <v>2659</v>
      </c>
      <c r="AW138" t="s">
        <v>2660</v>
      </c>
      <c r="AX138" t="s">
        <v>2661</v>
      </c>
      <c r="AY138" t="s">
        <v>2662</v>
      </c>
      <c r="AZ138" t="s">
        <v>2663</v>
      </c>
      <c r="BA138" t="s">
        <v>2664</v>
      </c>
      <c r="BB138" t="s">
        <v>2665</v>
      </c>
      <c r="BC138" t="s">
        <v>2666</v>
      </c>
      <c r="BD138" t="s">
        <v>2667</v>
      </c>
      <c r="BE138" t="s">
        <v>2668</v>
      </c>
      <c r="BF138" t="s">
        <v>2669</v>
      </c>
      <c r="BG138" t="s">
        <v>2670</v>
      </c>
      <c r="BH138" t="s">
        <v>2671</v>
      </c>
      <c r="BI138" t="s">
        <v>2672</v>
      </c>
      <c r="BJ138" t="s">
        <v>2673</v>
      </c>
      <c r="BK138" t="s">
        <v>274</v>
      </c>
      <c r="BL138" t="s">
        <v>274</v>
      </c>
      <c r="BM138" t="s">
        <v>274</v>
      </c>
      <c r="BN138" t="s">
        <v>274</v>
      </c>
      <c r="BO138" t="s">
        <v>274</v>
      </c>
      <c r="BP138" t="s">
        <v>274</v>
      </c>
      <c r="BQ138" t="s">
        <v>274</v>
      </c>
      <c r="BR138" t="s">
        <v>274</v>
      </c>
    </row>
    <row r="139" spans="1:70" x14ac:dyDescent="0.3">
      <c r="A139" t="s">
        <v>115</v>
      </c>
      <c r="B139" t="s">
        <v>2674</v>
      </c>
      <c r="C139" t="s">
        <v>578</v>
      </c>
      <c r="D139" t="s">
        <v>579</v>
      </c>
      <c r="E139" t="s">
        <v>274</v>
      </c>
      <c r="F139" t="s">
        <v>274</v>
      </c>
      <c r="G139" t="s">
        <v>274</v>
      </c>
      <c r="H139" t="s">
        <v>274</v>
      </c>
      <c r="I139" t="s">
        <v>601</v>
      </c>
      <c r="J139" t="s">
        <v>601</v>
      </c>
      <c r="K139" t="s">
        <v>601</v>
      </c>
      <c r="L139" t="s">
        <v>601</v>
      </c>
      <c r="M139" t="s">
        <v>601</v>
      </c>
      <c r="N139" t="s">
        <v>601</v>
      </c>
      <c r="O139" t="s">
        <v>601</v>
      </c>
      <c r="P139" t="s">
        <v>601</v>
      </c>
      <c r="Q139" t="s">
        <v>601</v>
      </c>
      <c r="R139" t="s">
        <v>601</v>
      </c>
      <c r="S139" t="s">
        <v>601</v>
      </c>
      <c r="T139" t="s">
        <v>601</v>
      </c>
      <c r="U139" t="s">
        <v>601</v>
      </c>
      <c r="V139" t="s">
        <v>601</v>
      </c>
      <c r="W139" t="s">
        <v>601</v>
      </c>
      <c r="X139" t="s">
        <v>601</v>
      </c>
      <c r="Y139" t="s">
        <v>601</v>
      </c>
      <c r="Z139" t="s">
        <v>601</v>
      </c>
      <c r="AA139" t="s">
        <v>601</v>
      </c>
      <c r="AB139" t="s">
        <v>601</v>
      </c>
      <c r="AC139" t="s">
        <v>601</v>
      </c>
      <c r="AD139" t="s">
        <v>601</v>
      </c>
      <c r="AE139" t="s">
        <v>601</v>
      </c>
      <c r="AF139" t="s">
        <v>601</v>
      </c>
      <c r="AG139" s="14" t="s">
        <v>601</v>
      </c>
      <c r="AH139" t="s">
        <v>601</v>
      </c>
      <c r="AI139" t="s">
        <v>601</v>
      </c>
      <c r="AJ139" t="s">
        <v>601</v>
      </c>
      <c r="AK139" t="s">
        <v>601</v>
      </c>
      <c r="AL139" t="s">
        <v>601</v>
      </c>
      <c r="AM139" t="s">
        <v>274</v>
      </c>
      <c r="AN139" t="s">
        <v>274</v>
      </c>
      <c r="AO139" t="s">
        <v>274</v>
      </c>
      <c r="AP139" t="s">
        <v>274</v>
      </c>
      <c r="AQ139" t="s">
        <v>274</v>
      </c>
      <c r="AR139" t="s">
        <v>601</v>
      </c>
      <c r="AS139" t="s">
        <v>601</v>
      </c>
      <c r="AT139" t="s">
        <v>601</v>
      </c>
      <c r="AU139" t="s">
        <v>601</v>
      </c>
      <c r="AV139" t="s">
        <v>601</v>
      </c>
      <c r="AW139" t="s">
        <v>2675</v>
      </c>
      <c r="AX139" t="s">
        <v>1769</v>
      </c>
      <c r="AY139" t="s">
        <v>2676</v>
      </c>
      <c r="AZ139" t="s">
        <v>604</v>
      </c>
      <c r="BA139" t="s">
        <v>604</v>
      </c>
      <c r="BB139" t="s">
        <v>604</v>
      </c>
      <c r="BC139" t="s">
        <v>604</v>
      </c>
      <c r="BD139" t="s">
        <v>604</v>
      </c>
      <c r="BE139" t="s">
        <v>604</v>
      </c>
      <c r="BF139" t="s">
        <v>604</v>
      </c>
      <c r="BG139" t="s">
        <v>604</v>
      </c>
      <c r="BH139" t="s">
        <v>274</v>
      </c>
      <c r="BI139" t="s">
        <v>274</v>
      </c>
      <c r="BJ139" t="s">
        <v>274</v>
      </c>
      <c r="BK139" t="s">
        <v>274</v>
      </c>
      <c r="BL139" t="s">
        <v>274</v>
      </c>
      <c r="BM139" t="s">
        <v>274</v>
      </c>
      <c r="BN139" t="s">
        <v>274</v>
      </c>
      <c r="BO139" t="s">
        <v>274</v>
      </c>
      <c r="BP139" t="s">
        <v>274</v>
      </c>
      <c r="BQ139" t="s">
        <v>274</v>
      </c>
      <c r="BR139" t="s">
        <v>274</v>
      </c>
    </row>
    <row r="140" spans="1:70" x14ac:dyDescent="0.3">
      <c r="A140" t="s">
        <v>116</v>
      </c>
      <c r="B140" t="s">
        <v>2677</v>
      </c>
      <c r="C140" t="s">
        <v>578</v>
      </c>
      <c r="D140" t="s">
        <v>579</v>
      </c>
      <c r="E140" t="s">
        <v>274</v>
      </c>
      <c r="F140" t="s">
        <v>274</v>
      </c>
      <c r="G140" t="s">
        <v>274</v>
      </c>
      <c r="H140" t="s">
        <v>274</v>
      </c>
      <c r="I140" t="s">
        <v>274</v>
      </c>
      <c r="J140" t="s">
        <v>274</v>
      </c>
      <c r="K140" t="s">
        <v>274</v>
      </c>
      <c r="L140" t="s">
        <v>274</v>
      </c>
      <c r="M140" t="s">
        <v>274</v>
      </c>
      <c r="N140" t="s">
        <v>274</v>
      </c>
      <c r="O140" t="s">
        <v>274</v>
      </c>
      <c r="P140" t="s">
        <v>274</v>
      </c>
      <c r="Q140" t="s">
        <v>274</v>
      </c>
      <c r="R140" t="s">
        <v>274</v>
      </c>
      <c r="S140" t="s">
        <v>274</v>
      </c>
      <c r="T140" t="s">
        <v>274</v>
      </c>
      <c r="U140" t="s">
        <v>274</v>
      </c>
      <c r="V140" t="s">
        <v>274</v>
      </c>
      <c r="W140" t="s">
        <v>274</v>
      </c>
      <c r="X140" t="s">
        <v>274</v>
      </c>
      <c r="Y140" t="s">
        <v>274</v>
      </c>
      <c r="Z140" t="s">
        <v>2678</v>
      </c>
      <c r="AA140" t="s">
        <v>2678</v>
      </c>
      <c r="AB140" t="s">
        <v>2678</v>
      </c>
      <c r="AC140" t="s">
        <v>2679</v>
      </c>
      <c r="AD140" t="s">
        <v>2680</v>
      </c>
      <c r="AE140" t="s">
        <v>2680</v>
      </c>
      <c r="AF140" t="s">
        <v>2681</v>
      </c>
      <c r="AG140" s="14" t="s">
        <v>2682</v>
      </c>
      <c r="AH140" t="s">
        <v>2683</v>
      </c>
      <c r="AI140" t="s">
        <v>2684</v>
      </c>
      <c r="AJ140" t="s">
        <v>2685</v>
      </c>
      <c r="AK140" t="s">
        <v>2686</v>
      </c>
      <c r="AL140" t="s">
        <v>2687</v>
      </c>
      <c r="AM140" t="s">
        <v>2688</v>
      </c>
      <c r="AN140" t="s">
        <v>2689</v>
      </c>
      <c r="AO140" t="s">
        <v>2690</v>
      </c>
      <c r="AP140" t="s">
        <v>2691</v>
      </c>
      <c r="AQ140" t="s">
        <v>2692</v>
      </c>
      <c r="AR140" t="s">
        <v>2693</v>
      </c>
      <c r="AS140" t="s">
        <v>2694</v>
      </c>
      <c r="AT140" t="s">
        <v>2695</v>
      </c>
      <c r="AU140" t="s">
        <v>2696</v>
      </c>
      <c r="AV140" t="s">
        <v>2697</v>
      </c>
      <c r="AW140" t="s">
        <v>2698</v>
      </c>
      <c r="AX140" t="s">
        <v>2699</v>
      </c>
      <c r="AY140" t="s">
        <v>2700</v>
      </c>
      <c r="AZ140" t="s">
        <v>2701</v>
      </c>
      <c r="BA140" t="s">
        <v>2702</v>
      </c>
      <c r="BB140" t="s">
        <v>2703</v>
      </c>
      <c r="BC140" t="s">
        <v>2704</v>
      </c>
      <c r="BD140" t="s">
        <v>2705</v>
      </c>
      <c r="BE140" t="s">
        <v>2706</v>
      </c>
      <c r="BF140" t="s">
        <v>2707</v>
      </c>
      <c r="BG140" t="s">
        <v>2708</v>
      </c>
      <c r="BH140" t="s">
        <v>2709</v>
      </c>
      <c r="BI140" t="s">
        <v>2710</v>
      </c>
      <c r="BJ140" t="s">
        <v>2711</v>
      </c>
      <c r="BK140" t="s">
        <v>2712</v>
      </c>
      <c r="BL140" t="s">
        <v>2713</v>
      </c>
      <c r="BM140" t="s">
        <v>2714</v>
      </c>
      <c r="BN140" t="s">
        <v>2715</v>
      </c>
      <c r="BO140" t="s">
        <v>2716</v>
      </c>
      <c r="BP140" t="s">
        <v>2717</v>
      </c>
      <c r="BQ140" t="s">
        <v>2718</v>
      </c>
      <c r="BR140" t="s">
        <v>274</v>
      </c>
    </row>
    <row r="141" spans="1:70" x14ac:dyDescent="0.3">
      <c r="A141" t="s">
        <v>117</v>
      </c>
      <c r="B141" t="s">
        <v>2719</v>
      </c>
      <c r="C141" t="s">
        <v>578</v>
      </c>
      <c r="D141" t="s">
        <v>579</v>
      </c>
      <c r="E141" t="s">
        <v>274</v>
      </c>
      <c r="F141" t="s">
        <v>274</v>
      </c>
      <c r="G141" t="s">
        <v>274</v>
      </c>
      <c r="H141" t="s">
        <v>274</v>
      </c>
      <c r="I141" t="s">
        <v>274</v>
      </c>
      <c r="J141" t="s">
        <v>274</v>
      </c>
      <c r="K141" t="s">
        <v>274</v>
      </c>
      <c r="L141" t="s">
        <v>274</v>
      </c>
      <c r="M141" t="s">
        <v>274</v>
      </c>
      <c r="N141" t="s">
        <v>274</v>
      </c>
      <c r="O141" t="s">
        <v>274</v>
      </c>
      <c r="P141" t="s">
        <v>274</v>
      </c>
      <c r="Q141" t="s">
        <v>274</v>
      </c>
      <c r="R141" t="s">
        <v>274</v>
      </c>
      <c r="S141" t="s">
        <v>274</v>
      </c>
      <c r="T141" t="s">
        <v>274</v>
      </c>
      <c r="U141" t="s">
        <v>274</v>
      </c>
      <c r="V141" t="s">
        <v>274</v>
      </c>
      <c r="W141" t="s">
        <v>274</v>
      </c>
      <c r="X141" t="s">
        <v>274</v>
      </c>
      <c r="Y141" t="s">
        <v>274</v>
      </c>
      <c r="Z141" t="s">
        <v>274</v>
      </c>
      <c r="AA141" t="s">
        <v>274</v>
      </c>
      <c r="AB141" t="s">
        <v>274</v>
      </c>
      <c r="AC141" t="s">
        <v>274</v>
      </c>
      <c r="AD141" t="s">
        <v>274</v>
      </c>
      <c r="AE141" t="s">
        <v>274</v>
      </c>
      <c r="AF141" t="s">
        <v>274</v>
      </c>
      <c r="AG141" s="14" t="s">
        <v>274</v>
      </c>
      <c r="AH141" t="s">
        <v>274</v>
      </c>
      <c r="AI141" t="s">
        <v>274</v>
      </c>
      <c r="AJ141" t="s">
        <v>274</v>
      </c>
      <c r="AK141" t="s">
        <v>274</v>
      </c>
      <c r="AL141" t="s">
        <v>274</v>
      </c>
      <c r="AM141" t="s">
        <v>274</v>
      </c>
      <c r="AN141" t="s">
        <v>274</v>
      </c>
      <c r="AO141" t="s">
        <v>274</v>
      </c>
      <c r="AP141" t="s">
        <v>274</v>
      </c>
      <c r="AQ141" t="s">
        <v>274</v>
      </c>
      <c r="AR141" t="s">
        <v>274</v>
      </c>
      <c r="AS141" t="s">
        <v>274</v>
      </c>
      <c r="AT141" t="s">
        <v>274</v>
      </c>
      <c r="AU141" t="s">
        <v>274</v>
      </c>
      <c r="AV141" t="s">
        <v>274</v>
      </c>
      <c r="AW141" t="s">
        <v>274</v>
      </c>
      <c r="AX141" t="s">
        <v>274</v>
      </c>
      <c r="AY141" t="s">
        <v>274</v>
      </c>
      <c r="AZ141" t="s">
        <v>274</v>
      </c>
      <c r="BA141" t="s">
        <v>274</v>
      </c>
      <c r="BB141" t="s">
        <v>274</v>
      </c>
      <c r="BC141" t="s">
        <v>274</v>
      </c>
      <c r="BD141" t="s">
        <v>274</v>
      </c>
      <c r="BE141" t="s">
        <v>274</v>
      </c>
      <c r="BF141" t="s">
        <v>274</v>
      </c>
      <c r="BG141" t="s">
        <v>274</v>
      </c>
      <c r="BH141" t="s">
        <v>274</v>
      </c>
      <c r="BI141" t="s">
        <v>274</v>
      </c>
      <c r="BJ141" t="s">
        <v>274</v>
      </c>
      <c r="BK141" t="s">
        <v>274</v>
      </c>
      <c r="BL141" t="s">
        <v>274</v>
      </c>
      <c r="BM141" t="s">
        <v>274</v>
      </c>
      <c r="BN141" t="s">
        <v>274</v>
      </c>
      <c r="BO141" t="s">
        <v>274</v>
      </c>
      <c r="BP141" t="s">
        <v>274</v>
      </c>
      <c r="BQ141" t="s">
        <v>274</v>
      </c>
      <c r="BR141" t="s">
        <v>274</v>
      </c>
    </row>
    <row r="142" spans="1:70" x14ac:dyDescent="0.3">
      <c r="A142" t="s">
        <v>2720</v>
      </c>
      <c r="B142" t="s">
        <v>2721</v>
      </c>
      <c r="C142" t="s">
        <v>578</v>
      </c>
      <c r="D142" t="s">
        <v>579</v>
      </c>
      <c r="E142" t="s">
        <v>274</v>
      </c>
      <c r="F142" t="s">
        <v>274</v>
      </c>
      <c r="G142" t="s">
        <v>274</v>
      </c>
      <c r="H142" t="s">
        <v>274</v>
      </c>
      <c r="I142" t="s">
        <v>274</v>
      </c>
      <c r="J142" t="s">
        <v>274</v>
      </c>
      <c r="K142" t="s">
        <v>274</v>
      </c>
      <c r="L142" t="s">
        <v>274</v>
      </c>
      <c r="M142" t="s">
        <v>274</v>
      </c>
      <c r="N142" t="s">
        <v>274</v>
      </c>
      <c r="O142" t="s">
        <v>274</v>
      </c>
      <c r="P142" t="s">
        <v>274</v>
      </c>
      <c r="Q142" t="s">
        <v>274</v>
      </c>
      <c r="R142" t="s">
        <v>274</v>
      </c>
      <c r="S142" t="s">
        <v>274</v>
      </c>
      <c r="T142" t="s">
        <v>274</v>
      </c>
      <c r="U142" t="s">
        <v>274</v>
      </c>
      <c r="V142" t="s">
        <v>274</v>
      </c>
      <c r="W142" t="s">
        <v>274</v>
      </c>
      <c r="X142" t="s">
        <v>274</v>
      </c>
      <c r="Y142" t="s">
        <v>274</v>
      </c>
      <c r="Z142" t="s">
        <v>274</v>
      </c>
      <c r="AA142" t="s">
        <v>274</v>
      </c>
      <c r="AB142" t="s">
        <v>274</v>
      </c>
      <c r="AC142" t="s">
        <v>274</v>
      </c>
      <c r="AD142" t="s">
        <v>274</v>
      </c>
      <c r="AE142" t="s">
        <v>274</v>
      </c>
      <c r="AF142" t="s">
        <v>274</v>
      </c>
      <c r="AG142" s="14" t="s">
        <v>274</v>
      </c>
      <c r="AH142" t="s">
        <v>274</v>
      </c>
      <c r="AI142" t="s">
        <v>274</v>
      </c>
      <c r="AJ142" t="s">
        <v>274</v>
      </c>
      <c r="AK142" t="s">
        <v>274</v>
      </c>
      <c r="AL142" t="s">
        <v>274</v>
      </c>
      <c r="AM142" t="s">
        <v>274</v>
      </c>
      <c r="AN142" t="s">
        <v>274</v>
      </c>
      <c r="AO142" t="s">
        <v>274</v>
      </c>
      <c r="AP142" t="s">
        <v>274</v>
      </c>
      <c r="AQ142" t="s">
        <v>274</v>
      </c>
      <c r="AR142" t="s">
        <v>274</v>
      </c>
      <c r="AS142" t="s">
        <v>274</v>
      </c>
      <c r="AT142" t="s">
        <v>274</v>
      </c>
      <c r="AU142" t="s">
        <v>274</v>
      </c>
      <c r="AV142" t="s">
        <v>274</v>
      </c>
      <c r="AW142" t="s">
        <v>274</v>
      </c>
      <c r="AX142" t="s">
        <v>274</v>
      </c>
      <c r="AY142" t="s">
        <v>274</v>
      </c>
      <c r="AZ142" t="s">
        <v>274</v>
      </c>
      <c r="BA142" t="s">
        <v>274</v>
      </c>
      <c r="BB142" t="s">
        <v>274</v>
      </c>
      <c r="BC142" t="s">
        <v>274</v>
      </c>
      <c r="BD142" t="s">
        <v>274</v>
      </c>
      <c r="BE142" t="s">
        <v>274</v>
      </c>
      <c r="BF142" t="s">
        <v>274</v>
      </c>
      <c r="BG142" t="s">
        <v>274</v>
      </c>
      <c r="BH142" t="s">
        <v>274</v>
      </c>
      <c r="BI142" t="s">
        <v>274</v>
      </c>
      <c r="BJ142" t="s">
        <v>274</v>
      </c>
      <c r="BK142" t="s">
        <v>274</v>
      </c>
      <c r="BL142" t="s">
        <v>274</v>
      </c>
      <c r="BM142" t="s">
        <v>274</v>
      </c>
      <c r="BN142" t="s">
        <v>274</v>
      </c>
      <c r="BO142" t="s">
        <v>274</v>
      </c>
      <c r="BP142" t="s">
        <v>274</v>
      </c>
      <c r="BQ142" t="s">
        <v>274</v>
      </c>
      <c r="BR142" t="s">
        <v>274</v>
      </c>
    </row>
    <row r="143" spans="1:70" x14ac:dyDescent="0.3">
      <c r="A143" t="s">
        <v>2722</v>
      </c>
      <c r="B143" t="s">
        <v>2723</v>
      </c>
      <c r="C143" t="s">
        <v>578</v>
      </c>
      <c r="D143" t="s">
        <v>579</v>
      </c>
      <c r="E143" t="s">
        <v>274</v>
      </c>
      <c r="F143" t="s">
        <v>274</v>
      </c>
      <c r="G143" t="s">
        <v>274</v>
      </c>
      <c r="H143" t="s">
        <v>274</v>
      </c>
      <c r="I143" t="s">
        <v>274</v>
      </c>
      <c r="J143" t="s">
        <v>274</v>
      </c>
      <c r="K143" t="s">
        <v>274</v>
      </c>
      <c r="L143" t="s">
        <v>274</v>
      </c>
      <c r="M143" t="s">
        <v>274</v>
      </c>
      <c r="N143" t="s">
        <v>274</v>
      </c>
      <c r="O143" t="s">
        <v>274</v>
      </c>
      <c r="P143" t="s">
        <v>274</v>
      </c>
      <c r="Q143" t="s">
        <v>274</v>
      </c>
      <c r="R143" t="s">
        <v>274</v>
      </c>
      <c r="S143" t="s">
        <v>274</v>
      </c>
      <c r="T143" t="s">
        <v>274</v>
      </c>
      <c r="U143" t="s">
        <v>274</v>
      </c>
      <c r="V143" t="s">
        <v>274</v>
      </c>
      <c r="W143" t="s">
        <v>274</v>
      </c>
      <c r="X143" t="s">
        <v>274</v>
      </c>
      <c r="Y143" t="s">
        <v>274</v>
      </c>
      <c r="Z143" t="s">
        <v>274</v>
      </c>
      <c r="AA143" t="s">
        <v>274</v>
      </c>
      <c r="AB143" t="s">
        <v>274</v>
      </c>
      <c r="AC143" t="s">
        <v>274</v>
      </c>
      <c r="AD143" t="s">
        <v>274</v>
      </c>
      <c r="AE143" t="s">
        <v>274</v>
      </c>
      <c r="AF143" t="s">
        <v>274</v>
      </c>
      <c r="AG143" s="14" t="s">
        <v>274</v>
      </c>
      <c r="AH143" t="s">
        <v>274</v>
      </c>
      <c r="AI143" t="s">
        <v>274</v>
      </c>
      <c r="AJ143" t="s">
        <v>274</v>
      </c>
      <c r="AK143" t="s">
        <v>274</v>
      </c>
      <c r="AL143" t="s">
        <v>274</v>
      </c>
      <c r="AM143" t="s">
        <v>274</v>
      </c>
      <c r="AN143" t="s">
        <v>274</v>
      </c>
      <c r="AO143" t="s">
        <v>274</v>
      </c>
      <c r="AP143" t="s">
        <v>274</v>
      </c>
      <c r="AQ143" t="s">
        <v>274</v>
      </c>
      <c r="AR143" t="s">
        <v>274</v>
      </c>
      <c r="AS143" t="s">
        <v>274</v>
      </c>
      <c r="AT143" t="s">
        <v>274</v>
      </c>
      <c r="AU143" t="s">
        <v>274</v>
      </c>
      <c r="AV143" t="s">
        <v>274</v>
      </c>
      <c r="AW143" t="s">
        <v>274</v>
      </c>
      <c r="AX143" t="s">
        <v>274</v>
      </c>
      <c r="AY143" t="s">
        <v>274</v>
      </c>
      <c r="AZ143" t="s">
        <v>274</v>
      </c>
      <c r="BA143" t="s">
        <v>274</v>
      </c>
      <c r="BB143" t="s">
        <v>274</v>
      </c>
      <c r="BC143" t="s">
        <v>274</v>
      </c>
      <c r="BD143" t="s">
        <v>274</v>
      </c>
      <c r="BE143" t="s">
        <v>274</v>
      </c>
      <c r="BF143" t="s">
        <v>274</v>
      </c>
      <c r="BG143" t="s">
        <v>274</v>
      </c>
      <c r="BH143" t="s">
        <v>274</v>
      </c>
      <c r="BI143" t="s">
        <v>274</v>
      </c>
      <c r="BJ143" t="s">
        <v>274</v>
      </c>
      <c r="BK143" t="s">
        <v>274</v>
      </c>
      <c r="BL143" t="s">
        <v>274</v>
      </c>
      <c r="BM143" t="s">
        <v>274</v>
      </c>
      <c r="BN143" t="s">
        <v>274</v>
      </c>
      <c r="BO143" t="s">
        <v>274</v>
      </c>
      <c r="BP143" t="s">
        <v>274</v>
      </c>
      <c r="BQ143" t="s">
        <v>274</v>
      </c>
      <c r="BR143" t="s">
        <v>274</v>
      </c>
    </row>
    <row r="144" spans="1:70" x14ac:dyDescent="0.3">
      <c r="A144" t="s">
        <v>2724</v>
      </c>
      <c r="B144" t="s">
        <v>2725</v>
      </c>
      <c r="C144" t="s">
        <v>578</v>
      </c>
      <c r="D144" t="s">
        <v>579</v>
      </c>
      <c r="E144" t="s">
        <v>274</v>
      </c>
      <c r="F144" t="s">
        <v>274</v>
      </c>
      <c r="G144" t="s">
        <v>274</v>
      </c>
      <c r="H144" t="s">
        <v>274</v>
      </c>
      <c r="I144" t="s">
        <v>274</v>
      </c>
      <c r="J144" t="s">
        <v>274</v>
      </c>
      <c r="K144" t="s">
        <v>274</v>
      </c>
      <c r="L144" t="s">
        <v>274</v>
      </c>
      <c r="M144" t="s">
        <v>274</v>
      </c>
      <c r="N144" t="s">
        <v>274</v>
      </c>
      <c r="O144" t="s">
        <v>274</v>
      </c>
      <c r="P144" t="s">
        <v>274</v>
      </c>
      <c r="Q144" t="s">
        <v>274</v>
      </c>
      <c r="R144" t="s">
        <v>274</v>
      </c>
      <c r="S144" t="s">
        <v>274</v>
      </c>
      <c r="T144" t="s">
        <v>274</v>
      </c>
      <c r="U144" t="s">
        <v>274</v>
      </c>
      <c r="V144" t="s">
        <v>274</v>
      </c>
      <c r="W144" t="s">
        <v>274</v>
      </c>
      <c r="X144" t="s">
        <v>274</v>
      </c>
      <c r="Y144" t="s">
        <v>274</v>
      </c>
      <c r="Z144" t="s">
        <v>274</v>
      </c>
      <c r="AA144" t="s">
        <v>274</v>
      </c>
      <c r="AB144" t="s">
        <v>274</v>
      </c>
      <c r="AC144" t="s">
        <v>274</v>
      </c>
      <c r="AD144" t="s">
        <v>274</v>
      </c>
      <c r="AE144" t="s">
        <v>274</v>
      </c>
      <c r="AF144" t="s">
        <v>274</v>
      </c>
      <c r="AG144" s="14" t="s">
        <v>274</v>
      </c>
      <c r="AH144" t="s">
        <v>274</v>
      </c>
      <c r="AI144" t="s">
        <v>274</v>
      </c>
      <c r="AJ144" t="s">
        <v>274</v>
      </c>
      <c r="AK144" t="s">
        <v>274</v>
      </c>
      <c r="AL144" t="s">
        <v>274</v>
      </c>
      <c r="AM144" t="s">
        <v>274</v>
      </c>
      <c r="AN144" t="s">
        <v>274</v>
      </c>
      <c r="AO144" t="s">
        <v>274</v>
      </c>
      <c r="AP144" t="s">
        <v>274</v>
      </c>
      <c r="AQ144" t="s">
        <v>274</v>
      </c>
      <c r="AR144" t="s">
        <v>274</v>
      </c>
      <c r="AS144" t="s">
        <v>274</v>
      </c>
      <c r="AT144" t="s">
        <v>274</v>
      </c>
      <c r="AU144" t="s">
        <v>274</v>
      </c>
      <c r="AV144" t="s">
        <v>274</v>
      </c>
      <c r="AW144" t="s">
        <v>274</v>
      </c>
      <c r="AX144" t="s">
        <v>274</v>
      </c>
      <c r="AY144" t="s">
        <v>274</v>
      </c>
      <c r="AZ144" t="s">
        <v>274</v>
      </c>
      <c r="BA144" t="s">
        <v>274</v>
      </c>
      <c r="BB144" t="s">
        <v>274</v>
      </c>
      <c r="BC144" t="s">
        <v>274</v>
      </c>
      <c r="BD144" t="s">
        <v>274</v>
      </c>
      <c r="BE144" t="s">
        <v>274</v>
      </c>
      <c r="BF144" t="s">
        <v>274</v>
      </c>
      <c r="BG144" t="s">
        <v>274</v>
      </c>
      <c r="BH144" t="s">
        <v>274</v>
      </c>
      <c r="BI144" t="s">
        <v>274</v>
      </c>
      <c r="BJ144" t="s">
        <v>274</v>
      </c>
      <c r="BK144" t="s">
        <v>274</v>
      </c>
      <c r="BL144" t="s">
        <v>274</v>
      </c>
      <c r="BM144" t="s">
        <v>274</v>
      </c>
      <c r="BN144" t="s">
        <v>274</v>
      </c>
      <c r="BO144" t="s">
        <v>274</v>
      </c>
      <c r="BP144" t="s">
        <v>274</v>
      </c>
      <c r="BQ144" t="s">
        <v>274</v>
      </c>
      <c r="BR144" t="s">
        <v>274</v>
      </c>
    </row>
    <row r="145" spans="1:70" x14ac:dyDescent="0.3">
      <c r="A145" t="s">
        <v>118</v>
      </c>
      <c r="B145" t="s">
        <v>2726</v>
      </c>
      <c r="C145" t="s">
        <v>578</v>
      </c>
      <c r="D145" t="s">
        <v>579</v>
      </c>
      <c r="E145" t="s">
        <v>274</v>
      </c>
      <c r="F145" t="s">
        <v>274</v>
      </c>
      <c r="G145" t="s">
        <v>274</v>
      </c>
      <c r="H145" t="s">
        <v>274</v>
      </c>
      <c r="I145" t="s">
        <v>274</v>
      </c>
      <c r="J145" t="s">
        <v>274</v>
      </c>
      <c r="K145" t="s">
        <v>274</v>
      </c>
      <c r="L145" t="s">
        <v>274</v>
      </c>
      <c r="M145" t="s">
        <v>274</v>
      </c>
      <c r="N145" t="s">
        <v>274</v>
      </c>
      <c r="O145" t="s">
        <v>274</v>
      </c>
      <c r="P145" t="s">
        <v>274</v>
      </c>
      <c r="Q145" t="s">
        <v>274</v>
      </c>
      <c r="R145" t="s">
        <v>274</v>
      </c>
      <c r="S145" t="s">
        <v>274</v>
      </c>
      <c r="T145" t="s">
        <v>274</v>
      </c>
      <c r="U145" t="s">
        <v>274</v>
      </c>
      <c r="V145" t="s">
        <v>274</v>
      </c>
      <c r="W145" t="s">
        <v>274</v>
      </c>
      <c r="X145" t="s">
        <v>274</v>
      </c>
      <c r="Y145" t="s">
        <v>274</v>
      </c>
      <c r="Z145" t="s">
        <v>274</v>
      </c>
      <c r="AA145" t="s">
        <v>274</v>
      </c>
      <c r="AB145" t="s">
        <v>274</v>
      </c>
      <c r="AC145" t="s">
        <v>274</v>
      </c>
      <c r="AD145" t="s">
        <v>274</v>
      </c>
      <c r="AE145" t="s">
        <v>274</v>
      </c>
      <c r="AF145" t="s">
        <v>274</v>
      </c>
      <c r="AG145" s="14" t="s">
        <v>274</v>
      </c>
      <c r="AH145" t="s">
        <v>274</v>
      </c>
      <c r="AI145" t="s">
        <v>274</v>
      </c>
      <c r="AJ145" t="s">
        <v>274</v>
      </c>
      <c r="AK145" t="s">
        <v>274</v>
      </c>
      <c r="AL145" t="s">
        <v>274</v>
      </c>
      <c r="AM145" t="s">
        <v>274</v>
      </c>
      <c r="AN145" t="s">
        <v>274</v>
      </c>
      <c r="AO145" t="s">
        <v>274</v>
      </c>
      <c r="AP145" t="s">
        <v>274</v>
      </c>
      <c r="AQ145" t="s">
        <v>274</v>
      </c>
      <c r="AR145" t="s">
        <v>274</v>
      </c>
      <c r="AS145" t="s">
        <v>274</v>
      </c>
      <c r="AT145" t="s">
        <v>1248</v>
      </c>
      <c r="AU145" t="s">
        <v>2727</v>
      </c>
      <c r="AV145" t="s">
        <v>2728</v>
      </c>
      <c r="AW145" t="s">
        <v>2729</v>
      </c>
      <c r="AX145" t="s">
        <v>2730</v>
      </c>
      <c r="AY145" t="s">
        <v>2731</v>
      </c>
      <c r="AZ145" t="s">
        <v>2732</v>
      </c>
      <c r="BA145" t="s">
        <v>2733</v>
      </c>
      <c r="BB145" t="s">
        <v>2734</v>
      </c>
      <c r="BC145" t="s">
        <v>2735</v>
      </c>
      <c r="BD145" t="s">
        <v>2736</v>
      </c>
      <c r="BE145" t="s">
        <v>2737</v>
      </c>
      <c r="BF145" t="s">
        <v>2738</v>
      </c>
      <c r="BG145" t="s">
        <v>2739</v>
      </c>
      <c r="BH145" t="s">
        <v>2740</v>
      </c>
      <c r="BI145" t="s">
        <v>2741</v>
      </c>
      <c r="BJ145" t="s">
        <v>356</v>
      </c>
      <c r="BK145" t="s">
        <v>2051</v>
      </c>
      <c r="BL145" t="s">
        <v>2742</v>
      </c>
      <c r="BM145" t="s">
        <v>274</v>
      </c>
      <c r="BN145" t="s">
        <v>274</v>
      </c>
      <c r="BO145" t="s">
        <v>274</v>
      </c>
      <c r="BP145" t="s">
        <v>274</v>
      </c>
      <c r="BQ145" t="s">
        <v>274</v>
      </c>
      <c r="BR145" t="s">
        <v>274</v>
      </c>
    </row>
    <row r="146" spans="1:70" x14ac:dyDescent="0.3">
      <c r="A146" t="s">
        <v>2743</v>
      </c>
      <c r="B146" t="s">
        <v>2744</v>
      </c>
      <c r="C146" t="s">
        <v>578</v>
      </c>
      <c r="D146" t="s">
        <v>579</v>
      </c>
      <c r="E146" t="s">
        <v>274</v>
      </c>
      <c r="F146" t="s">
        <v>274</v>
      </c>
      <c r="G146" t="s">
        <v>274</v>
      </c>
      <c r="H146" t="s">
        <v>274</v>
      </c>
      <c r="I146" t="s">
        <v>274</v>
      </c>
      <c r="J146" t="s">
        <v>274</v>
      </c>
      <c r="K146" t="s">
        <v>274</v>
      </c>
      <c r="L146" t="s">
        <v>274</v>
      </c>
      <c r="M146" t="s">
        <v>274</v>
      </c>
      <c r="N146" t="s">
        <v>274</v>
      </c>
      <c r="O146" t="s">
        <v>274</v>
      </c>
      <c r="P146" t="s">
        <v>274</v>
      </c>
      <c r="Q146" t="s">
        <v>274</v>
      </c>
      <c r="R146" t="s">
        <v>274</v>
      </c>
      <c r="S146" t="s">
        <v>274</v>
      </c>
      <c r="T146" t="s">
        <v>274</v>
      </c>
      <c r="U146" t="s">
        <v>274</v>
      </c>
      <c r="V146" t="s">
        <v>274</v>
      </c>
      <c r="W146" t="s">
        <v>274</v>
      </c>
      <c r="X146" t="s">
        <v>274</v>
      </c>
      <c r="Y146" t="s">
        <v>274</v>
      </c>
      <c r="Z146" t="s">
        <v>274</v>
      </c>
      <c r="AA146" t="s">
        <v>274</v>
      </c>
      <c r="AB146" t="s">
        <v>274</v>
      </c>
      <c r="AC146" t="s">
        <v>274</v>
      </c>
      <c r="AD146" t="s">
        <v>274</v>
      </c>
      <c r="AE146" t="s">
        <v>274</v>
      </c>
      <c r="AF146" t="s">
        <v>274</v>
      </c>
      <c r="AG146" s="14" t="s">
        <v>274</v>
      </c>
      <c r="AH146" t="s">
        <v>274</v>
      </c>
      <c r="AI146" t="s">
        <v>274</v>
      </c>
      <c r="AJ146" t="s">
        <v>274</v>
      </c>
      <c r="AK146" t="s">
        <v>274</v>
      </c>
      <c r="AL146" t="s">
        <v>274</v>
      </c>
      <c r="AM146" t="s">
        <v>274</v>
      </c>
      <c r="AN146" t="s">
        <v>274</v>
      </c>
      <c r="AO146" t="s">
        <v>274</v>
      </c>
      <c r="AP146" t="s">
        <v>274</v>
      </c>
      <c r="AQ146" t="s">
        <v>274</v>
      </c>
      <c r="AR146" t="s">
        <v>274</v>
      </c>
      <c r="AS146" t="s">
        <v>274</v>
      </c>
      <c r="AT146" t="s">
        <v>274</v>
      </c>
      <c r="AU146" t="s">
        <v>274</v>
      </c>
      <c r="AV146" t="s">
        <v>274</v>
      </c>
      <c r="AW146" t="s">
        <v>274</v>
      </c>
      <c r="AX146" t="s">
        <v>274</v>
      </c>
      <c r="AY146" t="s">
        <v>274</v>
      </c>
      <c r="AZ146" t="s">
        <v>274</v>
      </c>
      <c r="BA146" t="s">
        <v>274</v>
      </c>
      <c r="BB146" t="s">
        <v>274</v>
      </c>
      <c r="BC146" t="s">
        <v>274</v>
      </c>
      <c r="BD146" t="s">
        <v>274</v>
      </c>
      <c r="BE146" t="s">
        <v>274</v>
      </c>
      <c r="BF146" t="s">
        <v>274</v>
      </c>
      <c r="BG146" t="s">
        <v>274</v>
      </c>
      <c r="BH146" t="s">
        <v>274</v>
      </c>
      <c r="BI146" t="s">
        <v>274</v>
      </c>
      <c r="BJ146" t="s">
        <v>274</v>
      </c>
      <c r="BK146" t="s">
        <v>274</v>
      </c>
      <c r="BL146" t="s">
        <v>274</v>
      </c>
      <c r="BM146" t="s">
        <v>274</v>
      </c>
      <c r="BN146" t="s">
        <v>274</v>
      </c>
      <c r="BO146" t="s">
        <v>274</v>
      </c>
      <c r="BP146" t="s">
        <v>274</v>
      </c>
      <c r="BQ146" t="s">
        <v>274</v>
      </c>
      <c r="BR146" t="s">
        <v>274</v>
      </c>
    </row>
    <row r="147" spans="1:70" x14ac:dyDescent="0.3">
      <c r="A147" t="s">
        <v>2745</v>
      </c>
      <c r="B147" t="s">
        <v>2746</v>
      </c>
      <c r="C147" t="s">
        <v>578</v>
      </c>
      <c r="D147" t="s">
        <v>579</v>
      </c>
      <c r="E147" t="s">
        <v>274</v>
      </c>
      <c r="F147" t="s">
        <v>274</v>
      </c>
      <c r="G147" t="s">
        <v>274</v>
      </c>
      <c r="H147" t="s">
        <v>274</v>
      </c>
      <c r="I147" t="s">
        <v>274</v>
      </c>
      <c r="J147" t="s">
        <v>274</v>
      </c>
      <c r="K147" t="s">
        <v>274</v>
      </c>
      <c r="L147" t="s">
        <v>274</v>
      </c>
      <c r="M147" t="s">
        <v>274</v>
      </c>
      <c r="N147" t="s">
        <v>274</v>
      </c>
      <c r="O147" t="s">
        <v>274</v>
      </c>
      <c r="P147" t="s">
        <v>274</v>
      </c>
      <c r="Q147" t="s">
        <v>274</v>
      </c>
      <c r="R147" t="s">
        <v>274</v>
      </c>
      <c r="S147" t="s">
        <v>274</v>
      </c>
      <c r="T147" t="s">
        <v>274</v>
      </c>
      <c r="U147" t="s">
        <v>274</v>
      </c>
      <c r="V147" t="s">
        <v>274</v>
      </c>
      <c r="W147" t="s">
        <v>274</v>
      </c>
      <c r="X147" t="s">
        <v>274</v>
      </c>
      <c r="Y147" t="s">
        <v>274</v>
      </c>
      <c r="Z147" t="s">
        <v>274</v>
      </c>
      <c r="AA147" t="s">
        <v>274</v>
      </c>
      <c r="AB147" t="s">
        <v>274</v>
      </c>
      <c r="AC147" t="s">
        <v>274</v>
      </c>
      <c r="AD147" t="s">
        <v>274</v>
      </c>
      <c r="AE147" t="s">
        <v>274</v>
      </c>
      <c r="AF147" t="s">
        <v>274</v>
      </c>
      <c r="AG147" s="14" t="s">
        <v>274</v>
      </c>
      <c r="AH147" t="s">
        <v>274</v>
      </c>
      <c r="AI147" t="s">
        <v>274</v>
      </c>
      <c r="AJ147" t="s">
        <v>274</v>
      </c>
      <c r="AK147" t="s">
        <v>274</v>
      </c>
      <c r="AL147" t="s">
        <v>274</v>
      </c>
      <c r="AM147" t="s">
        <v>274</v>
      </c>
      <c r="AN147" t="s">
        <v>274</v>
      </c>
      <c r="AO147" t="s">
        <v>274</v>
      </c>
      <c r="AP147" t="s">
        <v>274</v>
      </c>
      <c r="AQ147" t="s">
        <v>274</v>
      </c>
      <c r="AR147" t="s">
        <v>274</v>
      </c>
      <c r="AS147" t="s">
        <v>274</v>
      </c>
      <c r="AT147" t="s">
        <v>274</v>
      </c>
      <c r="AU147" t="s">
        <v>274</v>
      </c>
      <c r="AV147" t="s">
        <v>274</v>
      </c>
      <c r="AW147" t="s">
        <v>274</v>
      </c>
      <c r="AX147" t="s">
        <v>274</v>
      </c>
      <c r="AY147" t="s">
        <v>274</v>
      </c>
      <c r="AZ147" t="s">
        <v>274</v>
      </c>
      <c r="BA147" t="s">
        <v>274</v>
      </c>
      <c r="BB147" t="s">
        <v>274</v>
      </c>
      <c r="BC147" t="s">
        <v>274</v>
      </c>
      <c r="BD147" t="s">
        <v>274</v>
      </c>
      <c r="BE147" t="s">
        <v>274</v>
      </c>
      <c r="BF147" t="s">
        <v>274</v>
      </c>
      <c r="BG147" t="s">
        <v>274</v>
      </c>
      <c r="BH147" t="s">
        <v>274</v>
      </c>
      <c r="BI147" t="s">
        <v>274</v>
      </c>
      <c r="BJ147" t="s">
        <v>274</v>
      </c>
      <c r="BK147" t="s">
        <v>274</v>
      </c>
      <c r="BL147" t="s">
        <v>274</v>
      </c>
      <c r="BM147" t="s">
        <v>274</v>
      </c>
      <c r="BN147" t="s">
        <v>274</v>
      </c>
      <c r="BO147" t="s">
        <v>274</v>
      </c>
      <c r="BP147" t="s">
        <v>274</v>
      </c>
      <c r="BQ147" t="s">
        <v>274</v>
      </c>
      <c r="BR147" t="s">
        <v>274</v>
      </c>
    </row>
    <row r="148" spans="1:70" x14ac:dyDescent="0.3">
      <c r="A148" t="s">
        <v>2747</v>
      </c>
      <c r="B148" t="s">
        <v>2748</v>
      </c>
      <c r="C148" t="s">
        <v>578</v>
      </c>
      <c r="D148" t="s">
        <v>579</v>
      </c>
      <c r="E148" t="s">
        <v>274</v>
      </c>
      <c r="F148" t="s">
        <v>274</v>
      </c>
      <c r="G148" t="s">
        <v>274</v>
      </c>
      <c r="H148" t="s">
        <v>274</v>
      </c>
      <c r="I148" t="s">
        <v>274</v>
      </c>
      <c r="J148" t="s">
        <v>274</v>
      </c>
      <c r="K148" t="s">
        <v>274</v>
      </c>
      <c r="L148" t="s">
        <v>274</v>
      </c>
      <c r="M148" t="s">
        <v>274</v>
      </c>
      <c r="N148" t="s">
        <v>274</v>
      </c>
      <c r="O148" t="s">
        <v>274</v>
      </c>
      <c r="P148" t="s">
        <v>274</v>
      </c>
      <c r="Q148" t="s">
        <v>274</v>
      </c>
      <c r="R148" t="s">
        <v>274</v>
      </c>
      <c r="S148" t="s">
        <v>274</v>
      </c>
      <c r="T148" t="s">
        <v>274</v>
      </c>
      <c r="U148" t="s">
        <v>274</v>
      </c>
      <c r="V148" t="s">
        <v>274</v>
      </c>
      <c r="W148" t="s">
        <v>274</v>
      </c>
      <c r="X148" t="s">
        <v>274</v>
      </c>
      <c r="Y148" t="s">
        <v>580</v>
      </c>
      <c r="Z148" t="s">
        <v>616</v>
      </c>
      <c r="AA148" t="s">
        <v>1233</v>
      </c>
      <c r="AB148" t="s">
        <v>2749</v>
      </c>
      <c r="AC148" t="s">
        <v>2750</v>
      </c>
      <c r="AD148" t="s">
        <v>2751</v>
      </c>
      <c r="AE148" t="s">
        <v>810</v>
      </c>
      <c r="AF148" t="s">
        <v>2752</v>
      </c>
      <c r="AG148" s="14" t="s">
        <v>1461</v>
      </c>
      <c r="AH148" t="s">
        <v>2408</v>
      </c>
      <c r="AI148" t="s">
        <v>2753</v>
      </c>
      <c r="AJ148" t="s">
        <v>2754</v>
      </c>
      <c r="AK148" t="s">
        <v>2755</v>
      </c>
      <c r="AL148" t="s">
        <v>2407</v>
      </c>
      <c r="AM148" t="s">
        <v>1248</v>
      </c>
      <c r="AN148" t="s">
        <v>1755</v>
      </c>
      <c r="AO148" t="s">
        <v>2756</v>
      </c>
      <c r="AP148" t="s">
        <v>2757</v>
      </c>
      <c r="AQ148" t="s">
        <v>2758</v>
      </c>
      <c r="AR148" t="s">
        <v>2759</v>
      </c>
      <c r="AS148" t="s">
        <v>2760</v>
      </c>
      <c r="AT148" t="s">
        <v>2761</v>
      </c>
      <c r="AU148" t="s">
        <v>2762</v>
      </c>
      <c r="AV148" t="s">
        <v>2763</v>
      </c>
      <c r="AW148" t="s">
        <v>2764</v>
      </c>
      <c r="AX148" t="s">
        <v>2765</v>
      </c>
      <c r="AY148" t="s">
        <v>2766</v>
      </c>
      <c r="AZ148" t="s">
        <v>2767</v>
      </c>
      <c r="BA148" t="s">
        <v>2768</v>
      </c>
      <c r="BB148" t="s">
        <v>1969</v>
      </c>
      <c r="BC148" t="s">
        <v>2769</v>
      </c>
      <c r="BD148" t="s">
        <v>2770</v>
      </c>
      <c r="BE148" t="s">
        <v>2771</v>
      </c>
      <c r="BF148" t="s">
        <v>2772</v>
      </c>
      <c r="BG148" t="s">
        <v>2773</v>
      </c>
      <c r="BH148" t="s">
        <v>2774</v>
      </c>
      <c r="BI148" t="s">
        <v>2775</v>
      </c>
      <c r="BJ148" t="s">
        <v>2776</v>
      </c>
      <c r="BK148" t="s">
        <v>2777</v>
      </c>
      <c r="BL148" t="s">
        <v>2778</v>
      </c>
      <c r="BM148" t="s">
        <v>2779</v>
      </c>
      <c r="BN148" t="s">
        <v>2780</v>
      </c>
      <c r="BO148" t="s">
        <v>2781</v>
      </c>
      <c r="BP148" t="s">
        <v>2782</v>
      </c>
      <c r="BQ148" t="s">
        <v>2783</v>
      </c>
      <c r="BR148" t="s">
        <v>274</v>
      </c>
    </row>
    <row r="149" spans="1:70" x14ac:dyDescent="0.3">
      <c r="A149" t="s">
        <v>2784</v>
      </c>
      <c r="B149" t="s">
        <v>2785</v>
      </c>
      <c r="C149" t="s">
        <v>578</v>
      </c>
      <c r="D149" t="s">
        <v>579</v>
      </c>
      <c r="E149" t="s">
        <v>274</v>
      </c>
      <c r="F149" t="s">
        <v>274</v>
      </c>
      <c r="G149" t="s">
        <v>274</v>
      </c>
      <c r="H149" t="s">
        <v>274</v>
      </c>
      <c r="I149" t="s">
        <v>274</v>
      </c>
      <c r="J149" t="s">
        <v>274</v>
      </c>
      <c r="K149" t="s">
        <v>274</v>
      </c>
      <c r="L149" t="s">
        <v>274</v>
      </c>
      <c r="M149" t="s">
        <v>274</v>
      </c>
      <c r="N149" t="s">
        <v>274</v>
      </c>
      <c r="O149" t="s">
        <v>274</v>
      </c>
      <c r="P149" t="s">
        <v>274</v>
      </c>
      <c r="Q149" t="s">
        <v>274</v>
      </c>
      <c r="R149" t="s">
        <v>274</v>
      </c>
      <c r="S149" t="s">
        <v>274</v>
      </c>
      <c r="T149" t="s">
        <v>274</v>
      </c>
      <c r="U149" t="s">
        <v>274</v>
      </c>
      <c r="V149" t="s">
        <v>274</v>
      </c>
      <c r="W149" t="s">
        <v>274</v>
      </c>
      <c r="X149" t="s">
        <v>274</v>
      </c>
      <c r="Y149" t="s">
        <v>274</v>
      </c>
      <c r="Z149" t="s">
        <v>274</v>
      </c>
      <c r="AA149" t="s">
        <v>274</v>
      </c>
      <c r="AB149" t="s">
        <v>274</v>
      </c>
      <c r="AC149" t="s">
        <v>274</v>
      </c>
      <c r="AD149" t="s">
        <v>274</v>
      </c>
      <c r="AE149" t="s">
        <v>274</v>
      </c>
      <c r="AF149" t="s">
        <v>274</v>
      </c>
      <c r="AG149" s="14" t="s">
        <v>274</v>
      </c>
      <c r="AH149" t="s">
        <v>274</v>
      </c>
      <c r="AI149" t="s">
        <v>274</v>
      </c>
      <c r="AJ149" t="s">
        <v>274</v>
      </c>
      <c r="AK149" t="s">
        <v>274</v>
      </c>
      <c r="AL149" t="s">
        <v>274</v>
      </c>
      <c r="AM149" t="s">
        <v>274</v>
      </c>
      <c r="AN149" t="s">
        <v>274</v>
      </c>
      <c r="AO149" t="s">
        <v>274</v>
      </c>
      <c r="AP149" t="s">
        <v>274</v>
      </c>
      <c r="AQ149" t="s">
        <v>274</v>
      </c>
      <c r="AR149" t="s">
        <v>274</v>
      </c>
      <c r="AS149" t="s">
        <v>274</v>
      </c>
      <c r="AT149" t="s">
        <v>274</v>
      </c>
      <c r="AU149" t="s">
        <v>274</v>
      </c>
      <c r="AV149" t="s">
        <v>274</v>
      </c>
      <c r="AW149" t="s">
        <v>274</v>
      </c>
      <c r="AX149" t="s">
        <v>274</v>
      </c>
      <c r="AY149" t="s">
        <v>274</v>
      </c>
      <c r="AZ149" t="s">
        <v>274</v>
      </c>
      <c r="BA149" t="s">
        <v>274</v>
      </c>
      <c r="BB149" t="s">
        <v>274</v>
      </c>
      <c r="BC149" t="s">
        <v>274</v>
      </c>
      <c r="BD149" t="s">
        <v>274</v>
      </c>
      <c r="BE149" t="s">
        <v>274</v>
      </c>
      <c r="BF149" t="s">
        <v>274</v>
      </c>
      <c r="BG149" t="s">
        <v>274</v>
      </c>
      <c r="BH149" t="s">
        <v>274</v>
      </c>
      <c r="BI149" t="s">
        <v>274</v>
      </c>
      <c r="BJ149" t="s">
        <v>274</v>
      </c>
      <c r="BK149" t="s">
        <v>274</v>
      </c>
      <c r="BL149" t="s">
        <v>274</v>
      </c>
      <c r="BM149" t="s">
        <v>274</v>
      </c>
      <c r="BN149" t="s">
        <v>274</v>
      </c>
      <c r="BO149" t="s">
        <v>274</v>
      </c>
      <c r="BP149" t="s">
        <v>274</v>
      </c>
      <c r="BQ149" t="s">
        <v>274</v>
      </c>
      <c r="BR149" t="s">
        <v>274</v>
      </c>
    </row>
    <row r="150" spans="1:70" x14ac:dyDescent="0.3">
      <c r="A150" t="s">
        <v>218</v>
      </c>
      <c r="B150" t="s">
        <v>2786</v>
      </c>
      <c r="C150" t="s">
        <v>578</v>
      </c>
      <c r="D150" t="s">
        <v>579</v>
      </c>
      <c r="E150" t="s">
        <v>274</v>
      </c>
      <c r="F150" t="s">
        <v>274</v>
      </c>
      <c r="G150" t="s">
        <v>274</v>
      </c>
      <c r="H150" t="s">
        <v>274</v>
      </c>
      <c r="I150" t="s">
        <v>274</v>
      </c>
      <c r="J150" t="s">
        <v>274</v>
      </c>
      <c r="K150" t="s">
        <v>274</v>
      </c>
      <c r="L150" t="s">
        <v>274</v>
      </c>
      <c r="M150" t="s">
        <v>274</v>
      </c>
      <c r="N150" t="s">
        <v>274</v>
      </c>
      <c r="O150" t="s">
        <v>274</v>
      </c>
      <c r="P150" t="s">
        <v>274</v>
      </c>
      <c r="Q150" t="s">
        <v>274</v>
      </c>
      <c r="R150" t="s">
        <v>274</v>
      </c>
      <c r="S150" t="s">
        <v>274</v>
      </c>
      <c r="T150" t="s">
        <v>274</v>
      </c>
      <c r="U150" t="s">
        <v>274</v>
      </c>
      <c r="V150" t="s">
        <v>274</v>
      </c>
      <c r="W150" t="s">
        <v>274</v>
      </c>
      <c r="X150" t="s">
        <v>274</v>
      </c>
      <c r="Y150" t="s">
        <v>274</v>
      </c>
      <c r="Z150" t="s">
        <v>274</v>
      </c>
      <c r="AA150" t="s">
        <v>274</v>
      </c>
      <c r="AB150" t="s">
        <v>274</v>
      </c>
      <c r="AC150" t="s">
        <v>274</v>
      </c>
      <c r="AD150" t="s">
        <v>274</v>
      </c>
      <c r="AE150" t="s">
        <v>274</v>
      </c>
      <c r="AF150" t="s">
        <v>274</v>
      </c>
      <c r="AG150" s="14" t="s">
        <v>274</v>
      </c>
      <c r="AH150" t="s">
        <v>274</v>
      </c>
      <c r="AI150" t="s">
        <v>274</v>
      </c>
      <c r="AJ150" t="s">
        <v>274</v>
      </c>
      <c r="AK150" t="s">
        <v>274</v>
      </c>
      <c r="AL150" t="s">
        <v>274</v>
      </c>
      <c r="AM150" t="s">
        <v>274</v>
      </c>
      <c r="AN150" t="s">
        <v>274</v>
      </c>
      <c r="AO150" t="s">
        <v>274</v>
      </c>
      <c r="AP150" t="s">
        <v>274</v>
      </c>
      <c r="AQ150" t="s">
        <v>274</v>
      </c>
      <c r="AR150" t="s">
        <v>274</v>
      </c>
      <c r="AS150" t="s">
        <v>274</v>
      </c>
      <c r="AT150" t="s">
        <v>274</v>
      </c>
      <c r="AU150" t="s">
        <v>274</v>
      </c>
      <c r="AV150" t="s">
        <v>274</v>
      </c>
      <c r="AW150" t="s">
        <v>274</v>
      </c>
      <c r="AX150" t="s">
        <v>274</v>
      </c>
      <c r="AY150" t="s">
        <v>274</v>
      </c>
      <c r="AZ150" t="s">
        <v>274</v>
      </c>
      <c r="BA150" t="s">
        <v>274</v>
      </c>
      <c r="BB150" t="s">
        <v>274</v>
      </c>
      <c r="BC150" t="s">
        <v>274</v>
      </c>
      <c r="BD150" t="s">
        <v>274</v>
      </c>
      <c r="BE150" t="s">
        <v>274</v>
      </c>
      <c r="BF150" t="s">
        <v>274</v>
      </c>
      <c r="BG150" t="s">
        <v>274</v>
      </c>
      <c r="BH150" t="s">
        <v>274</v>
      </c>
      <c r="BI150" t="s">
        <v>274</v>
      </c>
      <c r="BJ150" t="s">
        <v>274</v>
      </c>
      <c r="BK150" t="s">
        <v>274</v>
      </c>
      <c r="BL150" t="s">
        <v>274</v>
      </c>
      <c r="BM150" t="s">
        <v>274</v>
      </c>
      <c r="BN150" t="s">
        <v>274</v>
      </c>
      <c r="BO150" t="s">
        <v>274</v>
      </c>
      <c r="BP150" t="s">
        <v>274</v>
      </c>
      <c r="BQ150" t="s">
        <v>274</v>
      </c>
      <c r="BR150" t="s">
        <v>274</v>
      </c>
    </row>
    <row r="151" spans="1:70" x14ac:dyDescent="0.3">
      <c r="A151" t="s">
        <v>219</v>
      </c>
      <c r="B151" t="s">
        <v>2787</v>
      </c>
      <c r="C151" t="s">
        <v>578</v>
      </c>
      <c r="D151" t="s">
        <v>579</v>
      </c>
      <c r="E151" t="s">
        <v>274</v>
      </c>
      <c r="F151" t="s">
        <v>274</v>
      </c>
      <c r="G151" t="s">
        <v>274</v>
      </c>
      <c r="H151" t="s">
        <v>274</v>
      </c>
      <c r="I151" t="s">
        <v>274</v>
      </c>
      <c r="J151" t="s">
        <v>274</v>
      </c>
      <c r="K151" t="s">
        <v>274</v>
      </c>
      <c r="L151" t="s">
        <v>274</v>
      </c>
      <c r="M151" t="s">
        <v>274</v>
      </c>
      <c r="N151" t="s">
        <v>274</v>
      </c>
      <c r="O151" t="s">
        <v>274</v>
      </c>
      <c r="P151" t="s">
        <v>274</v>
      </c>
      <c r="Q151" t="s">
        <v>274</v>
      </c>
      <c r="R151" t="s">
        <v>274</v>
      </c>
      <c r="S151" t="s">
        <v>274</v>
      </c>
      <c r="T151" t="s">
        <v>274</v>
      </c>
      <c r="U151" t="s">
        <v>274</v>
      </c>
      <c r="V151" t="s">
        <v>274</v>
      </c>
      <c r="W151" t="s">
        <v>274</v>
      </c>
      <c r="X151" t="s">
        <v>274</v>
      </c>
      <c r="Y151" t="s">
        <v>274</v>
      </c>
      <c r="Z151" t="s">
        <v>274</v>
      </c>
      <c r="AA151" t="s">
        <v>274</v>
      </c>
      <c r="AB151" t="s">
        <v>274</v>
      </c>
      <c r="AC151" t="s">
        <v>274</v>
      </c>
      <c r="AD151" t="s">
        <v>274</v>
      </c>
      <c r="AE151" t="s">
        <v>274</v>
      </c>
      <c r="AF151" t="s">
        <v>274</v>
      </c>
      <c r="AG151" s="14" t="s">
        <v>274</v>
      </c>
      <c r="AH151" t="s">
        <v>274</v>
      </c>
      <c r="AI151" t="s">
        <v>274</v>
      </c>
      <c r="AJ151" t="s">
        <v>274</v>
      </c>
      <c r="AK151" t="s">
        <v>274</v>
      </c>
      <c r="AL151" t="s">
        <v>274</v>
      </c>
      <c r="AM151" t="s">
        <v>274</v>
      </c>
      <c r="AN151" t="s">
        <v>274</v>
      </c>
      <c r="AO151" t="s">
        <v>274</v>
      </c>
      <c r="AP151" t="s">
        <v>274</v>
      </c>
      <c r="AQ151" t="s">
        <v>274</v>
      </c>
      <c r="AR151" t="s">
        <v>274</v>
      </c>
      <c r="AS151" t="s">
        <v>274</v>
      </c>
      <c r="AT151" t="s">
        <v>274</v>
      </c>
      <c r="AU151" t="s">
        <v>274</v>
      </c>
      <c r="AV151" t="s">
        <v>274</v>
      </c>
      <c r="AW151" t="s">
        <v>274</v>
      </c>
      <c r="AX151" t="s">
        <v>274</v>
      </c>
      <c r="AY151" t="s">
        <v>274</v>
      </c>
      <c r="AZ151" t="s">
        <v>274</v>
      </c>
      <c r="BA151" t="s">
        <v>274</v>
      </c>
      <c r="BB151" t="s">
        <v>274</v>
      </c>
      <c r="BC151" t="s">
        <v>274</v>
      </c>
      <c r="BD151" t="s">
        <v>274</v>
      </c>
      <c r="BE151" t="s">
        <v>274</v>
      </c>
      <c r="BF151" t="s">
        <v>274</v>
      </c>
      <c r="BG151" t="s">
        <v>274</v>
      </c>
      <c r="BH151" t="s">
        <v>274</v>
      </c>
      <c r="BI151" t="s">
        <v>274</v>
      </c>
      <c r="BJ151" t="s">
        <v>274</v>
      </c>
      <c r="BK151" t="s">
        <v>274</v>
      </c>
      <c r="BL151" t="s">
        <v>274</v>
      </c>
      <c r="BM151" t="s">
        <v>274</v>
      </c>
      <c r="BN151" t="s">
        <v>274</v>
      </c>
      <c r="BO151" t="s">
        <v>274</v>
      </c>
      <c r="BP151" t="s">
        <v>274</v>
      </c>
      <c r="BQ151" t="s">
        <v>274</v>
      </c>
      <c r="BR151" t="s">
        <v>274</v>
      </c>
    </row>
    <row r="152" spans="1:70" x14ac:dyDescent="0.3">
      <c r="A152" t="s">
        <v>220</v>
      </c>
      <c r="B152" t="s">
        <v>2788</v>
      </c>
      <c r="C152" t="s">
        <v>578</v>
      </c>
      <c r="D152" t="s">
        <v>579</v>
      </c>
      <c r="E152" t="s">
        <v>274</v>
      </c>
      <c r="F152" t="s">
        <v>274</v>
      </c>
      <c r="G152" t="s">
        <v>274</v>
      </c>
      <c r="H152" t="s">
        <v>274</v>
      </c>
      <c r="I152" t="s">
        <v>274</v>
      </c>
      <c r="J152" t="s">
        <v>274</v>
      </c>
      <c r="K152" t="s">
        <v>274</v>
      </c>
      <c r="L152" t="s">
        <v>274</v>
      </c>
      <c r="M152" t="s">
        <v>274</v>
      </c>
      <c r="N152" t="s">
        <v>274</v>
      </c>
      <c r="O152" t="s">
        <v>274</v>
      </c>
      <c r="P152" t="s">
        <v>274</v>
      </c>
      <c r="Q152" t="s">
        <v>274</v>
      </c>
      <c r="R152" t="s">
        <v>274</v>
      </c>
      <c r="S152" t="s">
        <v>274</v>
      </c>
      <c r="T152" t="s">
        <v>274</v>
      </c>
      <c r="U152" t="s">
        <v>274</v>
      </c>
      <c r="V152" t="s">
        <v>274</v>
      </c>
      <c r="W152" t="s">
        <v>274</v>
      </c>
      <c r="X152" t="s">
        <v>274</v>
      </c>
      <c r="Y152" t="s">
        <v>274</v>
      </c>
      <c r="Z152" t="s">
        <v>274</v>
      </c>
      <c r="AA152" t="s">
        <v>274</v>
      </c>
      <c r="AB152" t="s">
        <v>274</v>
      </c>
      <c r="AC152" t="s">
        <v>274</v>
      </c>
      <c r="AD152" t="s">
        <v>274</v>
      </c>
      <c r="AE152" t="s">
        <v>274</v>
      </c>
      <c r="AF152" t="s">
        <v>274</v>
      </c>
      <c r="AG152" s="14" t="s">
        <v>274</v>
      </c>
      <c r="AH152" t="s">
        <v>274</v>
      </c>
      <c r="AI152" t="s">
        <v>274</v>
      </c>
      <c r="AJ152" t="s">
        <v>274</v>
      </c>
      <c r="AK152" t="s">
        <v>274</v>
      </c>
      <c r="AL152" t="s">
        <v>274</v>
      </c>
      <c r="AM152" t="s">
        <v>274</v>
      </c>
      <c r="AN152" t="s">
        <v>274</v>
      </c>
      <c r="AO152" t="s">
        <v>274</v>
      </c>
      <c r="AP152" t="s">
        <v>274</v>
      </c>
      <c r="AQ152" t="s">
        <v>274</v>
      </c>
      <c r="AR152" t="s">
        <v>274</v>
      </c>
      <c r="AS152" t="s">
        <v>274</v>
      </c>
      <c r="AT152" t="s">
        <v>274</v>
      </c>
      <c r="AU152" t="s">
        <v>274</v>
      </c>
      <c r="AV152" t="s">
        <v>274</v>
      </c>
      <c r="AW152" t="s">
        <v>274</v>
      </c>
      <c r="AX152" t="s">
        <v>274</v>
      </c>
      <c r="AY152" t="s">
        <v>274</v>
      </c>
      <c r="AZ152" t="s">
        <v>274</v>
      </c>
      <c r="BA152" t="s">
        <v>274</v>
      </c>
      <c r="BB152" t="s">
        <v>274</v>
      </c>
      <c r="BC152" t="s">
        <v>274</v>
      </c>
      <c r="BD152" t="s">
        <v>274</v>
      </c>
      <c r="BE152" t="s">
        <v>274</v>
      </c>
      <c r="BF152" t="s">
        <v>274</v>
      </c>
      <c r="BG152" t="s">
        <v>274</v>
      </c>
      <c r="BH152" t="s">
        <v>274</v>
      </c>
      <c r="BI152" t="s">
        <v>274</v>
      </c>
      <c r="BJ152" t="s">
        <v>274</v>
      </c>
      <c r="BK152" t="s">
        <v>274</v>
      </c>
      <c r="BL152" t="s">
        <v>274</v>
      </c>
      <c r="BM152" t="s">
        <v>274</v>
      </c>
      <c r="BN152" t="s">
        <v>274</v>
      </c>
      <c r="BO152" t="s">
        <v>274</v>
      </c>
      <c r="BP152" t="s">
        <v>274</v>
      </c>
      <c r="BQ152" t="s">
        <v>274</v>
      </c>
      <c r="BR152" t="s">
        <v>274</v>
      </c>
    </row>
    <row r="153" spans="1:70" x14ac:dyDescent="0.3">
      <c r="A153" t="s">
        <v>2789</v>
      </c>
      <c r="B153" t="s">
        <v>2790</v>
      </c>
      <c r="C153" t="s">
        <v>578</v>
      </c>
      <c r="D153" t="s">
        <v>579</v>
      </c>
      <c r="E153" t="s">
        <v>274</v>
      </c>
      <c r="F153" t="s">
        <v>274</v>
      </c>
      <c r="G153" t="s">
        <v>274</v>
      </c>
      <c r="H153" t="s">
        <v>274</v>
      </c>
      <c r="I153" t="s">
        <v>274</v>
      </c>
      <c r="J153" t="s">
        <v>274</v>
      </c>
      <c r="K153" t="s">
        <v>274</v>
      </c>
      <c r="L153" t="s">
        <v>274</v>
      </c>
      <c r="M153" t="s">
        <v>274</v>
      </c>
      <c r="N153" t="s">
        <v>274</v>
      </c>
      <c r="O153" t="s">
        <v>274</v>
      </c>
      <c r="P153" t="s">
        <v>274</v>
      </c>
      <c r="Q153" t="s">
        <v>274</v>
      </c>
      <c r="R153" t="s">
        <v>274</v>
      </c>
      <c r="S153" t="s">
        <v>274</v>
      </c>
      <c r="T153" t="s">
        <v>274</v>
      </c>
      <c r="U153" t="s">
        <v>274</v>
      </c>
      <c r="V153" t="s">
        <v>274</v>
      </c>
      <c r="W153" t="s">
        <v>274</v>
      </c>
      <c r="X153" t="s">
        <v>274</v>
      </c>
      <c r="Y153" t="s">
        <v>274</v>
      </c>
      <c r="Z153" t="s">
        <v>274</v>
      </c>
      <c r="AA153" t="s">
        <v>274</v>
      </c>
      <c r="AB153" t="s">
        <v>274</v>
      </c>
      <c r="AC153" t="s">
        <v>274</v>
      </c>
      <c r="AD153" t="s">
        <v>274</v>
      </c>
      <c r="AE153" t="s">
        <v>1230</v>
      </c>
      <c r="AF153" t="s">
        <v>1770</v>
      </c>
      <c r="AG153" s="14" t="s">
        <v>2791</v>
      </c>
      <c r="AH153" t="s">
        <v>2792</v>
      </c>
      <c r="AI153" t="s">
        <v>2793</v>
      </c>
      <c r="AJ153" t="s">
        <v>812</v>
      </c>
      <c r="AK153" t="s">
        <v>793</v>
      </c>
      <c r="AL153" t="s">
        <v>1230</v>
      </c>
      <c r="AM153" t="s">
        <v>2794</v>
      </c>
      <c r="AN153" t="s">
        <v>2795</v>
      </c>
      <c r="AO153" t="s">
        <v>2796</v>
      </c>
      <c r="AP153" t="s">
        <v>2797</v>
      </c>
      <c r="AQ153" t="s">
        <v>2798</v>
      </c>
      <c r="AR153" t="s">
        <v>2799</v>
      </c>
      <c r="AS153" t="s">
        <v>2800</v>
      </c>
      <c r="AT153" t="s">
        <v>2801</v>
      </c>
      <c r="AU153" t="s">
        <v>2802</v>
      </c>
      <c r="AV153" t="s">
        <v>604</v>
      </c>
      <c r="AW153" t="s">
        <v>2803</v>
      </c>
      <c r="AX153" t="s">
        <v>2804</v>
      </c>
      <c r="AY153" t="s">
        <v>2805</v>
      </c>
      <c r="AZ153" t="s">
        <v>2806</v>
      </c>
      <c r="BA153" t="s">
        <v>2807</v>
      </c>
      <c r="BB153" t="s">
        <v>1273</v>
      </c>
      <c r="BC153" t="s">
        <v>1273</v>
      </c>
      <c r="BD153" t="s">
        <v>1273</v>
      </c>
      <c r="BE153" t="s">
        <v>1273</v>
      </c>
      <c r="BF153" t="s">
        <v>1273</v>
      </c>
      <c r="BG153" t="s">
        <v>1273</v>
      </c>
      <c r="BH153" t="s">
        <v>1273</v>
      </c>
      <c r="BI153" t="s">
        <v>1273</v>
      </c>
      <c r="BJ153" t="s">
        <v>1273</v>
      </c>
      <c r="BK153" t="s">
        <v>2808</v>
      </c>
      <c r="BL153" t="s">
        <v>2809</v>
      </c>
      <c r="BM153" t="s">
        <v>2810</v>
      </c>
      <c r="BN153" t="s">
        <v>2811</v>
      </c>
      <c r="BO153" t="s">
        <v>2812</v>
      </c>
      <c r="BP153" t="s">
        <v>2813</v>
      </c>
      <c r="BQ153" t="s">
        <v>2814</v>
      </c>
      <c r="BR153" t="s">
        <v>274</v>
      </c>
    </row>
    <row r="154" spans="1:70" x14ac:dyDescent="0.3">
      <c r="A154" t="s">
        <v>2815</v>
      </c>
      <c r="B154" t="s">
        <v>2816</v>
      </c>
      <c r="C154" t="s">
        <v>578</v>
      </c>
      <c r="D154" t="s">
        <v>579</v>
      </c>
      <c r="E154" t="s">
        <v>274</v>
      </c>
      <c r="F154" t="s">
        <v>274</v>
      </c>
      <c r="G154" t="s">
        <v>274</v>
      </c>
      <c r="H154" t="s">
        <v>274</v>
      </c>
      <c r="I154" t="s">
        <v>274</v>
      </c>
      <c r="J154" t="s">
        <v>274</v>
      </c>
      <c r="K154" t="s">
        <v>274</v>
      </c>
      <c r="L154" t="s">
        <v>274</v>
      </c>
      <c r="M154" t="s">
        <v>274</v>
      </c>
      <c r="N154" t="s">
        <v>274</v>
      </c>
      <c r="O154" t="s">
        <v>274</v>
      </c>
      <c r="P154" t="s">
        <v>274</v>
      </c>
      <c r="Q154" t="s">
        <v>274</v>
      </c>
      <c r="R154" t="s">
        <v>274</v>
      </c>
      <c r="S154" t="s">
        <v>274</v>
      </c>
      <c r="T154" t="s">
        <v>274</v>
      </c>
      <c r="U154" t="s">
        <v>274</v>
      </c>
      <c r="V154" t="s">
        <v>274</v>
      </c>
      <c r="W154" t="s">
        <v>274</v>
      </c>
      <c r="X154" t="s">
        <v>274</v>
      </c>
      <c r="Y154" t="s">
        <v>274</v>
      </c>
      <c r="Z154" t="s">
        <v>274</v>
      </c>
      <c r="AA154" t="s">
        <v>274</v>
      </c>
      <c r="AB154" t="s">
        <v>274</v>
      </c>
      <c r="AC154" t="s">
        <v>274</v>
      </c>
      <c r="AD154" t="s">
        <v>274</v>
      </c>
      <c r="AE154" t="s">
        <v>274</v>
      </c>
      <c r="AF154" t="s">
        <v>274</v>
      </c>
      <c r="AG154" s="14" t="s">
        <v>274</v>
      </c>
      <c r="AH154" t="s">
        <v>274</v>
      </c>
      <c r="AI154" t="s">
        <v>274</v>
      </c>
      <c r="AJ154" t="s">
        <v>274</v>
      </c>
      <c r="AK154" t="s">
        <v>274</v>
      </c>
      <c r="AL154" t="s">
        <v>274</v>
      </c>
      <c r="AM154" t="s">
        <v>274</v>
      </c>
      <c r="AN154" t="s">
        <v>274</v>
      </c>
      <c r="AO154" t="s">
        <v>274</v>
      </c>
      <c r="AP154" t="s">
        <v>274</v>
      </c>
      <c r="AQ154" t="s">
        <v>274</v>
      </c>
      <c r="AR154" t="s">
        <v>274</v>
      </c>
      <c r="AS154" t="s">
        <v>274</v>
      </c>
      <c r="AT154" t="s">
        <v>274</v>
      </c>
      <c r="AU154" t="s">
        <v>274</v>
      </c>
      <c r="AV154" t="s">
        <v>274</v>
      </c>
      <c r="AW154" t="s">
        <v>274</v>
      </c>
      <c r="AX154" t="s">
        <v>274</v>
      </c>
      <c r="AY154" t="s">
        <v>274</v>
      </c>
      <c r="AZ154" t="s">
        <v>274</v>
      </c>
      <c r="BA154" t="s">
        <v>274</v>
      </c>
      <c r="BB154" t="s">
        <v>274</v>
      </c>
      <c r="BC154" t="s">
        <v>274</v>
      </c>
      <c r="BD154" t="s">
        <v>274</v>
      </c>
      <c r="BE154" t="s">
        <v>274</v>
      </c>
      <c r="BF154" t="s">
        <v>274</v>
      </c>
      <c r="BG154" t="s">
        <v>274</v>
      </c>
      <c r="BH154" t="s">
        <v>274</v>
      </c>
      <c r="BI154" t="s">
        <v>274</v>
      </c>
      <c r="BJ154" t="s">
        <v>274</v>
      </c>
      <c r="BK154" t="s">
        <v>274</v>
      </c>
      <c r="BL154" t="s">
        <v>274</v>
      </c>
      <c r="BM154" t="s">
        <v>274</v>
      </c>
      <c r="BN154" t="s">
        <v>274</v>
      </c>
      <c r="BO154" t="s">
        <v>274</v>
      </c>
      <c r="BP154" t="s">
        <v>274</v>
      </c>
      <c r="BQ154" t="s">
        <v>274</v>
      </c>
      <c r="BR154" t="s">
        <v>274</v>
      </c>
    </row>
    <row r="155" spans="1:70" x14ac:dyDescent="0.3">
      <c r="A155" t="s">
        <v>120</v>
      </c>
      <c r="B155" t="s">
        <v>2817</v>
      </c>
      <c r="C155" t="s">
        <v>578</v>
      </c>
      <c r="D155" t="s">
        <v>579</v>
      </c>
      <c r="E155" t="s">
        <v>274</v>
      </c>
      <c r="F155" t="s">
        <v>274</v>
      </c>
      <c r="G155" t="s">
        <v>274</v>
      </c>
      <c r="H155" t="s">
        <v>274</v>
      </c>
      <c r="I155" t="s">
        <v>274</v>
      </c>
      <c r="J155" t="s">
        <v>274</v>
      </c>
      <c r="K155" t="s">
        <v>274</v>
      </c>
      <c r="L155" t="s">
        <v>274</v>
      </c>
      <c r="M155" t="s">
        <v>274</v>
      </c>
      <c r="N155" t="s">
        <v>274</v>
      </c>
      <c r="O155" t="s">
        <v>274</v>
      </c>
      <c r="P155" t="s">
        <v>274</v>
      </c>
      <c r="Q155" t="s">
        <v>274</v>
      </c>
      <c r="R155" t="s">
        <v>274</v>
      </c>
      <c r="S155" t="s">
        <v>274</v>
      </c>
      <c r="T155" t="s">
        <v>274</v>
      </c>
      <c r="U155" t="s">
        <v>274</v>
      </c>
      <c r="V155" t="s">
        <v>274</v>
      </c>
      <c r="W155" t="s">
        <v>274</v>
      </c>
      <c r="X155" t="s">
        <v>274</v>
      </c>
      <c r="Y155" t="s">
        <v>274</v>
      </c>
      <c r="Z155" t="s">
        <v>274</v>
      </c>
      <c r="AA155" t="s">
        <v>274</v>
      </c>
      <c r="AB155" t="s">
        <v>274</v>
      </c>
      <c r="AC155" t="s">
        <v>274</v>
      </c>
      <c r="AD155" t="s">
        <v>274</v>
      </c>
      <c r="AE155" t="s">
        <v>274</v>
      </c>
      <c r="AF155" t="s">
        <v>274</v>
      </c>
      <c r="AG155" s="14" t="s">
        <v>274</v>
      </c>
      <c r="AH155" t="s">
        <v>274</v>
      </c>
      <c r="AI155" t="s">
        <v>274</v>
      </c>
      <c r="AJ155" t="s">
        <v>274</v>
      </c>
      <c r="AK155" t="s">
        <v>274</v>
      </c>
      <c r="AL155" t="s">
        <v>274</v>
      </c>
      <c r="AM155" t="s">
        <v>274</v>
      </c>
      <c r="AN155" t="s">
        <v>274</v>
      </c>
      <c r="AO155" t="s">
        <v>274</v>
      </c>
      <c r="AP155" t="s">
        <v>274</v>
      </c>
      <c r="AQ155" t="s">
        <v>274</v>
      </c>
      <c r="AR155" t="s">
        <v>274</v>
      </c>
      <c r="AS155" t="s">
        <v>274</v>
      </c>
      <c r="AT155" t="s">
        <v>274</v>
      </c>
      <c r="AU155" t="s">
        <v>274</v>
      </c>
      <c r="AV155" t="s">
        <v>274</v>
      </c>
      <c r="AW155" t="s">
        <v>274</v>
      </c>
      <c r="AX155" t="s">
        <v>274</v>
      </c>
      <c r="AY155" t="s">
        <v>274</v>
      </c>
      <c r="AZ155" t="s">
        <v>274</v>
      </c>
      <c r="BA155" t="s">
        <v>274</v>
      </c>
      <c r="BB155" t="s">
        <v>274</v>
      </c>
      <c r="BC155" t="s">
        <v>274</v>
      </c>
      <c r="BD155" t="s">
        <v>274</v>
      </c>
      <c r="BE155" t="s">
        <v>274</v>
      </c>
      <c r="BF155" t="s">
        <v>274</v>
      </c>
      <c r="BG155" t="s">
        <v>274</v>
      </c>
      <c r="BH155" t="s">
        <v>274</v>
      </c>
      <c r="BI155" t="s">
        <v>274</v>
      </c>
      <c r="BJ155" t="s">
        <v>274</v>
      </c>
      <c r="BK155" t="s">
        <v>274</v>
      </c>
      <c r="BL155" t="s">
        <v>274</v>
      </c>
      <c r="BM155" t="s">
        <v>274</v>
      </c>
      <c r="BN155" t="s">
        <v>274</v>
      </c>
      <c r="BO155" t="s">
        <v>274</v>
      </c>
      <c r="BP155" t="s">
        <v>274</v>
      </c>
      <c r="BQ155" t="s">
        <v>274</v>
      </c>
      <c r="BR155" t="s">
        <v>274</v>
      </c>
    </row>
    <row r="156" spans="1:70" x14ac:dyDescent="0.3">
      <c r="A156" t="s">
        <v>2818</v>
      </c>
      <c r="B156" t="s">
        <v>2819</v>
      </c>
      <c r="C156" t="s">
        <v>578</v>
      </c>
      <c r="D156" t="s">
        <v>579</v>
      </c>
      <c r="E156" t="s">
        <v>274</v>
      </c>
      <c r="F156" t="s">
        <v>274</v>
      </c>
      <c r="G156" t="s">
        <v>274</v>
      </c>
      <c r="H156" t="s">
        <v>274</v>
      </c>
      <c r="I156" t="s">
        <v>274</v>
      </c>
      <c r="J156" t="s">
        <v>274</v>
      </c>
      <c r="K156" t="s">
        <v>274</v>
      </c>
      <c r="L156" t="s">
        <v>274</v>
      </c>
      <c r="M156" t="s">
        <v>274</v>
      </c>
      <c r="N156" t="s">
        <v>274</v>
      </c>
      <c r="O156" t="s">
        <v>274</v>
      </c>
      <c r="P156" t="s">
        <v>274</v>
      </c>
      <c r="Q156" t="s">
        <v>274</v>
      </c>
      <c r="R156" t="s">
        <v>274</v>
      </c>
      <c r="S156" t="s">
        <v>274</v>
      </c>
      <c r="T156" t="s">
        <v>274</v>
      </c>
      <c r="U156" t="s">
        <v>274</v>
      </c>
      <c r="V156" t="s">
        <v>274</v>
      </c>
      <c r="W156" t="s">
        <v>274</v>
      </c>
      <c r="X156" t="s">
        <v>274</v>
      </c>
      <c r="Y156" t="s">
        <v>274</v>
      </c>
      <c r="Z156" t="s">
        <v>274</v>
      </c>
      <c r="AA156" t="s">
        <v>274</v>
      </c>
      <c r="AB156" t="s">
        <v>274</v>
      </c>
      <c r="AC156" t="s">
        <v>274</v>
      </c>
      <c r="AD156" t="s">
        <v>274</v>
      </c>
      <c r="AE156" t="s">
        <v>274</v>
      </c>
      <c r="AF156" t="s">
        <v>274</v>
      </c>
      <c r="AG156" s="14" t="s">
        <v>274</v>
      </c>
      <c r="AH156" t="s">
        <v>274</v>
      </c>
      <c r="AI156" t="s">
        <v>274</v>
      </c>
      <c r="AJ156" t="s">
        <v>274</v>
      </c>
      <c r="AK156" t="s">
        <v>274</v>
      </c>
      <c r="AL156" t="s">
        <v>274</v>
      </c>
      <c r="AM156" t="s">
        <v>274</v>
      </c>
      <c r="AN156" t="s">
        <v>274</v>
      </c>
      <c r="AO156" t="s">
        <v>274</v>
      </c>
      <c r="AP156" t="s">
        <v>274</v>
      </c>
      <c r="AQ156" t="s">
        <v>274</v>
      </c>
      <c r="AR156" t="s">
        <v>274</v>
      </c>
      <c r="AS156" t="s">
        <v>274</v>
      </c>
      <c r="AT156" t="s">
        <v>274</v>
      </c>
      <c r="AU156" t="s">
        <v>274</v>
      </c>
      <c r="AV156" t="s">
        <v>274</v>
      </c>
      <c r="AW156" t="s">
        <v>274</v>
      </c>
      <c r="AX156" t="s">
        <v>274</v>
      </c>
      <c r="AY156" t="s">
        <v>274</v>
      </c>
      <c r="AZ156" t="s">
        <v>274</v>
      </c>
      <c r="BA156" t="s">
        <v>274</v>
      </c>
      <c r="BB156" t="s">
        <v>274</v>
      </c>
      <c r="BC156" t="s">
        <v>274</v>
      </c>
      <c r="BD156" t="s">
        <v>274</v>
      </c>
      <c r="BE156" t="s">
        <v>274</v>
      </c>
      <c r="BF156" t="s">
        <v>274</v>
      </c>
      <c r="BG156" t="s">
        <v>274</v>
      </c>
      <c r="BH156" t="s">
        <v>274</v>
      </c>
      <c r="BI156" t="s">
        <v>274</v>
      </c>
      <c r="BJ156" t="s">
        <v>274</v>
      </c>
      <c r="BK156" t="s">
        <v>274</v>
      </c>
      <c r="BL156" t="s">
        <v>274</v>
      </c>
      <c r="BM156" t="s">
        <v>274</v>
      </c>
      <c r="BN156" t="s">
        <v>274</v>
      </c>
      <c r="BO156" t="s">
        <v>274</v>
      </c>
      <c r="BP156" t="s">
        <v>274</v>
      </c>
      <c r="BQ156" t="s">
        <v>274</v>
      </c>
      <c r="BR156" t="s">
        <v>274</v>
      </c>
    </row>
    <row r="157" spans="1:70" x14ac:dyDescent="0.3">
      <c r="A157" t="s">
        <v>221</v>
      </c>
      <c r="B157" t="s">
        <v>2820</v>
      </c>
      <c r="C157" t="s">
        <v>578</v>
      </c>
      <c r="D157" t="s">
        <v>579</v>
      </c>
      <c r="E157" t="s">
        <v>274</v>
      </c>
      <c r="F157" t="s">
        <v>274</v>
      </c>
      <c r="G157" t="s">
        <v>274</v>
      </c>
      <c r="H157" t="s">
        <v>274</v>
      </c>
      <c r="I157" t="s">
        <v>274</v>
      </c>
      <c r="J157" t="s">
        <v>274</v>
      </c>
      <c r="K157" t="s">
        <v>274</v>
      </c>
      <c r="L157" t="s">
        <v>274</v>
      </c>
      <c r="M157" t="s">
        <v>274</v>
      </c>
      <c r="N157" t="s">
        <v>274</v>
      </c>
      <c r="O157" t="s">
        <v>274</v>
      </c>
      <c r="P157" t="s">
        <v>274</v>
      </c>
      <c r="Q157" t="s">
        <v>274</v>
      </c>
      <c r="R157" t="s">
        <v>274</v>
      </c>
      <c r="S157" t="s">
        <v>274</v>
      </c>
      <c r="T157" t="s">
        <v>274</v>
      </c>
      <c r="U157" t="s">
        <v>274</v>
      </c>
      <c r="V157" t="s">
        <v>274</v>
      </c>
      <c r="W157" t="s">
        <v>274</v>
      </c>
      <c r="X157" t="s">
        <v>274</v>
      </c>
      <c r="Y157" t="s">
        <v>274</v>
      </c>
      <c r="Z157" t="s">
        <v>274</v>
      </c>
      <c r="AA157" t="s">
        <v>274</v>
      </c>
      <c r="AB157" t="s">
        <v>274</v>
      </c>
      <c r="AC157" t="s">
        <v>274</v>
      </c>
      <c r="AD157" t="s">
        <v>274</v>
      </c>
      <c r="AE157" t="s">
        <v>274</v>
      </c>
      <c r="AF157" t="s">
        <v>274</v>
      </c>
      <c r="AG157" s="14" t="s">
        <v>274</v>
      </c>
      <c r="AH157" t="s">
        <v>274</v>
      </c>
      <c r="AI157" t="s">
        <v>274</v>
      </c>
      <c r="AJ157" t="s">
        <v>274</v>
      </c>
      <c r="AK157" t="s">
        <v>274</v>
      </c>
      <c r="AL157" t="s">
        <v>274</v>
      </c>
      <c r="AM157" t="s">
        <v>274</v>
      </c>
      <c r="AN157" t="s">
        <v>2821</v>
      </c>
      <c r="AO157" t="s">
        <v>2822</v>
      </c>
      <c r="AP157" t="s">
        <v>2823</v>
      </c>
      <c r="AQ157" t="s">
        <v>2824</v>
      </c>
      <c r="AR157" t="s">
        <v>2825</v>
      </c>
      <c r="AS157" t="s">
        <v>2826</v>
      </c>
      <c r="AT157" t="s">
        <v>2827</v>
      </c>
      <c r="AU157" t="s">
        <v>2828</v>
      </c>
      <c r="AV157" t="s">
        <v>2829</v>
      </c>
      <c r="AW157" t="s">
        <v>2830</v>
      </c>
      <c r="AX157" t="s">
        <v>2831</v>
      </c>
      <c r="AY157" t="s">
        <v>2832</v>
      </c>
      <c r="AZ157" t="s">
        <v>2833</v>
      </c>
      <c r="BA157" t="s">
        <v>2834</v>
      </c>
      <c r="BB157" t="s">
        <v>2835</v>
      </c>
      <c r="BC157" t="s">
        <v>2836</v>
      </c>
      <c r="BD157" t="s">
        <v>2837</v>
      </c>
      <c r="BE157" t="s">
        <v>2838</v>
      </c>
      <c r="BF157" t="s">
        <v>2839</v>
      </c>
      <c r="BG157" t="s">
        <v>2840</v>
      </c>
      <c r="BH157" t="s">
        <v>2841</v>
      </c>
      <c r="BI157" t="s">
        <v>2842</v>
      </c>
      <c r="BJ157" t="s">
        <v>2843</v>
      </c>
      <c r="BK157" t="s">
        <v>2844</v>
      </c>
      <c r="BL157" t="s">
        <v>2845</v>
      </c>
      <c r="BM157" t="s">
        <v>2846</v>
      </c>
      <c r="BN157" t="s">
        <v>2847</v>
      </c>
      <c r="BO157" t="s">
        <v>2848</v>
      </c>
      <c r="BP157" t="s">
        <v>2849</v>
      </c>
      <c r="BQ157" t="s">
        <v>2850</v>
      </c>
      <c r="BR157" t="s">
        <v>274</v>
      </c>
    </row>
    <row r="158" spans="1:70" x14ac:dyDescent="0.3">
      <c r="A158" t="s">
        <v>121</v>
      </c>
      <c r="B158" t="s">
        <v>2851</v>
      </c>
      <c r="C158" t="s">
        <v>578</v>
      </c>
      <c r="D158" t="s">
        <v>579</v>
      </c>
      <c r="E158" t="s">
        <v>274</v>
      </c>
      <c r="F158" t="s">
        <v>274</v>
      </c>
      <c r="G158" t="s">
        <v>274</v>
      </c>
      <c r="H158" t="s">
        <v>274</v>
      </c>
      <c r="I158" t="s">
        <v>274</v>
      </c>
      <c r="J158" t="s">
        <v>274</v>
      </c>
      <c r="K158" t="s">
        <v>274</v>
      </c>
      <c r="L158" t="s">
        <v>274</v>
      </c>
      <c r="M158" t="s">
        <v>274</v>
      </c>
      <c r="N158" t="s">
        <v>274</v>
      </c>
      <c r="O158" t="s">
        <v>274</v>
      </c>
      <c r="P158" t="s">
        <v>274</v>
      </c>
      <c r="Q158" t="s">
        <v>274</v>
      </c>
      <c r="R158" t="s">
        <v>274</v>
      </c>
      <c r="S158" t="s">
        <v>274</v>
      </c>
      <c r="T158" t="s">
        <v>274</v>
      </c>
      <c r="U158" t="s">
        <v>274</v>
      </c>
      <c r="V158" t="s">
        <v>274</v>
      </c>
      <c r="W158" t="s">
        <v>274</v>
      </c>
      <c r="X158" t="s">
        <v>274</v>
      </c>
      <c r="Y158" t="s">
        <v>274</v>
      </c>
      <c r="Z158" t="s">
        <v>274</v>
      </c>
      <c r="AA158" t="s">
        <v>274</v>
      </c>
      <c r="AB158" t="s">
        <v>274</v>
      </c>
      <c r="AC158" t="s">
        <v>274</v>
      </c>
      <c r="AD158" t="s">
        <v>274</v>
      </c>
      <c r="AE158" t="s">
        <v>274</v>
      </c>
      <c r="AF158" t="s">
        <v>274</v>
      </c>
      <c r="AG158" s="14" t="s">
        <v>274</v>
      </c>
      <c r="AH158" t="s">
        <v>2852</v>
      </c>
      <c r="AI158" t="s">
        <v>2853</v>
      </c>
      <c r="AJ158" t="s">
        <v>2854</v>
      </c>
      <c r="AK158" t="s">
        <v>1486</v>
      </c>
      <c r="AL158" t="s">
        <v>2855</v>
      </c>
      <c r="AM158" t="s">
        <v>2856</v>
      </c>
      <c r="AN158" t="s">
        <v>2857</v>
      </c>
      <c r="AO158" t="s">
        <v>2858</v>
      </c>
      <c r="AP158" t="s">
        <v>2859</v>
      </c>
      <c r="AQ158" t="s">
        <v>1835</v>
      </c>
      <c r="AR158" t="s">
        <v>2860</v>
      </c>
      <c r="AS158" t="s">
        <v>2861</v>
      </c>
      <c r="AT158" t="s">
        <v>1853</v>
      </c>
      <c r="AU158" t="s">
        <v>2862</v>
      </c>
      <c r="AV158" t="s">
        <v>2863</v>
      </c>
      <c r="AW158" t="s">
        <v>2864</v>
      </c>
      <c r="AX158" t="s">
        <v>2865</v>
      </c>
      <c r="AY158" t="s">
        <v>2866</v>
      </c>
      <c r="AZ158" t="s">
        <v>2867</v>
      </c>
      <c r="BA158" t="s">
        <v>2868</v>
      </c>
      <c r="BB158" t="s">
        <v>2869</v>
      </c>
      <c r="BC158" t="s">
        <v>2870</v>
      </c>
      <c r="BD158" t="s">
        <v>2871</v>
      </c>
      <c r="BE158" t="s">
        <v>2872</v>
      </c>
      <c r="BF158" t="s">
        <v>2873</v>
      </c>
      <c r="BG158" t="s">
        <v>2874</v>
      </c>
      <c r="BH158" t="s">
        <v>2875</v>
      </c>
      <c r="BI158" t="s">
        <v>2874</v>
      </c>
      <c r="BJ158" t="s">
        <v>2874</v>
      </c>
      <c r="BK158" t="s">
        <v>2876</v>
      </c>
      <c r="BL158" t="s">
        <v>2877</v>
      </c>
      <c r="BM158" t="s">
        <v>2878</v>
      </c>
      <c r="BN158" t="s">
        <v>2879</v>
      </c>
      <c r="BO158" t="s">
        <v>2880</v>
      </c>
      <c r="BP158" t="s">
        <v>2881</v>
      </c>
      <c r="BQ158" t="s">
        <v>274</v>
      </c>
      <c r="BR158" t="s">
        <v>274</v>
      </c>
    </row>
    <row r="159" spans="1:70" x14ac:dyDescent="0.3">
      <c r="A159" t="s">
        <v>222</v>
      </c>
      <c r="B159" t="s">
        <v>2882</v>
      </c>
      <c r="C159" t="s">
        <v>578</v>
      </c>
      <c r="D159" t="s">
        <v>579</v>
      </c>
      <c r="E159" t="s">
        <v>274</v>
      </c>
      <c r="F159" t="s">
        <v>274</v>
      </c>
      <c r="G159" t="s">
        <v>274</v>
      </c>
      <c r="H159" t="s">
        <v>274</v>
      </c>
      <c r="I159" t="s">
        <v>274</v>
      </c>
      <c r="J159" t="s">
        <v>274</v>
      </c>
      <c r="K159" t="s">
        <v>274</v>
      </c>
      <c r="L159" t="s">
        <v>274</v>
      </c>
      <c r="M159" t="s">
        <v>274</v>
      </c>
      <c r="N159" t="s">
        <v>274</v>
      </c>
      <c r="O159" t="s">
        <v>274</v>
      </c>
      <c r="P159" t="s">
        <v>274</v>
      </c>
      <c r="Q159" t="s">
        <v>274</v>
      </c>
      <c r="R159" t="s">
        <v>274</v>
      </c>
      <c r="S159" t="s">
        <v>274</v>
      </c>
      <c r="T159" t="s">
        <v>274</v>
      </c>
      <c r="U159" t="s">
        <v>274</v>
      </c>
      <c r="V159" t="s">
        <v>274</v>
      </c>
      <c r="W159" t="s">
        <v>274</v>
      </c>
      <c r="X159" t="s">
        <v>274</v>
      </c>
      <c r="Y159" t="s">
        <v>274</v>
      </c>
      <c r="Z159" t="s">
        <v>274</v>
      </c>
      <c r="AA159" t="s">
        <v>274</v>
      </c>
      <c r="AB159" t="s">
        <v>274</v>
      </c>
      <c r="AC159" t="s">
        <v>274</v>
      </c>
      <c r="AD159" t="s">
        <v>274</v>
      </c>
      <c r="AE159" t="s">
        <v>274</v>
      </c>
      <c r="AF159" t="s">
        <v>274</v>
      </c>
      <c r="AG159" s="14" t="s">
        <v>274</v>
      </c>
      <c r="AH159" t="s">
        <v>274</v>
      </c>
      <c r="AI159" t="s">
        <v>274</v>
      </c>
      <c r="AJ159" t="s">
        <v>274</v>
      </c>
      <c r="AK159" t="s">
        <v>274</v>
      </c>
      <c r="AL159" t="s">
        <v>274</v>
      </c>
      <c r="AM159" t="s">
        <v>274</v>
      </c>
      <c r="AN159" t="s">
        <v>2883</v>
      </c>
      <c r="AO159" t="s">
        <v>2883</v>
      </c>
      <c r="AP159" t="s">
        <v>2883</v>
      </c>
      <c r="AQ159" t="s">
        <v>2883</v>
      </c>
      <c r="AR159" t="s">
        <v>2884</v>
      </c>
      <c r="AS159" t="s">
        <v>2885</v>
      </c>
      <c r="AT159" t="s">
        <v>2885</v>
      </c>
      <c r="AU159" t="s">
        <v>2886</v>
      </c>
      <c r="AV159" t="s">
        <v>2887</v>
      </c>
      <c r="AW159" t="s">
        <v>2887</v>
      </c>
      <c r="AX159" t="s">
        <v>2887</v>
      </c>
      <c r="AY159" t="s">
        <v>2887</v>
      </c>
      <c r="AZ159" t="s">
        <v>2887</v>
      </c>
      <c r="BA159" t="s">
        <v>2887</v>
      </c>
      <c r="BB159" t="s">
        <v>2887</v>
      </c>
      <c r="BC159" t="s">
        <v>2888</v>
      </c>
      <c r="BD159" t="s">
        <v>2889</v>
      </c>
      <c r="BE159" t="s">
        <v>2890</v>
      </c>
      <c r="BF159" t="s">
        <v>2891</v>
      </c>
      <c r="BG159" t="s">
        <v>2892</v>
      </c>
      <c r="BH159" t="s">
        <v>2893</v>
      </c>
      <c r="BI159" t="s">
        <v>2894</v>
      </c>
      <c r="BJ159" t="s">
        <v>2895</v>
      </c>
      <c r="BK159" t="s">
        <v>2896</v>
      </c>
      <c r="BL159" t="s">
        <v>2897</v>
      </c>
      <c r="BM159" t="s">
        <v>2898</v>
      </c>
      <c r="BN159" t="s">
        <v>2899</v>
      </c>
      <c r="BO159" t="s">
        <v>2900</v>
      </c>
      <c r="BP159" t="s">
        <v>2901</v>
      </c>
      <c r="BQ159" t="s">
        <v>2902</v>
      </c>
      <c r="BR159" t="s">
        <v>274</v>
      </c>
    </row>
    <row r="160" spans="1:70" x14ac:dyDescent="0.3">
      <c r="A160" t="s">
        <v>122</v>
      </c>
      <c r="B160" t="s">
        <v>2903</v>
      </c>
      <c r="C160" t="s">
        <v>578</v>
      </c>
      <c r="D160" t="s">
        <v>579</v>
      </c>
      <c r="E160" t="s">
        <v>274</v>
      </c>
      <c r="F160" t="s">
        <v>274</v>
      </c>
      <c r="G160" t="s">
        <v>274</v>
      </c>
      <c r="H160" t="s">
        <v>274</v>
      </c>
      <c r="I160" t="s">
        <v>274</v>
      </c>
      <c r="J160" t="s">
        <v>274</v>
      </c>
      <c r="K160" t="s">
        <v>274</v>
      </c>
      <c r="L160" t="s">
        <v>274</v>
      </c>
      <c r="M160" t="s">
        <v>274</v>
      </c>
      <c r="N160" t="s">
        <v>274</v>
      </c>
      <c r="O160" t="s">
        <v>274</v>
      </c>
      <c r="P160" t="s">
        <v>274</v>
      </c>
      <c r="Q160" t="s">
        <v>274</v>
      </c>
      <c r="R160" t="s">
        <v>274</v>
      </c>
      <c r="S160" t="s">
        <v>274</v>
      </c>
      <c r="T160" t="s">
        <v>274</v>
      </c>
      <c r="U160" t="s">
        <v>274</v>
      </c>
      <c r="V160" t="s">
        <v>274</v>
      </c>
      <c r="W160" t="s">
        <v>274</v>
      </c>
      <c r="X160" t="s">
        <v>274</v>
      </c>
      <c r="Y160" t="s">
        <v>274</v>
      </c>
      <c r="Z160" t="s">
        <v>274</v>
      </c>
      <c r="AA160" t="s">
        <v>274</v>
      </c>
      <c r="AB160" t="s">
        <v>274</v>
      </c>
      <c r="AC160" t="s">
        <v>274</v>
      </c>
      <c r="AD160" t="s">
        <v>274</v>
      </c>
      <c r="AE160" t="s">
        <v>274</v>
      </c>
      <c r="AF160" t="s">
        <v>274</v>
      </c>
      <c r="AG160" s="14" t="s">
        <v>274</v>
      </c>
      <c r="AH160" t="s">
        <v>274</v>
      </c>
      <c r="AI160" t="s">
        <v>274</v>
      </c>
      <c r="AJ160" t="s">
        <v>274</v>
      </c>
      <c r="AK160" t="s">
        <v>274</v>
      </c>
      <c r="AL160" t="s">
        <v>274</v>
      </c>
      <c r="AM160" t="s">
        <v>274</v>
      </c>
      <c r="AN160" t="s">
        <v>274</v>
      </c>
      <c r="AO160" t="s">
        <v>274</v>
      </c>
      <c r="AP160" t="s">
        <v>274</v>
      </c>
      <c r="AQ160" t="s">
        <v>274</v>
      </c>
      <c r="AR160" t="s">
        <v>274</v>
      </c>
      <c r="AS160" t="s">
        <v>274</v>
      </c>
      <c r="AT160" t="s">
        <v>274</v>
      </c>
      <c r="AU160" t="s">
        <v>274</v>
      </c>
      <c r="AV160" t="s">
        <v>274</v>
      </c>
      <c r="AW160" t="s">
        <v>274</v>
      </c>
      <c r="AX160" t="s">
        <v>274</v>
      </c>
      <c r="AY160" t="s">
        <v>274</v>
      </c>
      <c r="AZ160" t="s">
        <v>274</v>
      </c>
      <c r="BA160" t="s">
        <v>274</v>
      </c>
      <c r="BB160" t="s">
        <v>274</v>
      </c>
      <c r="BC160" t="s">
        <v>274</v>
      </c>
      <c r="BD160" t="s">
        <v>274</v>
      </c>
      <c r="BE160" t="s">
        <v>274</v>
      </c>
      <c r="BF160" t="s">
        <v>274</v>
      </c>
      <c r="BG160" t="s">
        <v>274</v>
      </c>
      <c r="BH160" t="s">
        <v>274</v>
      </c>
      <c r="BI160" t="s">
        <v>274</v>
      </c>
      <c r="BJ160" t="s">
        <v>274</v>
      </c>
      <c r="BK160" t="s">
        <v>274</v>
      </c>
      <c r="BL160" t="s">
        <v>274</v>
      </c>
      <c r="BM160" t="s">
        <v>274</v>
      </c>
      <c r="BN160" t="s">
        <v>274</v>
      </c>
      <c r="BO160" t="s">
        <v>274</v>
      </c>
      <c r="BP160" t="s">
        <v>274</v>
      </c>
      <c r="BQ160" t="s">
        <v>274</v>
      </c>
      <c r="BR160" t="s">
        <v>274</v>
      </c>
    </row>
    <row r="161" spans="1:70" x14ac:dyDescent="0.3">
      <c r="A161" t="s">
        <v>123</v>
      </c>
      <c r="B161" t="s">
        <v>2904</v>
      </c>
      <c r="C161" t="s">
        <v>578</v>
      </c>
      <c r="D161" t="s">
        <v>579</v>
      </c>
      <c r="E161" t="s">
        <v>274</v>
      </c>
      <c r="F161" t="s">
        <v>274</v>
      </c>
      <c r="G161" t="s">
        <v>274</v>
      </c>
      <c r="H161" t="s">
        <v>274</v>
      </c>
      <c r="I161" t="s">
        <v>274</v>
      </c>
      <c r="J161" t="s">
        <v>274</v>
      </c>
      <c r="K161" t="s">
        <v>274</v>
      </c>
      <c r="L161" t="s">
        <v>274</v>
      </c>
      <c r="M161" t="s">
        <v>274</v>
      </c>
      <c r="N161" t="s">
        <v>274</v>
      </c>
      <c r="O161" t="s">
        <v>274</v>
      </c>
      <c r="P161" t="s">
        <v>274</v>
      </c>
      <c r="Q161" t="s">
        <v>274</v>
      </c>
      <c r="R161" t="s">
        <v>274</v>
      </c>
      <c r="S161" t="s">
        <v>274</v>
      </c>
      <c r="T161" t="s">
        <v>274</v>
      </c>
      <c r="U161" t="s">
        <v>274</v>
      </c>
      <c r="V161" t="s">
        <v>274</v>
      </c>
      <c r="W161" t="s">
        <v>274</v>
      </c>
      <c r="X161" t="s">
        <v>274</v>
      </c>
      <c r="Y161" t="s">
        <v>274</v>
      </c>
      <c r="Z161" t="s">
        <v>274</v>
      </c>
      <c r="AA161" t="s">
        <v>274</v>
      </c>
      <c r="AB161" t="s">
        <v>274</v>
      </c>
      <c r="AC161" t="s">
        <v>274</v>
      </c>
      <c r="AD161" t="s">
        <v>274</v>
      </c>
      <c r="AE161" t="s">
        <v>274</v>
      </c>
      <c r="AF161" t="s">
        <v>274</v>
      </c>
      <c r="AG161" s="14" t="s">
        <v>274</v>
      </c>
      <c r="AH161" t="s">
        <v>274</v>
      </c>
      <c r="AI161" t="s">
        <v>274</v>
      </c>
      <c r="AJ161" t="s">
        <v>274</v>
      </c>
      <c r="AK161" t="s">
        <v>274</v>
      </c>
      <c r="AL161" t="s">
        <v>2905</v>
      </c>
      <c r="AM161" t="s">
        <v>2906</v>
      </c>
      <c r="AN161" t="s">
        <v>2907</v>
      </c>
      <c r="AO161" t="s">
        <v>2908</v>
      </c>
      <c r="AP161" t="s">
        <v>2657</v>
      </c>
      <c r="AQ161" t="s">
        <v>2909</v>
      </c>
      <c r="AR161" t="s">
        <v>2910</v>
      </c>
      <c r="AS161" t="s">
        <v>2911</v>
      </c>
      <c r="AT161" t="s">
        <v>2912</v>
      </c>
      <c r="AU161" t="s">
        <v>2913</v>
      </c>
      <c r="AV161" t="s">
        <v>2914</v>
      </c>
      <c r="AW161" t="s">
        <v>2915</v>
      </c>
      <c r="AX161" t="s">
        <v>2916</v>
      </c>
      <c r="AY161" t="s">
        <v>2917</v>
      </c>
      <c r="AZ161" t="s">
        <v>2918</v>
      </c>
      <c r="BA161" t="s">
        <v>2919</v>
      </c>
      <c r="BB161" t="s">
        <v>2920</v>
      </c>
      <c r="BC161" t="s">
        <v>2921</v>
      </c>
      <c r="BD161" t="s">
        <v>2922</v>
      </c>
      <c r="BE161" t="s">
        <v>2923</v>
      </c>
      <c r="BF161" t="s">
        <v>2924</v>
      </c>
      <c r="BG161" t="s">
        <v>2925</v>
      </c>
      <c r="BH161" t="s">
        <v>2926</v>
      </c>
      <c r="BI161" t="s">
        <v>2927</v>
      </c>
      <c r="BJ161" t="s">
        <v>2928</v>
      </c>
      <c r="BK161" t="s">
        <v>2929</v>
      </c>
      <c r="BL161" t="s">
        <v>2930</v>
      </c>
      <c r="BM161" t="s">
        <v>2931</v>
      </c>
      <c r="BN161" t="s">
        <v>2932</v>
      </c>
      <c r="BO161" t="s">
        <v>2933</v>
      </c>
      <c r="BP161" t="s">
        <v>2934</v>
      </c>
      <c r="BQ161" t="s">
        <v>2935</v>
      </c>
      <c r="BR161" t="s">
        <v>274</v>
      </c>
    </row>
    <row r="162" spans="1:70" x14ac:dyDescent="0.3">
      <c r="A162" t="s">
        <v>245</v>
      </c>
      <c r="B162" t="s">
        <v>2936</v>
      </c>
      <c r="C162" t="s">
        <v>578</v>
      </c>
      <c r="D162" t="s">
        <v>579</v>
      </c>
      <c r="E162" t="s">
        <v>274</v>
      </c>
      <c r="F162" t="s">
        <v>274</v>
      </c>
      <c r="G162" t="s">
        <v>274</v>
      </c>
      <c r="H162" t="s">
        <v>274</v>
      </c>
      <c r="I162" t="s">
        <v>274</v>
      </c>
      <c r="J162" t="s">
        <v>274</v>
      </c>
      <c r="K162" t="s">
        <v>274</v>
      </c>
      <c r="L162" t="s">
        <v>274</v>
      </c>
      <c r="M162" t="s">
        <v>274</v>
      </c>
      <c r="N162" t="s">
        <v>274</v>
      </c>
      <c r="O162" t="s">
        <v>274</v>
      </c>
      <c r="P162" t="s">
        <v>274</v>
      </c>
      <c r="Q162" t="s">
        <v>274</v>
      </c>
      <c r="R162" t="s">
        <v>274</v>
      </c>
      <c r="S162" t="s">
        <v>274</v>
      </c>
      <c r="T162" t="s">
        <v>274</v>
      </c>
      <c r="U162" t="s">
        <v>274</v>
      </c>
      <c r="V162" t="s">
        <v>274</v>
      </c>
      <c r="W162" t="s">
        <v>274</v>
      </c>
      <c r="X162" t="s">
        <v>274</v>
      </c>
      <c r="Y162" t="s">
        <v>274</v>
      </c>
      <c r="Z162" t="s">
        <v>274</v>
      </c>
      <c r="AA162" t="s">
        <v>274</v>
      </c>
      <c r="AB162" t="s">
        <v>274</v>
      </c>
      <c r="AC162" t="s">
        <v>274</v>
      </c>
      <c r="AD162" t="s">
        <v>274</v>
      </c>
      <c r="AE162" t="s">
        <v>274</v>
      </c>
      <c r="AF162" t="s">
        <v>274</v>
      </c>
      <c r="AG162" s="14" t="s">
        <v>274</v>
      </c>
      <c r="AH162" t="s">
        <v>274</v>
      </c>
      <c r="AI162" t="s">
        <v>274</v>
      </c>
      <c r="AJ162" t="s">
        <v>274</v>
      </c>
      <c r="AK162" t="s">
        <v>274</v>
      </c>
      <c r="AL162" t="s">
        <v>274</v>
      </c>
      <c r="AM162" t="s">
        <v>274</v>
      </c>
      <c r="AN162" t="s">
        <v>274</v>
      </c>
      <c r="AO162" t="s">
        <v>274</v>
      </c>
      <c r="AP162" t="s">
        <v>274</v>
      </c>
      <c r="AQ162" t="s">
        <v>274</v>
      </c>
      <c r="AR162" t="s">
        <v>274</v>
      </c>
      <c r="AS162" t="s">
        <v>274</v>
      </c>
      <c r="AT162" t="s">
        <v>274</v>
      </c>
      <c r="AU162" t="s">
        <v>274</v>
      </c>
      <c r="AV162" t="s">
        <v>274</v>
      </c>
      <c r="AW162" t="s">
        <v>274</v>
      </c>
      <c r="AX162" t="s">
        <v>274</v>
      </c>
      <c r="AY162" t="s">
        <v>274</v>
      </c>
      <c r="AZ162" t="s">
        <v>274</v>
      </c>
      <c r="BA162" t="s">
        <v>274</v>
      </c>
      <c r="BB162" t="s">
        <v>274</v>
      </c>
      <c r="BC162" t="s">
        <v>274</v>
      </c>
      <c r="BD162" t="s">
        <v>274</v>
      </c>
      <c r="BE162" t="s">
        <v>274</v>
      </c>
      <c r="BF162" t="s">
        <v>274</v>
      </c>
      <c r="BG162" t="s">
        <v>274</v>
      </c>
      <c r="BH162" t="s">
        <v>274</v>
      </c>
      <c r="BI162" t="s">
        <v>274</v>
      </c>
      <c r="BJ162" t="s">
        <v>274</v>
      </c>
      <c r="BK162" t="s">
        <v>274</v>
      </c>
      <c r="BL162" t="s">
        <v>274</v>
      </c>
      <c r="BM162" t="s">
        <v>274</v>
      </c>
      <c r="BN162" t="s">
        <v>274</v>
      </c>
      <c r="BO162" t="s">
        <v>274</v>
      </c>
      <c r="BP162" t="s">
        <v>274</v>
      </c>
      <c r="BQ162" t="s">
        <v>274</v>
      </c>
      <c r="BR162" t="s">
        <v>274</v>
      </c>
    </row>
    <row r="163" spans="1:70" x14ac:dyDescent="0.3">
      <c r="A163" t="s">
        <v>2937</v>
      </c>
      <c r="B163" t="s">
        <v>2938</v>
      </c>
      <c r="C163" t="s">
        <v>578</v>
      </c>
      <c r="D163" t="s">
        <v>579</v>
      </c>
      <c r="E163" t="s">
        <v>274</v>
      </c>
      <c r="F163" t="s">
        <v>274</v>
      </c>
      <c r="G163" t="s">
        <v>274</v>
      </c>
      <c r="H163" t="s">
        <v>274</v>
      </c>
      <c r="I163" t="s">
        <v>274</v>
      </c>
      <c r="J163" t="s">
        <v>274</v>
      </c>
      <c r="K163" t="s">
        <v>274</v>
      </c>
      <c r="L163" t="s">
        <v>274</v>
      </c>
      <c r="M163" t="s">
        <v>274</v>
      </c>
      <c r="N163" t="s">
        <v>274</v>
      </c>
      <c r="O163" t="s">
        <v>274</v>
      </c>
      <c r="P163" t="s">
        <v>274</v>
      </c>
      <c r="Q163" t="s">
        <v>274</v>
      </c>
      <c r="R163" t="s">
        <v>274</v>
      </c>
      <c r="S163" t="s">
        <v>274</v>
      </c>
      <c r="T163" t="s">
        <v>274</v>
      </c>
      <c r="U163" t="s">
        <v>274</v>
      </c>
      <c r="V163" t="s">
        <v>274</v>
      </c>
      <c r="W163" t="s">
        <v>274</v>
      </c>
      <c r="X163" t="s">
        <v>274</v>
      </c>
      <c r="Y163" t="s">
        <v>274</v>
      </c>
      <c r="Z163" t="s">
        <v>274</v>
      </c>
      <c r="AA163" t="s">
        <v>274</v>
      </c>
      <c r="AB163" t="s">
        <v>274</v>
      </c>
      <c r="AC163" t="s">
        <v>274</v>
      </c>
      <c r="AD163" t="s">
        <v>274</v>
      </c>
      <c r="AE163" t="s">
        <v>274</v>
      </c>
      <c r="AF163" t="s">
        <v>274</v>
      </c>
      <c r="AG163" s="14" t="s">
        <v>274</v>
      </c>
      <c r="AH163" t="s">
        <v>274</v>
      </c>
      <c r="AI163" t="s">
        <v>274</v>
      </c>
      <c r="AJ163" t="s">
        <v>274</v>
      </c>
      <c r="AK163" t="s">
        <v>274</v>
      </c>
      <c r="AL163" t="s">
        <v>274</v>
      </c>
      <c r="AM163" t="s">
        <v>274</v>
      </c>
      <c r="AN163" t="s">
        <v>274</v>
      </c>
      <c r="AO163" t="s">
        <v>274</v>
      </c>
      <c r="AP163" t="s">
        <v>274</v>
      </c>
      <c r="AQ163" t="s">
        <v>274</v>
      </c>
      <c r="AR163" t="s">
        <v>274</v>
      </c>
      <c r="AS163" t="s">
        <v>274</v>
      </c>
      <c r="AT163" t="s">
        <v>274</v>
      </c>
      <c r="AU163" t="s">
        <v>274</v>
      </c>
      <c r="AV163" t="s">
        <v>274</v>
      </c>
      <c r="AW163" t="s">
        <v>274</v>
      </c>
      <c r="AX163" t="s">
        <v>274</v>
      </c>
      <c r="AY163" t="s">
        <v>274</v>
      </c>
      <c r="AZ163" t="s">
        <v>274</v>
      </c>
      <c r="BA163" t="s">
        <v>274</v>
      </c>
      <c r="BB163" t="s">
        <v>274</v>
      </c>
      <c r="BC163" t="s">
        <v>274</v>
      </c>
      <c r="BD163" t="s">
        <v>274</v>
      </c>
      <c r="BE163" t="s">
        <v>274</v>
      </c>
      <c r="BF163" t="s">
        <v>274</v>
      </c>
      <c r="BG163" t="s">
        <v>274</v>
      </c>
      <c r="BH163" t="s">
        <v>274</v>
      </c>
      <c r="BI163" t="s">
        <v>274</v>
      </c>
      <c r="BJ163" t="s">
        <v>274</v>
      </c>
      <c r="BK163" t="s">
        <v>274</v>
      </c>
      <c r="BL163" t="s">
        <v>274</v>
      </c>
      <c r="BM163" t="s">
        <v>274</v>
      </c>
      <c r="BN163" t="s">
        <v>274</v>
      </c>
      <c r="BO163" t="s">
        <v>274</v>
      </c>
      <c r="BP163" t="s">
        <v>274</v>
      </c>
      <c r="BQ163" t="s">
        <v>274</v>
      </c>
      <c r="BR163" t="s">
        <v>274</v>
      </c>
    </row>
    <row r="164" spans="1:70" x14ac:dyDescent="0.3">
      <c r="A164" t="s">
        <v>223</v>
      </c>
      <c r="B164" t="s">
        <v>2939</v>
      </c>
      <c r="C164" t="s">
        <v>578</v>
      </c>
      <c r="D164" t="s">
        <v>579</v>
      </c>
      <c r="E164" t="s">
        <v>274</v>
      </c>
      <c r="F164" t="s">
        <v>274</v>
      </c>
      <c r="G164" t="s">
        <v>274</v>
      </c>
      <c r="H164" t="s">
        <v>274</v>
      </c>
      <c r="I164" t="s">
        <v>274</v>
      </c>
      <c r="J164" t="s">
        <v>274</v>
      </c>
      <c r="K164" t="s">
        <v>274</v>
      </c>
      <c r="L164" t="s">
        <v>274</v>
      </c>
      <c r="M164" t="s">
        <v>274</v>
      </c>
      <c r="N164" t="s">
        <v>274</v>
      </c>
      <c r="O164" t="s">
        <v>274</v>
      </c>
      <c r="P164" t="s">
        <v>274</v>
      </c>
      <c r="Q164" t="s">
        <v>274</v>
      </c>
      <c r="R164" t="s">
        <v>274</v>
      </c>
      <c r="S164" t="s">
        <v>274</v>
      </c>
      <c r="T164" t="s">
        <v>274</v>
      </c>
      <c r="U164" t="s">
        <v>274</v>
      </c>
      <c r="V164" t="s">
        <v>274</v>
      </c>
      <c r="W164" t="s">
        <v>274</v>
      </c>
      <c r="X164" t="s">
        <v>274</v>
      </c>
      <c r="Y164" t="s">
        <v>274</v>
      </c>
      <c r="Z164" t="s">
        <v>274</v>
      </c>
      <c r="AA164" t="s">
        <v>274</v>
      </c>
      <c r="AB164" t="s">
        <v>274</v>
      </c>
      <c r="AC164" t="s">
        <v>274</v>
      </c>
      <c r="AD164" t="s">
        <v>274</v>
      </c>
      <c r="AE164" t="s">
        <v>274</v>
      </c>
      <c r="AF164" t="s">
        <v>274</v>
      </c>
      <c r="AG164" s="14" t="s">
        <v>274</v>
      </c>
      <c r="AH164" t="s">
        <v>274</v>
      </c>
      <c r="AI164" t="s">
        <v>274</v>
      </c>
      <c r="AJ164" t="s">
        <v>274</v>
      </c>
      <c r="AK164" t="s">
        <v>274</v>
      </c>
      <c r="AL164" t="s">
        <v>274</v>
      </c>
      <c r="AM164" t="s">
        <v>274</v>
      </c>
      <c r="AN164" t="s">
        <v>274</v>
      </c>
      <c r="AO164" t="s">
        <v>274</v>
      </c>
      <c r="AP164" t="s">
        <v>274</v>
      </c>
      <c r="AQ164" t="s">
        <v>274</v>
      </c>
      <c r="AR164" t="s">
        <v>274</v>
      </c>
      <c r="AS164" t="s">
        <v>274</v>
      </c>
      <c r="AT164" t="s">
        <v>274</v>
      </c>
      <c r="AU164" t="s">
        <v>274</v>
      </c>
      <c r="AV164" t="s">
        <v>274</v>
      </c>
      <c r="AW164" t="s">
        <v>274</v>
      </c>
      <c r="AX164" t="s">
        <v>2940</v>
      </c>
      <c r="AY164" t="s">
        <v>2941</v>
      </c>
      <c r="AZ164" t="s">
        <v>2942</v>
      </c>
      <c r="BA164" t="s">
        <v>2943</v>
      </c>
      <c r="BB164" t="s">
        <v>2944</v>
      </c>
      <c r="BC164" t="s">
        <v>2945</v>
      </c>
      <c r="BD164" t="s">
        <v>2946</v>
      </c>
      <c r="BE164" t="s">
        <v>2947</v>
      </c>
      <c r="BF164" t="s">
        <v>2948</v>
      </c>
      <c r="BG164" t="s">
        <v>2949</v>
      </c>
      <c r="BH164" t="s">
        <v>2950</v>
      </c>
      <c r="BI164" t="s">
        <v>2951</v>
      </c>
      <c r="BJ164" t="s">
        <v>2952</v>
      </c>
      <c r="BK164" t="s">
        <v>2953</v>
      </c>
      <c r="BL164" t="s">
        <v>2954</v>
      </c>
      <c r="BM164" t="s">
        <v>2955</v>
      </c>
      <c r="BN164" t="s">
        <v>2956</v>
      </c>
      <c r="BO164" t="s">
        <v>2957</v>
      </c>
      <c r="BP164" t="s">
        <v>2958</v>
      </c>
      <c r="BQ164" t="s">
        <v>2959</v>
      </c>
      <c r="BR164" t="s">
        <v>274</v>
      </c>
    </row>
    <row r="165" spans="1:70" x14ac:dyDescent="0.3">
      <c r="A165" t="s">
        <v>124</v>
      </c>
      <c r="B165" t="s">
        <v>2960</v>
      </c>
      <c r="C165" t="s">
        <v>578</v>
      </c>
      <c r="D165" t="s">
        <v>579</v>
      </c>
      <c r="E165" t="s">
        <v>274</v>
      </c>
      <c r="F165" t="s">
        <v>274</v>
      </c>
      <c r="G165" t="s">
        <v>274</v>
      </c>
      <c r="H165" t="s">
        <v>274</v>
      </c>
      <c r="I165" t="s">
        <v>274</v>
      </c>
      <c r="J165" t="s">
        <v>274</v>
      </c>
      <c r="K165" t="s">
        <v>274</v>
      </c>
      <c r="L165" t="s">
        <v>274</v>
      </c>
      <c r="M165" t="s">
        <v>274</v>
      </c>
      <c r="N165" t="s">
        <v>274</v>
      </c>
      <c r="O165" t="s">
        <v>274</v>
      </c>
      <c r="P165" t="s">
        <v>274</v>
      </c>
      <c r="Q165" t="s">
        <v>274</v>
      </c>
      <c r="R165" t="s">
        <v>274</v>
      </c>
      <c r="S165" t="s">
        <v>274</v>
      </c>
      <c r="T165" t="s">
        <v>274</v>
      </c>
      <c r="U165" t="s">
        <v>274</v>
      </c>
      <c r="V165" t="s">
        <v>274</v>
      </c>
      <c r="W165" t="s">
        <v>274</v>
      </c>
      <c r="X165" t="s">
        <v>274</v>
      </c>
      <c r="Y165" t="s">
        <v>274</v>
      </c>
      <c r="Z165" t="s">
        <v>274</v>
      </c>
      <c r="AA165" t="s">
        <v>274</v>
      </c>
      <c r="AB165" t="s">
        <v>274</v>
      </c>
      <c r="AC165" t="s">
        <v>274</v>
      </c>
      <c r="AD165" t="s">
        <v>274</v>
      </c>
      <c r="AE165" t="s">
        <v>274</v>
      </c>
      <c r="AF165" t="s">
        <v>274</v>
      </c>
      <c r="AG165" s="14" t="s">
        <v>274</v>
      </c>
      <c r="AH165" t="s">
        <v>274</v>
      </c>
      <c r="AI165" t="s">
        <v>274</v>
      </c>
      <c r="AJ165" t="s">
        <v>274</v>
      </c>
      <c r="AK165" t="s">
        <v>274</v>
      </c>
      <c r="AL165" t="s">
        <v>274</v>
      </c>
      <c r="AM165" t="s">
        <v>274</v>
      </c>
      <c r="AN165" t="s">
        <v>274</v>
      </c>
      <c r="AO165" t="s">
        <v>274</v>
      </c>
      <c r="AP165" t="s">
        <v>274</v>
      </c>
      <c r="AQ165" t="s">
        <v>274</v>
      </c>
      <c r="AR165" t="s">
        <v>274</v>
      </c>
      <c r="AS165" t="s">
        <v>274</v>
      </c>
      <c r="AT165" t="s">
        <v>274</v>
      </c>
      <c r="AU165" t="s">
        <v>274</v>
      </c>
      <c r="AV165" t="s">
        <v>274</v>
      </c>
      <c r="AW165" t="s">
        <v>274</v>
      </c>
      <c r="AX165" t="s">
        <v>2961</v>
      </c>
      <c r="AY165" t="s">
        <v>904</v>
      </c>
      <c r="AZ165" t="s">
        <v>905</v>
      </c>
      <c r="BA165" t="s">
        <v>906</v>
      </c>
      <c r="BB165" t="s">
        <v>907</v>
      </c>
      <c r="BC165" t="s">
        <v>908</v>
      </c>
      <c r="BD165" t="s">
        <v>909</v>
      </c>
      <c r="BE165" t="s">
        <v>910</v>
      </c>
      <c r="BF165" t="s">
        <v>911</v>
      </c>
      <c r="BG165" t="s">
        <v>912</v>
      </c>
      <c r="BH165" t="s">
        <v>913</v>
      </c>
      <c r="BI165" t="s">
        <v>914</v>
      </c>
      <c r="BJ165" t="s">
        <v>1400</v>
      </c>
      <c r="BK165" t="s">
        <v>274</v>
      </c>
      <c r="BL165" t="s">
        <v>274</v>
      </c>
      <c r="BM165" t="s">
        <v>274</v>
      </c>
      <c r="BN165" t="s">
        <v>274</v>
      </c>
      <c r="BO165" t="s">
        <v>274</v>
      </c>
      <c r="BP165" t="s">
        <v>274</v>
      </c>
      <c r="BQ165" t="s">
        <v>274</v>
      </c>
      <c r="BR165" t="s">
        <v>274</v>
      </c>
    </row>
    <row r="166" spans="1:70" x14ac:dyDescent="0.3">
      <c r="A166" t="s">
        <v>125</v>
      </c>
      <c r="B166" t="s">
        <v>2962</v>
      </c>
      <c r="C166" t="s">
        <v>578</v>
      </c>
      <c r="D166" t="s">
        <v>579</v>
      </c>
      <c r="E166" t="s">
        <v>274</v>
      </c>
      <c r="F166" t="s">
        <v>274</v>
      </c>
      <c r="G166" t="s">
        <v>274</v>
      </c>
      <c r="H166" t="s">
        <v>274</v>
      </c>
      <c r="I166" t="s">
        <v>274</v>
      </c>
      <c r="J166" t="s">
        <v>274</v>
      </c>
      <c r="K166" t="s">
        <v>274</v>
      </c>
      <c r="L166" t="s">
        <v>274</v>
      </c>
      <c r="M166" t="s">
        <v>274</v>
      </c>
      <c r="N166" t="s">
        <v>274</v>
      </c>
      <c r="O166" t="s">
        <v>274</v>
      </c>
      <c r="P166" t="s">
        <v>274</v>
      </c>
      <c r="Q166" t="s">
        <v>274</v>
      </c>
      <c r="R166" t="s">
        <v>274</v>
      </c>
      <c r="S166" t="s">
        <v>274</v>
      </c>
      <c r="T166" t="s">
        <v>274</v>
      </c>
      <c r="U166" t="s">
        <v>274</v>
      </c>
      <c r="V166" t="s">
        <v>274</v>
      </c>
      <c r="W166" t="s">
        <v>274</v>
      </c>
      <c r="X166" t="s">
        <v>274</v>
      </c>
      <c r="Y166" t="s">
        <v>274</v>
      </c>
      <c r="Z166" t="s">
        <v>274</v>
      </c>
      <c r="AA166" t="s">
        <v>274</v>
      </c>
      <c r="AB166" t="s">
        <v>274</v>
      </c>
      <c r="AC166" t="s">
        <v>274</v>
      </c>
      <c r="AD166" t="s">
        <v>274</v>
      </c>
      <c r="AE166" t="s">
        <v>274</v>
      </c>
      <c r="AF166" t="s">
        <v>274</v>
      </c>
      <c r="AG166" s="14" t="s">
        <v>274</v>
      </c>
      <c r="AH166" t="s">
        <v>274</v>
      </c>
      <c r="AI166" t="s">
        <v>274</v>
      </c>
      <c r="AJ166" t="s">
        <v>274</v>
      </c>
      <c r="AK166" t="s">
        <v>274</v>
      </c>
      <c r="AL166" t="s">
        <v>274</v>
      </c>
      <c r="AM166" t="s">
        <v>274</v>
      </c>
      <c r="AN166" t="s">
        <v>2963</v>
      </c>
      <c r="AO166" t="s">
        <v>2964</v>
      </c>
      <c r="AP166" t="s">
        <v>2965</v>
      </c>
      <c r="AQ166" t="s">
        <v>2966</v>
      </c>
      <c r="AR166" t="s">
        <v>2967</v>
      </c>
      <c r="AS166" t="s">
        <v>2968</v>
      </c>
      <c r="AT166" t="s">
        <v>2969</v>
      </c>
      <c r="AU166" t="s">
        <v>2970</v>
      </c>
      <c r="AV166" t="s">
        <v>332</v>
      </c>
      <c r="AW166" t="s">
        <v>2971</v>
      </c>
      <c r="AX166" t="s">
        <v>2972</v>
      </c>
      <c r="AY166" t="s">
        <v>2973</v>
      </c>
      <c r="AZ166" t="s">
        <v>2974</v>
      </c>
      <c r="BA166" t="s">
        <v>2975</v>
      </c>
      <c r="BB166" t="s">
        <v>2976</v>
      </c>
      <c r="BC166" t="s">
        <v>2977</v>
      </c>
      <c r="BD166" t="s">
        <v>2978</v>
      </c>
      <c r="BE166" t="s">
        <v>2979</v>
      </c>
      <c r="BF166" t="s">
        <v>2980</v>
      </c>
      <c r="BG166" t="s">
        <v>274</v>
      </c>
      <c r="BH166" t="s">
        <v>274</v>
      </c>
      <c r="BI166" t="s">
        <v>274</v>
      </c>
      <c r="BJ166" t="s">
        <v>274</v>
      </c>
      <c r="BK166" t="s">
        <v>274</v>
      </c>
      <c r="BL166" t="s">
        <v>274</v>
      </c>
      <c r="BM166" t="s">
        <v>274</v>
      </c>
      <c r="BN166" t="s">
        <v>274</v>
      </c>
      <c r="BO166" t="s">
        <v>274</v>
      </c>
      <c r="BP166" t="s">
        <v>274</v>
      </c>
      <c r="BQ166" t="s">
        <v>274</v>
      </c>
      <c r="BR166" t="s">
        <v>274</v>
      </c>
    </row>
    <row r="167" spans="1:70" x14ac:dyDescent="0.3">
      <c r="A167" t="s">
        <v>126</v>
      </c>
      <c r="B167" t="s">
        <v>2981</v>
      </c>
      <c r="C167" t="s">
        <v>578</v>
      </c>
      <c r="D167" t="s">
        <v>579</v>
      </c>
      <c r="E167" t="s">
        <v>274</v>
      </c>
      <c r="F167" t="s">
        <v>274</v>
      </c>
      <c r="G167" t="s">
        <v>274</v>
      </c>
      <c r="H167" t="s">
        <v>274</v>
      </c>
      <c r="I167" t="s">
        <v>274</v>
      </c>
      <c r="J167" t="s">
        <v>274</v>
      </c>
      <c r="K167" t="s">
        <v>274</v>
      </c>
      <c r="L167" t="s">
        <v>274</v>
      </c>
      <c r="M167" t="s">
        <v>274</v>
      </c>
      <c r="N167" t="s">
        <v>274</v>
      </c>
      <c r="O167" t="s">
        <v>274</v>
      </c>
      <c r="P167" t="s">
        <v>274</v>
      </c>
      <c r="Q167" t="s">
        <v>274</v>
      </c>
      <c r="R167" t="s">
        <v>274</v>
      </c>
      <c r="S167" t="s">
        <v>274</v>
      </c>
      <c r="T167" t="s">
        <v>274</v>
      </c>
      <c r="U167" t="s">
        <v>274</v>
      </c>
      <c r="V167" t="s">
        <v>274</v>
      </c>
      <c r="W167" t="s">
        <v>274</v>
      </c>
      <c r="X167" t="s">
        <v>274</v>
      </c>
      <c r="Y167" t="s">
        <v>274</v>
      </c>
      <c r="Z167" t="s">
        <v>274</v>
      </c>
      <c r="AA167" t="s">
        <v>274</v>
      </c>
      <c r="AB167" t="s">
        <v>274</v>
      </c>
      <c r="AC167" t="s">
        <v>274</v>
      </c>
      <c r="AD167" t="s">
        <v>274</v>
      </c>
      <c r="AE167" t="s">
        <v>274</v>
      </c>
      <c r="AF167" t="s">
        <v>274</v>
      </c>
      <c r="AG167" s="14" t="s">
        <v>274</v>
      </c>
      <c r="AH167" t="s">
        <v>274</v>
      </c>
      <c r="AI167" t="s">
        <v>274</v>
      </c>
      <c r="AJ167" t="s">
        <v>274</v>
      </c>
      <c r="AK167" t="s">
        <v>274</v>
      </c>
      <c r="AL167" t="s">
        <v>274</v>
      </c>
      <c r="AM167" t="s">
        <v>2982</v>
      </c>
      <c r="AN167" t="s">
        <v>2982</v>
      </c>
      <c r="AO167" t="s">
        <v>2982</v>
      </c>
      <c r="AP167" t="s">
        <v>2982</v>
      </c>
      <c r="AQ167" t="s">
        <v>2982</v>
      </c>
      <c r="AR167" t="s">
        <v>2983</v>
      </c>
      <c r="AS167" t="s">
        <v>2984</v>
      </c>
      <c r="AT167" t="s">
        <v>2985</v>
      </c>
      <c r="AU167" t="s">
        <v>2985</v>
      </c>
      <c r="AV167" t="s">
        <v>2985</v>
      </c>
      <c r="AW167" t="s">
        <v>2985</v>
      </c>
      <c r="AX167" t="s">
        <v>2985</v>
      </c>
      <c r="AY167" t="s">
        <v>2986</v>
      </c>
      <c r="AZ167" t="s">
        <v>2987</v>
      </c>
      <c r="BA167" t="s">
        <v>2987</v>
      </c>
      <c r="BB167" t="s">
        <v>2987</v>
      </c>
      <c r="BC167" t="s">
        <v>2987</v>
      </c>
      <c r="BD167" t="s">
        <v>2988</v>
      </c>
      <c r="BE167" t="s">
        <v>1235</v>
      </c>
      <c r="BF167" t="s">
        <v>1235</v>
      </c>
      <c r="BG167" t="s">
        <v>1235</v>
      </c>
      <c r="BH167" t="s">
        <v>1235</v>
      </c>
      <c r="BI167" t="s">
        <v>1235</v>
      </c>
      <c r="BJ167" t="s">
        <v>1235</v>
      </c>
      <c r="BK167" t="s">
        <v>1235</v>
      </c>
      <c r="BL167" t="s">
        <v>1235</v>
      </c>
      <c r="BM167" t="s">
        <v>2989</v>
      </c>
      <c r="BN167" t="s">
        <v>274</v>
      </c>
      <c r="BO167" t="s">
        <v>274</v>
      </c>
      <c r="BP167" t="s">
        <v>274</v>
      </c>
      <c r="BQ167" t="s">
        <v>274</v>
      </c>
      <c r="BR167" t="s">
        <v>274</v>
      </c>
    </row>
    <row r="168" spans="1:70" x14ac:dyDescent="0.3">
      <c r="A168" t="s">
        <v>2990</v>
      </c>
      <c r="B168" t="s">
        <v>2991</v>
      </c>
      <c r="C168" t="s">
        <v>578</v>
      </c>
      <c r="D168" t="s">
        <v>579</v>
      </c>
      <c r="E168" t="s">
        <v>274</v>
      </c>
      <c r="F168" t="s">
        <v>274</v>
      </c>
      <c r="G168" t="s">
        <v>274</v>
      </c>
      <c r="H168" t="s">
        <v>274</v>
      </c>
      <c r="I168" t="s">
        <v>274</v>
      </c>
      <c r="J168" t="s">
        <v>274</v>
      </c>
      <c r="K168" t="s">
        <v>274</v>
      </c>
      <c r="L168" t="s">
        <v>274</v>
      </c>
      <c r="M168" t="s">
        <v>274</v>
      </c>
      <c r="N168" t="s">
        <v>274</v>
      </c>
      <c r="O168" t="s">
        <v>274</v>
      </c>
      <c r="P168" t="s">
        <v>274</v>
      </c>
      <c r="Q168" t="s">
        <v>274</v>
      </c>
      <c r="R168" t="s">
        <v>274</v>
      </c>
      <c r="S168" t="s">
        <v>274</v>
      </c>
      <c r="T168" t="s">
        <v>274</v>
      </c>
      <c r="U168" t="s">
        <v>274</v>
      </c>
      <c r="V168" t="s">
        <v>274</v>
      </c>
      <c r="W168" t="s">
        <v>274</v>
      </c>
      <c r="X168" t="s">
        <v>274</v>
      </c>
      <c r="Y168" t="s">
        <v>274</v>
      </c>
      <c r="Z168" t="s">
        <v>274</v>
      </c>
      <c r="AA168" t="s">
        <v>274</v>
      </c>
      <c r="AB168" t="s">
        <v>274</v>
      </c>
      <c r="AC168" t="s">
        <v>274</v>
      </c>
      <c r="AD168" t="s">
        <v>274</v>
      </c>
      <c r="AE168" t="s">
        <v>274</v>
      </c>
      <c r="AF168" t="s">
        <v>274</v>
      </c>
      <c r="AG168" s="14" t="s">
        <v>274</v>
      </c>
      <c r="AH168" t="s">
        <v>274</v>
      </c>
      <c r="AI168" t="s">
        <v>274</v>
      </c>
      <c r="AJ168" t="s">
        <v>274</v>
      </c>
      <c r="AK168" t="s">
        <v>274</v>
      </c>
      <c r="AL168" t="s">
        <v>274</v>
      </c>
      <c r="AM168" t="s">
        <v>274</v>
      </c>
      <c r="AN168" t="s">
        <v>274</v>
      </c>
      <c r="AO168" t="s">
        <v>274</v>
      </c>
      <c r="AP168" t="s">
        <v>274</v>
      </c>
      <c r="AQ168" t="s">
        <v>274</v>
      </c>
      <c r="AR168" t="s">
        <v>274</v>
      </c>
      <c r="AS168" t="s">
        <v>274</v>
      </c>
      <c r="AT168" t="s">
        <v>274</v>
      </c>
      <c r="AU168" t="s">
        <v>274</v>
      </c>
      <c r="AV168" t="s">
        <v>274</v>
      </c>
      <c r="AW168" t="s">
        <v>274</v>
      </c>
      <c r="AX168" t="s">
        <v>274</v>
      </c>
      <c r="AY168" t="s">
        <v>274</v>
      </c>
      <c r="AZ168" t="s">
        <v>274</v>
      </c>
      <c r="BA168" t="s">
        <v>274</v>
      </c>
      <c r="BB168" t="s">
        <v>274</v>
      </c>
      <c r="BC168" t="s">
        <v>274</v>
      </c>
      <c r="BD168" t="s">
        <v>274</v>
      </c>
      <c r="BE168" t="s">
        <v>274</v>
      </c>
      <c r="BF168" t="s">
        <v>274</v>
      </c>
      <c r="BG168" t="s">
        <v>274</v>
      </c>
      <c r="BH168" t="s">
        <v>274</v>
      </c>
      <c r="BI168" t="s">
        <v>274</v>
      </c>
      <c r="BJ168" t="s">
        <v>274</v>
      </c>
      <c r="BK168" t="s">
        <v>274</v>
      </c>
      <c r="BL168" t="s">
        <v>274</v>
      </c>
      <c r="BM168" t="s">
        <v>274</v>
      </c>
      <c r="BN168" t="s">
        <v>274</v>
      </c>
      <c r="BO168" t="s">
        <v>274</v>
      </c>
      <c r="BP168" t="s">
        <v>274</v>
      </c>
      <c r="BQ168" t="s">
        <v>274</v>
      </c>
      <c r="BR168" t="s">
        <v>274</v>
      </c>
    </row>
    <row r="169" spans="1:70" x14ac:dyDescent="0.3">
      <c r="A169" t="s">
        <v>246</v>
      </c>
      <c r="B169" t="s">
        <v>2992</v>
      </c>
      <c r="C169" t="s">
        <v>578</v>
      </c>
      <c r="D169" t="s">
        <v>579</v>
      </c>
      <c r="E169" t="s">
        <v>274</v>
      </c>
      <c r="F169" t="s">
        <v>274</v>
      </c>
      <c r="G169" t="s">
        <v>274</v>
      </c>
      <c r="H169" t="s">
        <v>274</v>
      </c>
      <c r="I169" t="s">
        <v>274</v>
      </c>
      <c r="J169" t="s">
        <v>274</v>
      </c>
      <c r="K169" t="s">
        <v>274</v>
      </c>
      <c r="L169" t="s">
        <v>274</v>
      </c>
      <c r="M169" t="s">
        <v>274</v>
      </c>
      <c r="N169" t="s">
        <v>274</v>
      </c>
      <c r="O169" t="s">
        <v>274</v>
      </c>
      <c r="P169" t="s">
        <v>274</v>
      </c>
      <c r="Q169" t="s">
        <v>274</v>
      </c>
      <c r="R169" t="s">
        <v>274</v>
      </c>
      <c r="S169" t="s">
        <v>274</v>
      </c>
      <c r="T169" t="s">
        <v>274</v>
      </c>
      <c r="U169" t="s">
        <v>274</v>
      </c>
      <c r="V169" t="s">
        <v>274</v>
      </c>
      <c r="W169" t="s">
        <v>274</v>
      </c>
      <c r="X169" t="s">
        <v>274</v>
      </c>
      <c r="Y169" t="s">
        <v>274</v>
      </c>
      <c r="Z169" t="s">
        <v>274</v>
      </c>
      <c r="AA169" t="s">
        <v>274</v>
      </c>
      <c r="AB169" t="s">
        <v>274</v>
      </c>
      <c r="AC169" t="s">
        <v>274</v>
      </c>
      <c r="AD169" t="s">
        <v>274</v>
      </c>
      <c r="AE169" t="s">
        <v>274</v>
      </c>
      <c r="AF169" t="s">
        <v>274</v>
      </c>
      <c r="AG169" s="14" t="s">
        <v>274</v>
      </c>
      <c r="AH169" t="s">
        <v>274</v>
      </c>
      <c r="AI169" t="s">
        <v>274</v>
      </c>
      <c r="AJ169" t="s">
        <v>274</v>
      </c>
      <c r="AK169" t="s">
        <v>274</v>
      </c>
      <c r="AL169" t="s">
        <v>274</v>
      </c>
      <c r="AM169" t="s">
        <v>274</v>
      </c>
      <c r="AN169" t="s">
        <v>274</v>
      </c>
      <c r="AO169" t="s">
        <v>274</v>
      </c>
      <c r="AP169" t="s">
        <v>274</v>
      </c>
      <c r="AQ169" t="s">
        <v>274</v>
      </c>
      <c r="AR169" t="s">
        <v>274</v>
      </c>
      <c r="AS169" t="s">
        <v>274</v>
      </c>
      <c r="AT169" t="s">
        <v>274</v>
      </c>
      <c r="AU169" t="s">
        <v>274</v>
      </c>
      <c r="AV169" t="s">
        <v>274</v>
      </c>
      <c r="AW169" t="s">
        <v>274</v>
      </c>
      <c r="AX169" t="s">
        <v>2993</v>
      </c>
      <c r="AY169" t="s">
        <v>2994</v>
      </c>
      <c r="AZ169" t="s">
        <v>2995</v>
      </c>
      <c r="BA169" t="s">
        <v>2996</v>
      </c>
      <c r="BB169" t="s">
        <v>2997</v>
      </c>
      <c r="BC169" t="s">
        <v>2998</v>
      </c>
      <c r="BD169" t="s">
        <v>2999</v>
      </c>
      <c r="BE169" t="s">
        <v>3000</v>
      </c>
      <c r="BF169" t="s">
        <v>3001</v>
      </c>
      <c r="BG169" t="s">
        <v>3002</v>
      </c>
      <c r="BH169" t="s">
        <v>2560</v>
      </c>
      <c r="BI169" t="s">
        <v>3003</v>
      </c>
      <c r="BJ169" t="s">
        <v>3004</v>
      </c>
      <c r="BK169" t="s">
        <v>3005</v>
      </c>
      <c r="BL169" t="s">
        <v>3006</v>
      </c>
      <c r="BM169" t="s">
        <v>3007</v>
      </c>
      <c r="BN169" t="s">
        <v>3008</v>
      </c>
      <c r="BO169" t="s">
        <v>3009</v>
      </c>
      <c r="BP169" t="s">
        <v>3010</v>
      </c>
      <c r="BQ169" t="s">
        <v>3011</v>
      </c>
      <c r="BR169" t="s">
        <v>274</v>
      </c>
    </row>
    <row r="170" spans="1:70" x14ac:dyDescent="0.3">
      <c r="A170" t="s">
        <v>127</v>
      </c>
      <c r="B170" t="s">
        <v>3012</v>
      </c>
      <c r="C170" t="s">
        <v>578</v>
      </c>
      <c r="D170" t="s">
        <v>579</v>
      </c>
      <c r="E170" t="s">
        <v>274</v>
      </c>
      <c r="F170" t="s">
        <v>274</v>
      </c>
      <c r="G170" t="s">
        <v>274</v>
      </c>
      <c r="H170" t="s">
        <v>274</v>
      </c>
      <c r="I170" t="s">
        <v>274</v>
      </c>
      <c r="J170" t="s">
        <v>274</v>
      </c>
      <c r="K170" t="s">
        <v>274</v>
      </c>
      <c r="L170" t="s">
        <v>274</v>
      </c>
      <c r="M170" t="s">
        <v>274</v>
      </c>
      <c r="N170" t="s">
        <v>274</v>
      </c>
      <c r="O170" t="s">
        <v>274</v>
      </c>
      <c r="P170" t="s">
        <v>274</v>
      </c>
      <c r="Q170" t="s">
        <v>274</v>
      </c>
      <c r="R170" t="s">
        <v>274</v>
      </c>
      <c r="S170" t="s">
        <v>274</v>
      </c>
      <c r="T170" t="s">
        <v>274</v>
      </c>
      <c r="U170" t="s">
        <v>274</v>
      </c>
      <c r="V170" t="s">
        <v>274</v>
      </c>
      <c r="W170" t="s">
        <v>274</v>
      </c>
      <c r="X170" t="s">
        <v>274</v>
      </c>
      <c r="Y170" t="s">
        <v>274</v>
      </c>
      <c r="Z170" t="s">
        <v>274</v>
      </c>
      <c r="AA170" t="s">
        <v>274</v>
      </c>
      <c r="AB170" t="s">
        <v>274</v>
      </c>
      <c r="AC170" t="s">
        <v>274</v>
      </c>
      <c r="AD170" t="s">
        <v>274</v>
      </c>
      <c r="AE170" t="s">
        <v>274</v>
      </c>
      <c r="AF170" t="s">
        <v>274</v>
      </c>
      <c r="AG170" s="14" t="s">
        <v>274</v>
      </c>
      <c r="AH170" t="s">
        <v>274</v>
      </c>
      <c r="AI170" t="s">
        <v>274</v>
      </c>
      <c r="AJ170" t="s">
        <v>274</v>
      </c>
      <c r="AK170" t="s">
        <v>274</v>
      </c>
      <c r="AL170" t="s">
        <v>274</v>
      </c>
      <c r="AM170" t="s">
        <v>274</v>
      </c>
      <c r="AN170" t="s">
        <v>274</v>
      </c>
      <c r="AO170" t="s">
        <v>274</v>
      </c>
      <c r="AP170" t="s">
        <v>274</v>
      </c>
      <c r="AQ170" t="s">
        <v>3013</v>
      </c>
      <c r="AR170" t="s">
        <v>3014</v>
      </c>
      <c r="AS170" t="s">
        <v>3015</v>
      </c>
      <c r="AT170" t="s">
        <v>3016</v>
      </c>
      <c r="AU170" t="s">
        <v>3017</v>
      </c>
      <c r="AV170" t="s">
        <v>3018</v>
      </c>
      <c r="AW170" t="s">
        <v>3019</v>
      </c>
      <c r="AX170" t="s">
        <v>3020</v>
      </c>
      <c r="AY170" t="s">
        <v>3021</v>
      </c>
      <c r="AZ170" t="s">
        <v>3022</v>
      </c>
      <c r="BA170" t="s">
        <v>656</v>
      </c>
      <c r="BB170" t="s">
        <v>3023</v>
      </c>
      <c r="BC170" t="s">
        <v>3024</v>
      </c>
      <c r="BD170" t="s">
        <v>3025</v>
      </c>
      <c r="BE170" t="s">
        <v>3026</v>
      </c>
      <c r="BF170" t="s">
        <v>3027</v>
      </c>
      <c r="BG170" t="s">
        <v>3028</v>
      </c>
      <c r="BH170" t="s">
        <v>3029</v>
      </c>
      <c r="BI170" t="s">
        <v>3030</v>
      </c>
      <c r="BJ170" t="s">
        <v>3031</v>
      </c>
      <c r="BK170" t="s">
        <v>3032</v>
      </c>
      <c r="BL170" t="s">
        <v>3033</v>
      </c>
      <c r="BM170" t="s">
        <v>3034</v>
      </c>
      <c r="BN170" t="s">
        <v>3035</v>
      </c>
      <c r="BO170" t="s">
        <v>274</v>
      </c>
      <c r="BP170" t="s">
        <v>274</v>
      </c>
      <c r="BQ170" t="s">
        <v>274</v>
      </c>
      <c r="BR170" t="s">
        <v>274</v>
      </c>
    </row>
    <row r="171" spans="1:70" x14ac:dyDescent="0.3">
      <c r="A171" t="s">
        <v>3036</v>
      </c>
      <c r="B171" t="s">
        <v>3037</v>
      </c>
      <c r="C171" t="s">
        <v>578</v>
      </c>
      <c r="D171" t="s">
        <v>579</v>
      </c>
      <c r="E171" t="s">
        <v>274</v>
      </c>
      <c r="F171" t="s">
        <v>274</v>
      </c>
      <c r="G171" t="s">
        <v>274</v>
      </c>
      <c r="H171" t="s">
        <v>274</v>
      </c>
      <c r="I171" t="s">
        <v>274</v>
      </c>
      <c r="J171" t="s">
        <v>274</v>
      </c>
      <c r="K171" t="s">
        <v>274</v>
      </c>
      <c r="L171" t="s">
        <v>274</v>
      </c>
      <c r="M171" t="s">
        <v>274</v>
      </c>
      <c r="N171" t="s">
        <v>274</v>
      </c>
      <c r="O171" t="s">
        <v>274</v>
      </c>
      <c r="P171" t="s">
        <v>274</v>
      </c>
      <c r="Q171" t="s">
        <v>274</v>
      </c>
      <c r="R171" t="s">
        <v>274</v>
      </c>
      <c r="S171" t="s">
        <v>274</v>
      </c>
      <c r="T171" t="s">
        <v>274</v>
      </c>
      <c r="U171" t="s">
        <v>274</v>
      </c>
      <c r="V171" t="s">
        <v>274</v>
      </c>
      <c r="W171" t="s">
        <v>274</v>
      </c>
      <c r="X171" t="s">
        <v>274</v>
      </c>
      <c r="Y171" t="s">
        <v>274</v>
      </c>
      <c r="Z171" t="s">
        <v>274</v>
      </c>
      <c r="AA171" t="s">
        <v>274</v>
      </c>
      <c r="AB171" t="s">
        <v>274</v>
      </c>
      <c r="AC171" t="s">
        <v>274</v>
      </c>
      <c r="AD171" t="s">
        <v>274</v>
      </c>
      <c r="AE171" t="s">
        <v>274</v>
      </c>
      <c r="AF171" t="s">
        <v>274</v>
      </c>
      <c r="AG171" s="14" t="s">
        <v>274</v>
      </c>
      <c r="AH171" t="s">
        <v>274</v>
      </c>
      <c r="AI171" t="s">
        <v>274</v>
      </c>
      <c r="AJ171" t="s">
        <v>274</v>
      </c>
      <c r="AK171" t="s">
        <v>274</v>
      </c>
      <c r="AL171" t="s">
        <v>274</v>
      </c>
      <c r="AM171" t="s">
        <v>274</v>
      </c>
      <c r="AN171" t="s">
        <v>274</v>
      </c>
      <c r="AO171" t="s">
        <v>274</v>
      </c>
      <c r="AP171" t="s">
        <v>274</v>
      </c>
      <c r="AQ171" t="s">
        <v>274</v>
      </c>
      <c r="AR171" t="s">
        <v>274</v>
      </c>
      <c r="AS171" t="s">
        <v>274</v>
      </c>
      <c r="AT171" t="s">
        <v>274</v>
      </c>
      <c r="AU171" t="s">
        <v>274</v>
      </c>
      <c r="AV171" t="s">
        <v>274</v>
      </c>
      <c r="AW171" t="s">
        <v>274</v>
      </c>
      <c r="AX171" t="s">
        <v>274</v>
      </c>
      <c r="AY171" t="s">
        <v>274</v>
      </c>
      <c r="AZ171" t="s">
        <v>274</v>
      </c>
      <c r="BA171" t="s">
        <v>274</v>
      </c>
      <c r="BB171" t="s">
        <v>274</v>
      </c>
      <c r="BC171" t="s">
        <v>274</v>
      </c>
      <c r="BD171" t="s">
        <v>274</v>
      </c>
      <c r="BE171" t="s">
        <v>274</v>
      </c>
      <c r="BF171" t="s">
        <v>274</v>
      </c>
      <c r="BG171" t="s">
        <v>274</v>
      </c>
      <c r="BH171" t="s">
        <v>274</v>
      </c>
      <c r="BI171" t="s">
        <v>274</v>
      </c>
      <c r="BJ171" t="s">
        <v>274</v>
      </c>
      <c r="BK171" t="s">
        <v>274</v>
      </c>
      <c r="BL171" t="s">
        <v>274</v>
      </c>
      <c r="BM171" t="s">
        <v>274</v>
      </c>
      <c r="BN171" t="s">
        <v>274</v>
      </c>
      <c r="BO171" t="s">
        <v>274</v>
      </c>
      <c r="BP171" t="s">
        <v>274</v>
      </c>
      <c r="BQ171" t="s">
        <v>274</v>
      </c>
      <c r="BR171" t="s">
        <v>274</v>
      </c>
    </row>
    <row r="172" spans="1:70" x14ac:dyDescent="0.3">
      <c r="A172" t="s">
        <v>224</v>
      </c>
      <c r="B172" t="s">
        <v>3038</v>
      </c>
      <c r="C172" t="s">
        <v>578</v>
      </c>
      <c r="D172" t="s">
        <v>579</v>
      </c>
      <c r="E172" t="s">
        <v>274</v>
      </c>
      <c r="F172" t="s">
        <v>274</v>
      </c>
      <c r="G172" t="s">
        <v>274</v>
      </c>
      <c r="H172" t="s">
        <v>274</v>
      </c>
      <c r="I172" t="s">
        <v>274</v>
      </c>
      <c r="J172" t="s">
        <v>274</v>
      </c>
      <c r="K172" t="s">
        <v>274</v>
      </c>
      <c r="L172" t="s">
        <v>274</v>
      </c>
      <c r="M172" t="s">
        <v>274</v>
      </c>
      <c r="N172" t="s">
        <v>274</v>
      </c>
      <c r="O172" t="s">
        <v>274</v>
      </c>
      <c r="P172" t="s">
        <v>274</v>
      </c>
      <c r="Q172" t="s">
        <v>274</v>
      </c>
      <c r="R172" t="s">
        <v>274</v>
      </c>
      <c r="S172" t="s">
        <v>274</v>
      </c>
      <c r="T172" t="s">
        <v>274</v>
      </c>
      <c r="U172" t="s">
        <v>274</v>
      </c>
      <c r="V172" t="s">
        <v>274</v>
      </c>
      <c r="W172" t="s">
        <v>274</v>
      </c>
      <c r="X172" t="s">
        <v>274</v>
      </c>
      <c r="Y172" t="s">
        <v>274</v>
      </c>
      <c r="Z172" t="s">
        <v>274</v>
      </c>
      <c r="AA172" t="s">
        <v>274</v>
      </c>
      <c r="AB172" t="s">
        <v>274</v>
      </c>
      <c r="AC172" t="s">
        <v>274</v>
      </c>
      <c r="AD172" t="s">
        <v>274</v>
      </c>
      <c r="AE172" t="s">
        <v>274</v>
      </c>
      <c r="AF172" t="s">
        <v>274</v>
      </c>
      <c r="AG172" s="14" t="s">
        <v>274</v>
      </c>
      <c r="AH172" t="s">
        <v>274</v>
      </c>
      <c r="AI172" t="s">
        <v>274</v>
      </c>
      <c r="AJ172" t="s">
        <v>274</v>
      </c>
      <c r="AK172" t="s">
        <v>274</v>
      </c>
      <c r="AL172" t="s">
        <v>274</v>
      </c>
      <c r="AM172" t="s">
        <v>274</v>
      </c>
      <c r="AN172" t="s">
        <v>274</v>
      </c>
      <c r="AO172" t="s">
        <v>274</v>
      </c>
      <c r="AP172" t="s">
        <v>3039</v>
      </c>
      <c r="AQ172" t="s">
        <v>3040</v>
      </c>
      <c r="AR172" t="s">
        <v>3041</v>
      </c>
      <c r="AS172" t="s">
        <v>3042</v>
      </c>
      <c r="AT172" t="s">
        <v>3043</v>
      </c>
      <c r="AU172" t="s">
        <v>3044</v>
      </c>
      <c r="AV172" t="s">
        <v>3045</v>
      </c>
      <c r="AW172" t="s">
        <v>3046</v>
      </c>
      <c r="AX172" t="s">
        <v>3047</v>
      </c>
      <c r="AY172" t="s">
        <v>3048</v>
      </c>
      <c r="AZ172" t="s">
        <v>3049</v>
      </c>
      <c r="BA172" t="s">
        <v>3050</v>
      </c>
      <c r="BB172" t="s">
        <v>3051</v>
      </c>
      <c r="BC172" t="s">
        <v>3052</v>
      </c>
      <c r="BD172" t="s">
        <v>3053</v>
      </c>
      <c r="BE172" t="s">
        <v>3054</v>
      </c>
      <c r="BF172" t="s">
        <v>3055</v>
      </c>
      <c r="BG172" t="s">
        <v>3056</v>
      </c>
      <c r="BH172" t="s">
        <v>3057</v>
      </c>
      <c r="BI172" t="s">
        <v>3058</v>
      </c>
      <c r="BJ172" t="s">
        <v>3059</v>
      </c>
      <c r="BK172" t="s">
        <v>3060</v>
      </c>
      <c r="BL172" t="s">
        <v>3061</v>
      </c>
      <c r="BM172" t="s">
        <v>3062</v>
      </c>
      <c r="BN172" t="s">
        <v>3063</v>
      </c>
      <c r="BO172" t="s">
        <v>3064</v>
      </c>
      <c r="BP172" t="s">
        <v>3065</v>
      </c>
      <c r="BQ172" t="s">
        <v>3066</v>
      </c>
      <c r="BR172" t="s">
        <v>274</v>
      </c>
    </row>
    <row r="173" spans="1:70" x14ac:dyDescent="0.3">
      <c r="A173" t="s">
        <v>128</v>
      </c>
      <c r="B173" t="s">
        <v>3067</v>
      </c>
      <c r="C173" t="s">
        <v>578</v>
      </c>
      <c r="D173" t="s">
        <v>579</v>
      </c>
      <c r="E173" t="s">
        <v>274</v>
      </c>
      <c r="F173" t="s">
        <v>274</v>
      </c>
      <c r="G173" t="s">
        <v>274</v>
      </c>
      <c r="H173" t="s">
        <v>274</v>
      </c>
      <c r="I173" t="s">
        <v>274</v>
      </c>
      <c r="J173" t="s">
        <v>274</v>
      </c>
      <c r="K173" t="s">
        <v>274</v>
      </c>
      <c r="L173" t="s">
        <v>274</v>
      </c>
      <c r="M173" t="s">
        <v>274</v>
      </c>
      <c r="N173" t="s">
        <v>274</v>
      </c>
      <c r="O173" t="s">
        <v>274</v>
      </c>
      <c r="P173" t="s">
        <v>274</v>
      </c>
      <c r="Q173" t="s">
        <v>274</v>
      </c>
      <c r="R173" t="s">
        <v>274</v>
      </c>
      <c r="S173" t="s">
        <v>274</v>
      </c>
      <c r="T173" t="s">
        <v>274</v>
      </c>
      <c r="U173" t="s">
        <v>274</v>
      </c>
      <c r="V173" t="s">
        <v>274</v>
      </c>
      <c r="W173" t="s">
        <v>274</v>
      </c>
      <c r="X173" t="s">
        <v>274</v>
      </c>
      <c r="Y173" t="s">
        <v>868</v>
      </c>
      <c r="Z173" t="s">
        <v>868</v>
      </c>
      <c r="AA173" t="s">
        <v>868</v>
      </c>
      <c r="AB173" t="s">
        <v>868</v>
      </c>
      <c r="AC173" t="s">
        <v>868</v>
      </c>
      <c r="AD173" t="s">
        <v>868</v>
      </c>
      <c r="AE173" t="s">
        <v>868</v>
      </c>
      <c r="AF173" t="s">
        <v>868</v>
      </c>
      <c r="AG173" s="14" t="s">
        <v>868</v>
      </c>
      <c r="AH173" t="s">
        <v>1212</v>
      </c>
      <c r="AI173" t="s">
        <v>1212</v>
      </c>
      <c r="AJ173" t="s">
        <v>1212</v>
      </c>
      <c r="AK173" t="s">
        <v>2407</v>
      </c>
      <c r="AL173" t="s">
        <v>2750</v>
      </c>
      <c r="AM173" t="s">
        <v>3063</v>
      </c>
      <c r="AN173" t="s">
        <v>2086</v>
      </c>
      <c r="AO173" t="s">
        <v>1836</v>
      </c>
      <c r="AP173" t="s">
        <v>1836</v>
      </c>
      <c r="AQ173" t="s">
        <v>1853</v>
      </c>
      <c r="AR173" t="s">
        <v>1845</v>
      </c>
      <c r="AS173" t="s">
        <v>1507</v>
      </c>
      <c r="AT173" t="s">
        <v>3068</v>
      </c>
      <c r="AU173" t="s">
        <v>1059</v>
      </c>
      <c r="AV173" t="s">
        <v>1059</v>
      </c>
      <c r="AW173" t="s">
        <v>1059</v>
      </c>
      <c r="AX173" t="s">
        <v>2069</v>
      </c>
      <c r="AY173" t="s">
        <v>1855</v>
      </c>
      <c r="AZ173" t="s">
        <v>3069</v>
      </c>
      <c r="BA173" t="s">
        <v>2086</v>
      </c>
      <c r="BB173" t="s">
        <v>1862</v>
      </c>
      <c r="BC173" t="s">
        <v>1233</v>
      </c>
      <c r="BD173" t="s">
        <v>1233</v>
      </c>
      <c r="BE173" t="s">
        <v>1233</v>
      </c>
      <c r="BF173" t="s">
        <v>1233</v>
      </c>
      <c r="BG173" t="s">
        <v>1233</v>
      </c>
      <c r="BH173" t="s">
        <v>1233</v>
      </c>
      <c r="BI173" t="s">
        <v>1233</v>
      </c>
      <c r="BJ173" t="s">
        <v>1233</v>
      </c>
      <c r="BK173" t="s">
        <v>274</v>
      </c>
      <c r="BL173" t="s">
        <v>274</v>
      </c>
      <c r="BM173" t="s">
        <v>274</v>
      </c>
      <c r="BN173" t="s">
        <v>274</v>
      </c>
      <c r="BO173" t="s">
        <v>274</v>
      </c>
      <c r="BP173" t="s">
        <v>274</v>
      </c>
      <c r="BQ173" t="s">
        <v>274</v>
      </c>
      <c r="BR173" t="s">
        <v>274</v>
      </c>
    </row>
    <row r="174" spans="1:70" x14ac:dyDescent="0.3">
      <c r="A174" t="s">
        <v>129</v>
      </c>
      <c r="B174" t="s">
        <v>3070</v>
      </c>
      <c r="C174" t="s">
        <v>578</v>
      </c>
      <c r="D174" t="s">
        <v>579</v>
      </c>
      <c r="E174" t="s">
        <v>274</v>
      </c>
      <c r="F174" t="s">
        <v>274</v>
      </c>
      <c r="G174" t="s">
        <v>274</v>
      </c>
      <c r="H174" t="s">
        <v>274</v>
      </c>
      <c r="I174" t="s">
        <v>274</v>
      </c>
      <c r="J174" t="s">
        <v>274</v>
      </c>
      <c r="K174" t="s">
        <v>274</v>
      </c>
      <c r="L174" t="s">
        <v>274</v>
      </c>
      <c r="M174" t="s">
        <v>274</v>
      </c>
      <c r="N174" t="s">
        <v>274</v>
      </c>
      <c r="O174" t="s">
        <v>274</v>
      </c>
      <c r="P174" t="s">
        <v>274</v>
      </c>
      <c r="Q174" t="s">
        <v>274</v>
      </c>
      <c r="R174" t="s">
        <v>274</v>
      </c>
      <c r="S174" t="s">
        <v>274</v>
      </c>
      <c r="T174" t="s">
        <v>274</v>
      </c>
      <c r="U174" t="s">
        <v>274</v>
      </c>
      <c r="V174" t="s">
        <v>274</v>
      </c>
      <c r="W174" t="s">
        <v>274</v>
      </c>
      <c r="X174" t="s">
        <v>274</v>
      </c>
      <c r="Y174" t="s">
        <v>3071</v>
      </c>
      <c r="Z174" t="s">
        <v>1933</v>
      </c>
      <c r="AA174" t="s">
        <v>1202</v>
      </c>
      <c r="AB174" t="s">
        <v>806</v>
      </c>
      <c r="AC174" t="s">
        <v>3072</v>
      </c>
      <c r="AD174" t="s">
        <v>2179</v>
      </c>
      <c r="AE174" t="s">
        <v>1114</v>
      </c>
      <c r="AF174" t="s">
        <v>3073</v>
      </c>
      <c r="AG174" s="14" t="s">
        <v>3074</v>
      </c>
      <c r="AH174" t="s">
        <v>3075</v>
      </c>
      <c r="AI174" t="s">
        <v>1488</v>
      </c>
      <c r="AJ174" t="s">
        <v>3076</v>
      </c>
      <c r="AK174" t="s">
        <v>3077</v>
      </c>
      <c r="AL174" t="s">
        <v>1234</v>
      </c>
      <c r="AM174" t="s">
        <v>2175</v>
      </c>
      <c r="AN174" t="s">
        <v>3078</v>
      </c>
      <c r="AO174" t="s">
        <v>3078</v>
      </c>
      <c r="AP174" t="s">
        <v>2175</v>
      </c>
      <c r="AQ174" t="s">
        <v>3079</v>
      </c>
      <c r="AR174" t="s">
        <v>3080</v>
      </c>
      <c r="AS174" t="s">
        <v>3081</v>
      </c>
      <c r="AT174" t="s">
        <v>3082</v>
      </c>
      <c r="AU174" t="s">
        <v>1059</v>
      </c>
      <c r="AV174" t="s">
        <v>1059</v>
      </c>
      <c r="AW174" t="s">
        <v>1059</v>
      </c>
      <c r="AX174" t="s">
        <v>3083</v>
      </c>
      <c r="AY174" t="s">
        <v>3084</v>
      </c>
      <c r="AZ174" t="s">
        <v>3085</v>
      </c>
      <c r="BA174" t="s">
        <v>3086</v>
      </c>
      <c r="BB174" t="s">
        <v>309</v>
      </c>
      <c r="BC174" t="s">
        <v>1972</v>
      </c>
      <c r="BD174" t="s">
        <v>1210</v>
      </c>
      <c r="BE174" t="s">
        <v>3087</v>
      </c>
      <c r="BF174" t="s">
        <v>599</v>
      </c>
      <c r="BG174" t="s">
        <v>599</v>
      </c>
      <c r="BH174" t="s">
        <v>599</v>
      </c>
      <c r="BI174" t="s">
        <v>599</v>
      </c>
      <c r="BJ174" t="s">
        <v>599</v>
      </c>
      <c r="BK174" t="s">
        <v>599</v>
      </c>
      <c r="BL174" t="s">
        <v>3088</v>
      </c>
      <c r="BM174" t="s">
        <v>3089</v>
      </c>
      <c r="BN174" t="s">
        <v>3090</v>
      </c>
      <c r="BO174" t="s">
        <v>3091</v>
      </c>
      <c r="BP174" t="s">
        <v>594</v>
      </c>
      <c r="BQ174" t="s">
        <v>796</v>
      </c>
      <c r="BR174" t="s">
        <v>274</v>
      </c>
    </row>
    <row r="175" spans="1:70" x14ac:dyDescent="0.3">
      <c r="A175" t="s">
        <v>130</v>
      </c>
      <c r="B175" t="s">
        <v>3092</v>
      </c>
      <c r="C175" t="s">
        <v>578</v>
      </c>
      <c r="D175" t="s">
        <v>579</v>
      </c>
      <c r="E175" t="s">
        <v>274</v>
      </c>
      <c r="F175" t="s">
        <v>274</v>
      </c>
      <c r="G175" t="s">
        <v>274</v>
      </c>
      <c r="H175" t="s">
        <v>274</v>
      </c>
      <c r="I175" t="s">
        <v>274</v>
      </c>
      <c r="J175" t="s">
        <v>274</v>
      </c>
      <c r="K175" t="s">
        <v>274</v>
      </c>
      <c r="L175" t="s">
        <v>274</v>
      </c>
      <c r="M175" t="s">
        <v>274</v>
      </c>
      <c r="N175" t="s">
        <v>274</v>
      </c>
      <c r="O175" t="s">
        <v>274</v>
      </c>
      <c r="P175" t="s">
        <v>274</v>
      </c>
      <c r="Q175" t="s">
        <v>274</v>
      </c>
      <c r="R175" t="s">
        <v>274</v>
      </c>
      <c r="S175" t="s">
        <v>274</v>
      </c>
      <c r="T175" t="s">
        <v>274</v>
      </c>
      <c r="U175" t="s">
        <v>274</v>
      </c>
      <c r="V175" t="s">
        <v>274</v>
      </c>
      <c r="W175" t="s">
        <v>274</v>
      </c>
      <c r="X175" t="s">
        <v>1105</v>
      </c>
      <c r="Y175" t="s">
        <v>3093</v>
      </c>
      <c r="Z175" t="s">
        <v>3094</v>
      </c>
      <c r="AA175" t="s">
        <v>3094</v>
      </c>
      <c r="AB175" t="s">
        <v>1668</v>
      </c>
      <c r="AC175" t="s">
        <v>1105</v>
      </c>
      <c r="AD175" t="s">
        <v>3095</v>
      </c>
      <c r="AE175" t="s">
        <v>1650</v>
      </c>
      <c r="AF175" t="s">
        <v>1862</v>
      </c>
      <c r="AG175" s="14" t="s">
        <v>2852</v>
      </c>
      <c r="AH175" t="s">
        <v>3096</v>
      </c>
      <c r="AI175" t="s">
        <v>1059</v>
      </c>
      <c r="AJ175" t="s">
        <v>2754</v>
      </c>
      <c r="AK175" t="s">
        <v>1836</v>
      </c>
      <c r="AL175" t="s">
        <v>3097</v>
      </c>
      <c r="AM175" t="s">
        <v>3098</v>
      </c>
      <c r="AN175" t="s">
        <v>3099</v>
      </c>
      <c r="AO175" t="s">
        <v>3100</v>
      </c>
      <c r="AP175" t="s">
        <v>3101</v>
      </c>
      <c r="AQ175" t="s">
        <v>3102</v>
      </c>
      <c r="AR175" t="s">
        <v>2881</v>
      </c>
      <c r="AS175" t="s">
        <v>3103</v>
      </c>
      <c r="AT175" t="s">
        <v>3104</v>
      </c>
      <c r="AU175" t="s">
        <v>3105</v>
      </c>
      <c r="AV175" t="s">
        <v>3106</v>
      </c>
      <c r="AW175" t="s">
        <v>3107</v>
      </c>
      <c r="AX175" t="s">
        <v>3108</v>
      </c>
      <c r="AY175" t="s">
        <v>3109</v>
      </c>
      <c r="AZ175" t="s">
        <v>3110</v>
      </c>
      <c r="BA175" t="s">
        <v>3111</v>
      </c>
      <c r="BB175" t="s">
        <v>2862</v>
      </c>
      <c r="BC175" t="s">
        <v>3112</v>
      </c>
      <c r="BD175" t="s">
        <v>3113</v>
      </c>
      <c r="BE175" t="s">
        <v>3114</v>
      </c>
      <c r="BF175" t="s">
        <v>3115</v>
      </c>
      <c r="BG175" t="s">
        <v>3116</v>
      </c>
      <c r="BH175" t="s">
        <v>3117</v>
      </c>
      <c r="BI175" t="s">
        <v>3118</v>
      </c>
      <c r="BJ175" t="s">
        <v>3119</v>
      </c>
      <c r="BK175" t="s">
        <v>3120</v>
      </c>
      <c r="BL175" t="s">
        <v>3121</v>
      </c>
      <c r="BM175" t="s">
        <v>3122</v>
      </c>
      <c r="BN175" t="s">
        <v>3123</v>
      </c>
      <c r="BO175" t="s">
        <v>3124</v>
      </c>
      <c r="BP175" t="s">
        <v>3125</v>
      </c>
      <c r="BQ175" t="s">
        <v>3126</v>
      </c>
      <c r="BR175" t="s">
        <v>274</v>
      </c>
    </row>
    <row r="176" spans="1:70" x14ac:dyDescent="0.3">
      <c r="A176" t="s">
        <v>131</v>
      </c>
      <c r="B176" t="s">
        <v>3127</v>
      </c>
      <c r="C176" t="s">
        <v>578</v>
      </c>
      <c r="D176" t="s">
        <v>579</v>
      </c>
      <c r="E176" t="s">
        <v>274</v>
      </c>
      <c r="F176" t="s">
        <v>274</v>
      </c>
      <c r="G176" t="s">
        <v>274</v>
      </c>
      <c r="H176" t="s">
        <v>274</v>
      </c>
      <c r="I176" t="s">
        <v>274</v>
      </c>
      <c r="J176" t="s">
        <v>274</v>
      </c>
      <c r="K176" t="s">
        <v>274</v>
      </c>
      <c r="L176" t="s">
        <v>274</v>
      </c>
      <c r="M176" t="s">
        <v>274</v>
      </c>
      <c r="N176" t="s">
        <v>3128</v>
      </c>
      <c r="O176" t="s">
        <v>3129</v>
      </c>
      <c r="P176" t="s">
        <v>3130</v>
      </c>
      <c r="Q176" t="s">
        <v>359</v>
      </c>
      <c r="R176" t="s">
        <v>329</v>
      </c>
      <c r="S176" t="s">
        <v>900</v>
      </c>
      <c r="T176" t="s">
        <v>587</v>
      </c>
      <c r="U176" t="s">
        <v>3131</v>
      </c>
      <c r="V176" t="s">
        <v>3132</v>
      </c>
      <c r="W176" t="s">
        <v>3133</v>
      </c>
      <c r="X176" t="s">
        <v>3134</v>
      </c>
      <c r="Y176" t="s">
        <v>3135</v>
      </c>
      <c r="Z176" t="s">
        <v>3136</v>
      </c>
      <c r="AA176" t="s">
        <v>1936</v>
      </c>
      <c r="AB176" t="s">
        <v>3137</v>
      </c>
      <c r="AC176" t="s">
        <v>3138</v>
      </c>
      <c r="AD176" t="s">
        <v>3139</v>
      </c>
      <c r="AE176" t="s">
        <v>3140</v>
      </c>
      <c r="AF176" t="s">
        <v>3141</v>
      </c>
      <c r="AG176" s="14" t="s">
        <v>3142</v>
      </c>
      <c r="AH176" t="s">
        <v>1981</v>
      </c>
      <c r="AI176" t="s">
        <v>3143</v>
      </c>
      <c r="AJ176" t="s">
        <v>3144</v>
      </c>
      <c r="AK176" t="s">
        <v>3145</v>
      </c>
      <c r="AL176" t="s">
        <v>3146</v>
      </c>
      <c r="AM176" t="s">
        <v>3147</v>
      </c>
      <c r="AN176" t="s">
        <v>3148</v>
      </c>
      <c r="AO176" t="s">
        <v>3149</v>
      </c>
      <c r="AP176" t="s">
        <v>3150</v>
      </c>
      <c r="AQ176" t="s">
        <v>3151</v>
      </c>
      <c r="AR176" t="s">
        <v>3152</v>
      </c>
      <c r="AS176" t="s">
        <v>3153</v>
      </c>
      <c r="AT176" t="s">
        <v>3154</v>
      </c>
      <c r="AU176" t="s">
        <v>3155</v>
      </c>
      <c r="AV176" t="s">
        <v>3156</v>
      </c>
      <c r="AW176" t="s">
        <v>3157</v>
      </c>
      <c r="AX176" t="s">
        <v>3158</v>
      </c>
      <c r="AY176" t="s">
        <v>3159</v>
      </c>
      <c r="AZ176" t="s">
        <v>3160</v>
      </c>
      <c r="BA176" t="s">
        <v>3161</v>
      </c>
      <c r="BB176" t="s">
        <v>3162</v>
      </c>
      <c r="BC176" t="s">
        <v>784</v>
      </c>
      <c r="BD176" t="s">
        <v>3163</v>
      </c>
      <c r="BE176" t="s">
        <v>3164</v>
      </c>
      <c r="BF176" t="s">
        <v>3165</v>
      </c>
      <c r="BG176" t="s">
        <v>3166</v>
      </c>
      <c r="BH176" t="s">
        <v>3167</v>
      </c>
      <c r="BI176" t="s">
        <v>3168</v>
      </c>
      <c r="BJ176" t="s">
        <v>3169</v>
      </c>
      <c r="BK176" t="s">
        <v>3170</v>
      </c>
      <c r="BL176" t="s">
        <v>3171</v>
      </c>
      <c r="BM176" t="s">
        <v>3172</v>
      </c>
      <c r="BN176" t="s">
        <v>3173</v>
      </c>
      <c r="BO176" t="s">
        <v>3174</v>
      </c>
      <c r="BP176" t="s">
        <v>3175</v>
      </c>
      <c r="BQ176" t="s">
        <v>3176</v>
      </c>
      <c r="BR176" t="s">
        <v>274</v>
      </c>
    </row>
    <row r="177" spans="1:70" x14ac:dyDescent="0.3">
      <c r="A177" t="s">
        <v>132</v>
      </c>
      <c r="B177" t="s">
        <v>3177</v>
      </c>
      <c r="C177" t="s">
        <v>578</v>
      </c>
      <c r="D177" t="s">
        <v>579</v>
      </c>
      <c r="E177" t="s">
        <v>274</v>
      </c>
      <c r="F177" t="s">
        <v>274</v>
      </c>
      <c r="G177" t="s">
        <v>274</v>
      </c>
      <c r="H177" t="s">
        <v>274</v>
      </c>
      <c r="I177" t="s">
        <v>274</v>
      </c>
      <c r="J177" t="s">
        <v>274</v>
      </c>
      <c r="K177" t="s">
        <v>274</v>
      </c>
      <c r="L177" t="s">
        <v>274</v>
      </c>
      <c r="M177" t="s">
        <v>274</v>
      </c>
      <c r="N177" t="s">
        <v>274</v>
      </c>
      <c r="O177" t="s">
        <v>274</v>
      </c>
      <c r="P177" t="s">
        <v>274</v>
      </c>
      <c r="Q177" t="s">
        <v>274</v>
      </c>
      <c r="R177" t="s">
        <v>274</v>
      </c>
      <c r="S177" t="s">
        <v>274</v>
      </c>
      <c r="T177" t="s">
        <v>274</v>
      </c>
      <c r="U177" t="s">
        <v>274</v>
      </c>
      <c r="V177" t="s">
        <v>274</v>
      </c>
      <c r="W177" t="s">
        <v>274</v>
      </c>
      <c r="X177" t="s">
        <v>274</v>
      </c>
      <c r="Y177" t="s">
        <v>274</v>
      </c>
      <c r="Z177" t="s">
        <v>274</v>
      </c>
      <c r="AA177" t="s">
        <v>274</v>
      </c>
      <c r="AB177" t="s">
        <v>274</v>
      </c>
      <c r="AC177" t="s">
        <v>274</v>
      </c>
      <c r="AD177" t="s">
        <v>274</v>
      </c>
      <c r="AE177" t="s">
        <v>274</v>
      </c>
      <c r="AF177" t="s">
        <v>274</v>
      </c>
      <c r="AG177" s="14" t="s">
        <v>274</v>
      </c>
      <c r="AH177" t="s">
        <v>274</v>
      </c>
      <c r="AI177" t="s">
        <v>274</v>
      </c>
      <c r="AJ177" t="s">
        <v>274</v>
      </c>
      <c r="AK177" t="s">
        <v>274</v>
      </c>
      <c r="AL177" t="s">
        <v>274</v>
      </c>
      <c r="AM177" t="s">
        <v>274</v>
      </c>
      <c r="AN177" t="s">
        <v>274</v>
      </c>
      <c r="AO177" t="s">
        <v>274</v>
      </c>
      <c r="AP177" t="s">
        <v>274</v>
      </c>
      <c r="AQ177" t="s">
        <v>274</v>
      </c>
      <c r="AR177" t="s">
        <v>274</v>
      </c>
      <c r="AS177" t="s">
        <v>274</v>
      </c>
      <c r="AT177" t="s">
        <v>274</v>
      </c>
      <c r="AU177" t="s">
        <v>274</v>
      </c>
      <c r="AV177" t="s">
        <v>274</v>
      </c>
      <c r="AW177" t="s">
        <v>274</v>
      </c>
      <c r="AX177" t="s">
        <v>274</v>
      </c>
      <c r="AY177" t="s">
        <v>274</v>
      </c>
      <c r="AZ177" t="s">
        <v>274</v>
      </c>
      <c r="BA177" t="s">
        <v>274</v>
      </c>
      <c r="BB177" t="s">
        <v>274</v>
      </c>
      <c r="BC177" t="s">
        <v>274</v>
      </c>
      <c r="BD177" t="s">
        <v>274</v>
      </c>
      <c r="BE177" t="s">
        <v>274</v>
      </c>
      <c r="BF177" t="s">
        <v>274</v>
      </c>
      <c r="BG177" t="s">
        <v>274</v>
      </c>
      <c r="BH177" t="s">
        <v>274</v>
      </c>
      <c r="BI177" t="s">
        <v>274</v>
      </c>
      <c r="BJ177" t="s">
        <v>274</v>
      </c>
      <c r="BK177" t="s">
        <v>274</v>
      </c>
      <c r="BL177" t="s">
        <v>274</v>
      </c>
      <c r="BM177" t="s">
        <v>274</v>
      </c>
      <c r="BN177" t="s">
        <v>274</v>
      </c>
      <c r="BO177" t="s">
        <v>274</v>
      </c>
      <c r="BP177" t="s">
        <v>274</v>
      </c>
      <c r="BQ177" t="s">
        <v>274</v>
      </c>
      <c r="BR177" t="s">
        <v>274</v>
      </c>
    </row>
    <row r="178" spans="1:70" x14ac:dyDescent="0.3">
      <c r="A178" t="s">
        <v>226</v>
      </c>
      <c r="B178" t="s">
        <v>3178</v>
      </c>
      <c r="C178" t="s">
        <v>578</v>
      </c>
      <c r="D178" t="s">
        <v>579</v>
      </c>
      <c r="E178" t="s">
        <v>274</v>
      </c>
      <c r="F178" t="s">
        <v>274</v>
      </c>
      <c r="G178" t="s">
        <v>274</v>
      </c>
      <c r="H178" t="s">
        <v>274</v>
      </c>
      <c r="I178" t="s">
        <v>274</v>
      </c>
      <c r="J178" t="s">
        <v>274</v>
      </c>
      <c r="K178" t="s">
        <v>274</v>
      </c>
      <c r="L178" t="s">
        <v>274</v>
      </c>
      <c r="M178" t="s">
        <v>274</v>
      </c>
      <c r="N178" t="s">
        <v>274</v>
      </c>
      <c r="O178" t="s">
        <v>274</v>
      </c>
      <c r="P178" t="s">
        <v>274</v>
      </c>
      <c r="Q178" t="s">
        <v>274</v>
      </c>
      <c r="R178" t="s">
        <v>274</v>
      </c>
      <c r="S178" t="s">
        <v>274</v>
      </c>
      <c r="T178" t="s">
        <v>274</v>
      </c>
      <c r="U178" t="s">
        <v>274</v>
      </c>
      <c r="V178" t="s">
        <v>274</v>
      </c>
      <c r="W178" t="s">
        <v>274</v>
      </c>
      <c r="X178" t="s">
        <v>274</v>
      </c>
      <c r="Y178" t="s">
        <v>274</v>
      </c>
      <c r="Z178" t="s">
        <v>274</v>
      </c>
      <c r="AA178" t="s">
        <v>274</v>
      </c>
      <c r="AB178" t="s">
        <v>274</v>
      </c>
      <c r="AC178" t="s">
        <v>274</v>
      </c>
      <c r="AD178" t="s">
        <v>274</v>
      </c>
      <c r="AE178" t="s">
        <v>274</v>
      </c>
      <c r="AF178" t="s">
        <v>274</v>
      </c>
      <c r="AG178" s="14" t="s">
        <v>274</v>
      </c>
      <c r="AH178" t="s">
        <v>274</v>
      </c>
      <c r="AI178" t="s">
        <v>274</v>
      </c>
      <c r="AJ178" t="s">
        <v>3179</v>
      </c>
      <c r="AK178" t="s">
        <v>3180</v>
      </c>
      <c r="AL178" t="s">
        <v>3181</v>
      </c>
      <c r="AM178" t="s">
        <v>3182</v>
      </c>
      <c r="AN178" t="s">
        <v>3183</v>
      </c>
      <c r="AO178" t="s">
        <v>3184</v>
      </c>
      <c r="AP178" t="s">
        <v>3185</v>
      </c>
      <c r="AQ178" t="s">
        <v>3186</v>
      </c>
      <c r="AR178" t="s">
        <v>3187</v>
      </c>
      <c r="AS178" t="s">
        <v>3188</v>
      </c>
      <c r="AT178" t="s">
        <v>3189</v>
      </c>
      <c r="AU178" t="s">
        <v>3190</v>
      </c>
      <c r="AV178" t="s">
        <v>3191</v>
      </c>
      <c r="AW178" t="s">
        <v>3192</v>
      </c>
      <c r="AX178" t="s">
        <v>3193</v>
      </c>
      <c r="AY178" t="s">
        <v>3194</v>
      </c>
      <c r="AZ178" t="s">
        <v>3195</v>
      </c>
      <c r="BA178" t="s">
        <v>3196</v>
      </c>
      <c r="BB178" t="s">
        <v>3197</v>
      </c>
      <c r="BC178" t="s">
        <v>3198</v>
      </c>
      <c r="BD178" t="s">
        <v>3148</v>
      </c>
      <c r="BE178" t="s">
        <v>3199</v>
      </c>
      <c r="BF178" t="s">
        <v>3200</v>
      </c>
      <c r="BG178" t="s">
        <v>3201</v>
      </c>
      <c r="BH178" t="s">
        <v>3202</v>
      </c>
      <c r="BI178" t="s">
        <v>3203</v>
      </c>
      <c r="BJ178" t="s">
        <v>3204</v>
      </c>
      <c r="BK178" t="s">
        <v>3205</v>
      </c>
      <c r="BL178" t="s">
        <v>3206</v>
      </c>
      <c r="BM178" t="s">
        <v>3207</v>
      </c>
      <c r="BN178" t="s">
        <v>3208</v>
      </c>
      <c r="BO178" t="s">
        <v>3209</v>
      </c>
      <c r="BP178" t="s">
        <v>3210</v>
      </c>
      <c r="BQ178" t="s">
        <v>3211</v>
      </c>
      <c r="BR178" t="s">
        <v>274</v>
      </c>
    </row>
    <row r="179" spans="1:70" x14ac:dyDescent="0.3">
      <c r="A179" t="s">
        <v>227</v>
      </c>
      <c r="B179" t="s">
        <v>3212</v>
      </c>
      <c r="C179" t="s">
        <v>578</v>
      </c>
      <c r="D179" t="s">
        <v>579</v>
      </c>
      <c r="E179" t="s">
        <v>274</v>
      </c>
      <c r="F179" t="s">
        <v>274</v>
      </c>
      <c r="G179" t="s">
        <v>274</v>
      </c>
      <c r="H179" t="s">
        <v>274</v>
      </c>
      <c r="I179" t="s">
        <v>274</v>
      </c>
      <c r="J179" t="s">
        <v>274</v>
      </c>
      <c r="K179" t="s">
        <v>274</v>
      </c>
      <c r="L179" t="s">
        <v>274</v>
      </c>
      <c r="M179" t="s">
        <v>274</v>
      </c>
      <c r="N179" t="s">
        <v>274</v>
      </c>
      <c r="O179" t="s">
        <v>274</v>
      </c>
      <c r="P179" t="s">
        <v>274</v>
      </c>
      <c r="Q179" t="s">
        <v>274</v>
      </c>
      <c r="R179" t="s">
        <v>274</v>
      </c>
      <c r="S179" t="s">
        <v>274</v>
      </c>
      <c r="T179" t="s">
        <v>274</v>
      </c>
      <c r="U179" t="s">
        <v>274</v>
      </c>
      <c r="V179" t="s">
        <v>274</v>
      </c>
      <c r="W179" t="s">
        <v>274</v>
      </c>
      <c r="X179" t="s">
        <v>274</v>
      </c>
      <c r="Y179" t="s">
        <v>274</v>
      </c>
      <c r="Z179" t="s">
        <v>274</v>
      </c>
      <c r="AA179" t="s">
        <v>274</v>
      </c>
      <c r="AB179" t="s">
        <v>274</v>
      </c>
      <c r="AC179" t="s">
        <v>274</v>
      </c>
      <c r="AD179" t="s">
        <v>274</v>
      </c>
      <c r="AE179" t="s">
        <v>274</v>
      </c>
      <c r="AF179" t="s">
        <v>274</v>
      </c>
      <c r="AG179" s="14" t="s">
        <v>274</v>
      </c>
      <c r="AH179" t="s">
        <v>274</v>
      </c>
      <c r="AI179" t="s">
        <v>274</v>
      </c>
      <c r="AJ179" t="s">
        <v>274</v>
      </c>
      <c r="AK179" t="s">
        <v>274</v>
      </c>
      <c r="AL179" t="s">
        <v>274</v>
      </c>
      <c r="AM179" t="s">
        <v>274</v>
      </c>
      <c r="AN179" t="s">
        <v>274</v>
      </c>
      <c r="AO179" t="s">
        <v>274</v>
      </c>
      <c r="AP179" t="s">
        <v>274</v>
      </c>
      <c r="AQ179" t="s">
        <v>274</v>
      </c>
      <c r="AR179" t="s">
        <v>274</v>
      </c>
      <c r="AS179" t="s">
        <v>274</v>
      </c>
      <c r="AT179" t="s">
        <v>274</v>
      </c>
      <c r="AU179" t="s">
        <v>274</v>
      </c>
      <c r="AV179" t="s">
        <v>274</v>
      </c>
      <c r="AW179" t="s">
        <v>274</v>
      </c>
      <c r="AX179" t="s">
        <v>274</v>
      </c>
      <c r="AY179" t="s">
        <v>274</v>
      </c>
      <c r="AZ179" t="s">
        <v>274</v>
      </c>
      <c r="BA179" t="s">
        <v>274</v>
      </c>
      <c r="BB179" t="s">
        <v>274</v>
      </c>
      <c r="BC179" t="s">
        <v>274</v>
      </c>
      <c r="BD179" t="s">
        <v>274</v>
      </c>
      <c r="BE179" t="s">
        <v>274</v>
      </c>
      <c r="BF179" t="s">
        <v>274</v>
      </c>
      <c r="BG179" t="s">
        <v>274</v>
      </c>
      <c r="BH179" t="s">
        <v>274</v>
      </c>
      <c r="BI179" t="s">
        <v>274</v>
      </c>
      <c r="BJ179" t="s">
        <v>274</v>
      </c>
      <c r="BK179" t="s">
        <v>274</v>
      </c>
      <c r="BL179" t="s">
        <v>274</v>
      </c>
      <c r="BM179" t="s">
        <v>274</v>
      </c>
      <c r="BN179" t="s">
        <v>274</v>
      </c>
      <c r="BO179" t="s">
        <v>274</v>
      </c>
      <c r="BP179" t="s">
        <v>274</v>
      </c>
      <c r="BQ179" t="s">
        <v>274</v>
      </c>
      <c r="BR179" t="s">
        <v>274</v>
      </c>
    </row>
    <row r="180" spans="1:70" x14ac:dyDescent="0.3">
      <c r="A180" t="s">
        <v>133</v>
      </c>
      <c r="B180" t="s">
        <v>3213</v>
      </c>
      <c r="C180" t="s">
        <v>578</v>
      </c>
      <c r="D180" t="s">
        <v>579</v>
      </c>
      <c r="E180" t="s">
        <v>274</v>
      </c>
      <c r="F180" t="s">
        <v>274</v>
      </c>
      <c r="G180" t="s">
        <v>274</v>
      </c>
      <c r="H180" t="s">
        <v>274</v>
      </c>
      <c r="I180" t="s">
        <v>274</v>
      </c>
      <c r="J180" t="s">
        <v>274</v>
      </c>
      <c r="K180" t="s">
        <v>274</v>
      </c>
      <c r="L180" t="s">
        <v>274</v>
      </c>
      <c r="M180" t="s">
        <v>274</v>
      </c>
      <c r="N180" t="s">
        <v>274</v>
      </c>
      <c r="O180" t="s">
        <v>274</v>
      </c>
      <c r="P180" t="s">
        <v>274</v>
      </c>
      <c r="Q180" t="s">
        <v>274</v>
      </c>
      <c r="R180" t="s">
        <v>274</v>
      </c>
      <c r="S180" t="s">
        <v>274</v>
      </c>
      <c r="T180" t="s">
        <v>274</v>
      </c>
      <c r="U180" t="s">
        <v>274</v>
      </c>
      <c r="V180" t="s">
        <v>274</v>
      </c>
      <c r="W180" t="s">
        <v>274</v>
      </c>
      <c r="X180" t="s">
        <v>274</v>
      </c>
      <c r="Y180" t="s">
        <v>274</v>
      </c>
      <c r="Z180" t="s">
        <v>274</v>
      </c>
      <c r="AA180" t="s">
        <v>274</v>
      </c>
      <c r="AB180" t="s">
        <v>274</v>
      </c>
      <c r="AC180" t="s">
        <v>274</v>
      </c>
      <c r="AD180" t="s">
        <v>274</v>
      </c>
      <c r="AE180" t="s">
        <v>274</v>
      </c>
      <c r="AF180" t="s">
        <v>274</v>
      </c>
      <c r="AG180" s="14" t="s">
        <v>274</v>
      </c>
      <c r="AH180" t="s">
        <v>274</v>
      </c>
      <c r="AI180" t="s">
        <v>274</v>
      </c>
      <c r="AJ180" t="s">
        <v>274</v>
      </c>
      <c r="AK180" t="s">
        <v>274</v>
      </c>
      <c r="AL180" t="s">
        <v>274</v>
      </c>
      <c r="AM180" t="s">
        <v>274</v>
      </c>
      <c r="AN180" t="s">
        <v>274</v>
      </c>
      <c r="AO180" t="s">
        <v>274</v>
      </c>
      <c r="AP180" t="s">
        <v>274</v>
      </c>
      <c r="AQ180" t="s">
        <v>274</v>
      </c>
      <c r="AR180" t="s">
        <v>274</v>
      </c>
      <c r="AS180" t="s">
        <v>274</v>
      </c>
      <c r="AT180" t="s">
        <v>274</v>
      </c>
      <c r="AU180" t="s">
        <v>274</v>
      </c>
      <c r="AV180" t="s">
        <v>274</v>
      </c>
      <c r="AW180" t="s">
        <v>274</v>
      </c>
      <c r="AX180" t="s">
        <v>3214</v>
      </c>
      <c r="AY180" t="s">
        <v>904</v>
      </c>
      <c r="AZ180" t="s">
        <v>905</v>
      </c>
      <c r="BA180" t="s">
        <v>906</v>
      </c>
      <c r="BB180" t="s">
        <v>907</v>
      </c>
      <c r="BC180" t="s">
        <v>908</v>
      </c>
      <c r="BD180" t="s">
        <v>909</v>
      </c>
      <c r="BE180" t="s">
        <v>910</v>
      </c>
      <c r="BF180" t="s">
        <v>911</v>
      </c>
      <c r="BG180" t="s">
        <v>912</v>
      </c>
      <c r="BH180" t="s">
        <v>913</v>
      </c>
      <c r="BI180" t="s">
        <v>914</v>
      </c>
      <c r="BJ180" t="s">
        <v>1400</v>
      </c>
      <c r="BK180" t="s">
        <v>274</v>
      </c>
      <c r="BL180" t="s">
        <v>274</v>
      </c>
      <c r="BM180" t="s">
        <v>274</v>
      </c>
      <c r="BN180" t="s">
        <v>274</v>
      </c>
      <c r="BO180" t="s">
        <v>274</v>
      </c>
      <c r="BP180" t="s">
        <v>274</v>
      </c>
      <c r="BQ180" t="s">
        <v>274</v>
      </c>
      <c r="BR180" t="s">
        <v>274</v>
      </c>
    </row>
    <row r="181" spans="1:70" x14ac:dyDescent="0.3">
      <c r="A181" t="s">
        <v>134</v>
      </c>
      <c r="B181" t="s">
        <v>3215</v>
      </c>
      <c r="C181" t="s">
        <v>578</v>
      </c>
      <c r="D181" t="s">
        <v>579</v>
      </c>
      <c r="E181" t="s">
        <v>274</v>
      </c>
      <c r="F181" t="s">
        <v>274</v>
      </c>
      <c r="G181" t="s">
        <v>274</v>
      </c>
      <c r="H181" t="s">
        <v>274</v>
      </c>
      <c r="I181" t="s">
        <v>274</v>
      </c>
      <c r="J181" t="s">
        <v>274</v>
      </c>
      <c r="K181" t="s">
        <v>274</v>
      </c>
      <c r="L181" t="s">
        <v>274</v>
      </c>
      <c r="M181" t="s">
        <v>274</v>
      </c>
      <c r="N181" t="s">
        <v>274</v>
      </c>
      <c r="O181" t="s">
        <v>601</v>
      </c>
      <c r="P181" t="s">
        <v>601</v>
      </c>
      <c r="Q181" t="s">
        <v>601</v>
      </c>
      <c r="R181" t="s">
        <v>601</v>
      </c>
      <c r="S181" t="s">
        <v>601</v>
      </c>
      <c r="T181" t="s">
        <v>919</v>
      </c>
      <c r="U181" t="s">
        <v>1230</v>
      </c>
      <c r="V181" t="s">
        <v>604</v>
      </c>
      <c r="W181" t="s">
        <v>1029</v>
      </c>
      <c r="X181" t="s">
        <v>3216</v>
      </c>
      <c r="Y181" t="s">
        <v>3217</v>
      </c>
      <c r="Z181" t="s">
        <v>3218</v>
      </c>
      <c r="AA181" t="s">
        <v>3219</v>
      </c>
      <c r="AB181" t="s">
        <v>3220</v>
      </c>
      <c r="AC181" t="s">
        <v>3221</v>
      </c>
      <c r="AD181" t="s">
        <v>3222</v>
      </c>
      <c r="AE181" t="s">
        <v>3223</v>
      </c>
      <c r="AF181" t="s">
        <v>3224</v>
      </c>
      <c r="AG181" s="14" t="s">
        <v>3225</v>
      </c>
      <c r="AH181" t="s">
        <v>3226</v>
      </c>
      <c r="AI181" t="s">
        <v>3227</v>
      </c>
      <c r="AJ181" t="s">
        <v>3228</v>
      </c>
      <c r="AK181" t="s">
        <v>3229</v>
      </c>
      <c r="AL181" t="s">
        <v>3230</v>
      </c>
      <c r="AM181" t="s">
        <v>3231</v>
      </c>
      <c r="AN181" t="s">
        <v>3232</v>
      </c>
      <c r="AO181" t="s">
        <v>3233</v>
      </c>
      <c r="AP181" t="s">
        <v>3234</v>
      </c>
      <c r="AQ181" t="s">
        <v>3235</v>
      </c>
      <c r="AR181" t="s">
        <v>2617</v>
      </c>
      <c r="AS181" t="s">
        <v>3236</v>
      </c>
      <c r="AT181" t="s">
        <v>3237</v>
      </c>
      <c r="AU181" t="s">
        <v>3238</v>
      </c>
      <c r="AV181" t="s">
        <v>3239</v>
      </c>
      <c r="AW181" t="s">
        <v>3240</v>
      </c>
      <c r="AX181" t="s">
        <v>3241</v>
      </c>
      <c r="AY181" t="s">
        <v>3242</v>
      </c>
      <c r="AZ181" t="s">
        <v>3243</v>
      </c>
      <c r="BA181" t="s">
        <v>3244</v>
      </c>
      <c r="BB181" t="s">
        <v>3245</v>
      </c>
      <c r="BC181" t="s">
        <v>3246</v>
      </c>
      <c r="BD181" t="s">
        <v>3247</v>
      </c>
      <c r="BE181" t="s">
        <v>3248</v>
      </c>
      <c r="BF181" t="s">
        <v>3249</v>
      </c>
      <c r="BG181" t="s">
        <v>3250</v>
      </c>
      <c r="BH181" t="s">
        <v>3251</v>
      </c>
      <c r="BI181" t="s">
        <v>3252</v>
      </c>
      <c r="BJ181" t="s">
        <v>3253</v>
      </c>
      <c r="BK181" t="s">
        <v>3254</v>
      </c>
      <c r="BL181" t="s">
        <v>3255</v>
      </c>
      <c r="BM181" t="s">
        <v>3256</v>
      </c>
      <c r="BN181" t="s">
        <v>3257</v>
      </c>
      <c r="BO181" t="s">
        <v>3258</v>
      </c>
      <c r="BP181" t="s">
        <v>3259</v>
      </c>
      <c r="BQ181" t="s">
        <v>274</v>
      </c>
      <c r="BR181" t="s">
        <v>274</v>
      </c>
    </row>
    <row r="182" spans="1:70" x14ac:dyDescent="0.3">
      <c r="A182" t="s">
        <v>135</v>
      </c>
      <c r="B182" t="s">
        <v>3260</v>
      </c>
      <c r="C182" t="s">
        <v>578</v>
      </c>
      <c r="D182" t="s">
        <v>579</v>
      </c>
      <c r="E182" t="s">
        <v>274</v>
      </c>
      <c r="F182" t="s">
        <v>274</v>
      </c>
      <c r="G182" t="s">
        <v>274</v>
      </c>
      <c r="H182" t="s">
        <v>274</v>
      </c>
      <c r="I182" t="s">
        <v>274</v>
      </c>
      <c r="J182" t="s">
        <v>274</v>
      </c>
      <c r="K182" t="s">
        <v>274</v>
      </c>
      <c r="L182" t="s">
        <v>274</v>
      </c>
      <c r="M182" t="s">
        <v>274</v>
      </c>
      <c r="N182" t="s">
        <v>274</v>
      </c>
      <c r="O182" t="s">
        <v>274</v>
      </c>
      <c r="P182" t="s">
        <v>274</v>
      </c>
      <c r="Q182" t="s">
        <v>274</v>
      </c>
      <c r="R182" t="s">
        <v>274</v>
      </c>
      <c r="S182" t="s">
        <v>274</v>
      </c>
      <c r="T182" t="s">
        <v>274</v>
      </c>
      <c r="U182" t="s">
        <v>274</v>
      </c>
      <c r="V182" t="s">
        <v>274</v>
      </c>
      <c r="W182" t="s">
        <v>274</v>
      </c>
      <c r="X182" t="s">
        <v>274</v>
      </c>
      <c r="Y182" t="s">
        <v>274</v>
      </c>
      <c r="Z182" t="s">
        <v>274</v>
      </c>
      <c r="AA182" t="s">
        <v>274</v>
      </c>
      <c r="AB182" t="s">
        <v>274</v>
      </c>
      <c r="AC182" t="s">
        <v>274</v>
      </c>
      <c r="AD182" t="s">
        <v>274</v>
      </c>
      <c r="AE182" t="s">
        <v>274</v>
      </c>
      <c r="AF182" t="s">
        <v>274</v>
      </c>
      <c r="AG182" s="14" t="s">
        <v>3261</v>
      </c>
      <c r="AH182" t="s">
        <v>3262</v>
      </c>
      <c r="AI182" t="s">
        <v>3263</v>
      </c>
      <c r="AJ182" t="s">
        <v>3264</v>
      </c>
      <c r="AK182" t="s">
        <v>3265</v>
      </c>
      <c r="AL182" t="s">
        <v>3266</v>
      </c>
      <c r="AM182" t="s">
        <v>3267</v>
      </c>
      <c r="AN182" t="s">
        <v>3268</v>
      </c>
      <c r="AO182" t="s">
        <v>3269</v>
      </c>
      <c r="AP182" t="s">
        <v>3270</v>
      </c>
      <c r="AQ182" t="s">
        <v>3271</v>
      </c>
      <c r="AR182" t="s">
        <v>3272</v>
      </c>
      <c r="AS182" t="s">
        <v>3273</v>
      </c>
      <c r="AT182" t="s">
        <v>3274</v>
      </c>
      <c r="AU182" t="s">
        <v>3275</v>
      </c>
      <c r="AV182" t="s">
        <v>3276</v>
      </c>
      <c r="AW182" t="s">
        <v>3277</v>
      </c>
      <c r="AX182" t="s">
        <v>3278</v>
      </c>
      <c r="AY182" t="s">
        <v>3279</v>
      </c>
      <c r="AZ182" t="s">
        <v>3280</v>
      </c>
      <c r="BA182" t="s">
        <v>3281</v>
      </c>
      <c r="BB182" t="s">
        <v>3282</v>
      </c>
      <c r="BC182" t="s">
        <v>3283</v>
      </c>
      <c r="BD182" t="s">
        <v>3284</v>
      </c>
      <c r="BE182" t="s">
        <v>3285</v>
      </c>
      <c r="BF182" t="s">
        <v>3286</v>
      </c>
      <c r="BG182" t="s">
        <v>3287</v>
      </c>
      <c r="BH182" t="s">
        <v>3288</v>
      </c>
      <c r="BI182" t="s">
        <v>3289</v>
      </c>
      <c r="BJ182" t="s">
        <v>3290</v>
      </c>
      <c r="BK182" t="s">
        <v>3291</v>
      </c>
      <c r="BL182" t="s">
        <v>3292</v>
      </c>
      <c r="BM182" t="s">
        <v>3293</v>
      </c>
      <c r="BN182" t="s">
        <v>3294</v>
      </c>
      <c r="BO182" t="s">
        <v>3295</v>
      </c>
      <c r="BP182" t="s">
        <v>3296</v>
      </c>
      <c r="BQ182" t="s">
        <v>3297</v>
      </c>
      <c r="BR182" t="s">
        <v>274</v>
      </c>
    </row>
    <row r="183" spans="1:70" x14ac:dyDescent="0.3">
      <c r="A183" t="s">
        <v>136</v>
      </c>
      <c r="B183" t="s">
        <v>3298</v>
      </c>
      <c r="C183" t="s">
        <v>578</v>
      </c>
      <c r="D183" t="s">
        <v>579</v>
      </c>
      <c r="E183" t="s">
        <v>274</v>
      </c>
      <c r="F183" t="s">
        <v>274</v>
      </c>
      <c r="G183" t="s">
        <v>274</v>
      </c>
      <c r="H183" t="s">
        <v>274</v>
      </c>
      <c r="I183" t="s">
        <v>274</v>
      </c>
      <c r="J183" t="s">
        <v>274</v>
      </c>
      <c r="K183" t="s">
        <v>274</v>
      </c>
      <c r="L183" t="s">
        <v>274</v>
      </c>
      <c r="M183" t="s">
        <v>274</v>
      </c>
      <c r="N183" t="s">
        <v>274</v>
      </c>
      <c r="O183" t="s">
        <v>274</v>
      </c>
      <c r="P183" t="s">
        <v>274</v>
      </c>
      <c r="Q183" t="s">
        <v>274</v>
      </c>
      <c r="R183" t="s">
        <v>274</v>
      </c>
      <c r="S183" t="s">
        <v>274</v>
      </c>
      <c r="T183" t="s">
        <v>274</v>
      </c>
      <c r="U183" t="s">
        <v>274</v>
      </c>
      <c r="V183" t="s">
        <v>274</v>
      </c>
      <c r="W183" t="s">
        <v>274</v>
      </c>
      <c r="X183" t="s">
        <v>274</v>
      </c>
      <c r="Y183" t="s">
        <v>274</v>
      </c>
      <c r="Z183" t="s">
        <v>274</v>
      </c>
      <c r="AA183" t="s">
        <v>274</v>
      </c>
      <c r="AB183" t="s">
        <v>274</v>
      </c>
      <c r="AC183" t="s">
        <v>274</v>
      </c>
      <c r="AD183" t="s">
        <v>274</v>
      </c>
      <c r="AE183" t="s">
        <v>274</v>
      </c>
      <c r="AF183" t="s">
        <v>274</v>
      </c>
      <c r="AG183" s="14" t="s">
        <v>274</v>
      </c>
      <c r="AH183" t="s">
        <v>274</v>
      </c>
      <c r="AI183" t="s">
        <v>274</v>
      </c>
      <c r="AJ183" t="s">
        <v>274</v>
      </c>
      <c r="AK183" t="s">
        <v>274</v>
      </c>
      <c r="AL183" t="s">
        <v>274</v>
      </c>
      <c r="AM183" t="s">
        <v>274</v>
      </c>
      <c r="AN183" t="s">
        <v>274</v>
      </c>
      <c r="AO183" t="s">
        <v>274</v>
      </c>
      <c r="AP183" t="s">
        <v>274</v>
      </c>
      <c r="AQ183" t="s">
        <v>274</v>
      </c>
      <c r="AR183" t="s">
        <v>3299</v>
      </c>
      <c r="AS183" t="s">
        <v>3300</v>
      </c>
      <c r="AT183" t="s">
        <v>784</v>
      </c>
      <c r="AU183" t="s">
        <v>3301</v>
      </c>
      <c r="AV183" t="s">
        <v>1318</v>
      </c>
      <c r="AW183" t="s">
        <v>3302</v>
      </c>
      <c r="AX183" t="s">
        <v>3303</v>
      </c>
      <c r="AY183" t="s">
        <v>3304</v>
      </c>
      <c r="AZ183" t="s">
        <v>3305</v>
      </c>
      <c r="BA183" t="s">
        <v>3305</v>
      </c>
      <c r="BB183" t="s">
        <v>3306</v>
      </c>
      <c r="BC183" t="s">
        <v>3307</v>
      </c>
      <c r="BD183" t="s">
        <v>3308</v>
      </c>
      <c r="BE183" t="s">
        <v>3309</v>
      </c>
      <c r="BF183" t="s">
        <v>3310</v>
      </c>
      <c r="BG183" t="s">
        <v>274</v>
      </c>
      <c r="BH183" t="s">
        <v>274</v>
      </c>
      <c r="BI183" t="s">
        <v>274</v>
      </c>
      <c r="BJ183" t="s">
        <v>274</v>
      </c>
      <c r="BK183" t="s">
        <v>274</v>
      </c>
      <c r="BL183" t="s">
        <v>274</v>
      </c>
      <c r="BM183" t="s">
        <v>274</v>
      </c>
      <c r="BN183" t="s">
        <v>274</v>
      </c>
      <c r="BO183" t="s">
        <v>274</v>
      </c>
      <c r="BP183" t="s">
        <v>274</v>
      </c>
      <c r="BQ183" t="s">
        <v>274</v>
      </c>
      <c r="BR183" t="s">
        <v>274</v>
      </c>
    </row>
    <row r="184" spans="1:70" x14ac:dyDescent="0.3">
      <c r="A184" t="s">
        <v>137</v>
      </c>
      <c r="B184" t="s">
        <v>3311</v>
      </c>
      <c r="C184" t="s">
        <v>578</v>
      </c>
      <c r="D184" t="s">
        <v>579</v>
      </c>
      <c r="E184" t="s">
        <v>274</v>
      </c>
      <c r="F184" t="s">
        <v>274</v>
      </c>
      <c r="G184" t="s">
        <v>274</v>
      </c>
      <c r="H184" t="s">
        <v>274</v>
      </c>
      <c r="I184" t="s">
        <v>274</v>
      </c>
      <c r="J184" t="s">
        <v>274</v>
      </c>
      <c r="K184" t="s">
        <v>274</v>
      </c>
      <c r="L184" t="s">
        <v>274</v>
      </c>
      <c r="M184" t="s">
        <v>274</v>
      </c>
      <c r="N184" t="s">
        <v>274</v>
      </c>
      <c r="O184" t="s">
        <v>274</v>
      </c>
      <c r="P184" t="s">
        <v>274</v>
      </c>
      <c r="Q184" t="s">
        <v>274</v>
      </c>
      <c r="R184" t="s">
        <v>274</v>
      </c>
      <c r="S184" t="s">
        <v>274</v>
      </c>
      <c r="T184" t="s">
        <v>274</v>
      </c>
      <c r="U184" t="s">
        <v>274</v>
      </c>
      <c r="V184" t="s">
        <v>274</v>
      </c>
      <c r="W184" t="s">
        <v>274</v>
      </c>
      <c r="X184" t="s">
        <v>274</v>
      </c>
      <c r="Y184" t="s">
        <v>274</v>
      </c>
      <c r="Z184" t="s">
        <v>274</v>
      </c>
      <c r="AA184" t="s">
        <v>274</v>
      </c>
      <c r="AB184" t="s">
        <v>274</v>
      </c>
      <c r="AC184" t="s">
        <v>274</v>
      </c>
      <c r="AD184" t="s">
        <v>274</v>
      </c>
      <c r="AE184" t="s">
        <v>274</v>
      </c>
      <c r="AF184" t="s">
        <v>274</v>
      </c>
      <c r="AG184" s="14" t="s">
        <v>274</v>
      </c>
      <c r="AH184" t="s">
        <v>274</v>
      </c>
      <c r="AI184" t="s">
        <v>274</v>
      </c>
      <c r="AJ184" t="s">
        <v>274</v>
      </c>
      <c r="AK184" t="s">
        <v>274</v>
      </c>
      <c r="AL184" t="s">
        <v>274</v>
      </c>
      <c r="AM184" t="s">
        <v>274</v>
      </c>
      <c r="AN184" t="s">
        <v>274</v>
      </c>
      <c r="AO184" t="s">
        <v>274</v>
      </c>
      <c r="AP184" t="s">
        <v>274</v>
      </c>
      <c r="AQ184" t="s">
        <v>274</v>
      </c>
      <c r="AR184" t="s">
        <v>274</v>
      </c>
      <c r="AS184" t="s">
        <v>274</v>
      </c>
      <c r="AT184" t="s">
        <v>274</v>
      </c>
      <c r="AU184" t="s">
        <v>274</v>
      </c>
      <c r="AV184" t="s">
        <v>274</v>
      </c>
      <c r="AW184" t="s">
        <v>274</v>
      </c>
      <c r="AX184" t="s">
        <v>274</v>
      </c>
      <c r="AY184" t="s">
        <v>274</v>
      </c>
      <c r="AZ184" t="s">
        <v>274</v>
      </c>
      <c r="BA184" t="s">
        <v>274</v>
      </c>
      <c r="BB184" t="s">
        <v>274</v>
      </c>
      <c r="BC184" t="s">
        <v>274</v>
      </c>
      <c r="BD184" t="s">
        <v>274</v>
      </c>
      <c r="BE184" t="s">
        <v>274</v>
      </c>
      <c r="BF184" t="s">
        <v>1397</v>
      </c>
      <c r="BG184" t="s">
        <v>3312</v>
      </c>
      <c r="BH184" t="s">
        <v>3313</v>
      </c>
      <c r="BI184" t="s">
        <v>3314</v>
      </c>
      <c r="BJ184" t="s">
        <v>3315</v>
      </c>
      <c r="BK184" t="s">
        <v>3316</v>
      </c>
      <c r="BL184" t="s">
        <v>3317</v>
      </c>
      <c r="BM184" t="s">
        <v>3318</v>
      </c>
      <c r="BN184" t="s">
        <v>3319</v>
      </c>
      <c r="BO184" t="s">
        <v>3320</v>
      </c>
      <c r="BP184" t="s">
        <v>3321</v>
      </c>
      <c r="BQ184" t="s">
        <v>3322</v>
      </c>
      <c r="BR184" t="s">
        <v>274</v>
      </c>
    </row>
    <row r="185" spans="1:70" x14ac:dyDescent="0.3">
      <c r="A185" t="s">
        <v>138</v>
      </c>
      <c r="B185" t="s">
        <v>3323</v>
      </c>
      <c r="C185" t="s">
        <v>578</v>
      </c>
      <c r="D185" t="s">
        <v>579</v>
      </c>
      <c r="E185" t="s">
        <v>274</v>
      </c>
      <c r="F185" t="s">
        <v>274</v>
      </c>
      <c r="G185" t="s">
        <v>274</v>
      </c>
      <c r="H185" t="s">
        <v>274</v>
      </c>
      <c r="I185" t="s">
        <v>274</v>
      </c>
      <c r="J185" t="s">
        <v>274</v>
      </c>
      <c r="K185" t="s">
        <v>274</v>
      </c>
      <c r="L185" t="s">
        <v>274</v>
      </c>
      <c r="M185" t="s">
        <v>274</v>
      </c>
      <c r="N185" t="s">
        <v>274</v>
      </c>
      <c r="O185" t="s">
        <v>274</v>
      </c>
      <c r="P185" t="s">
        <v>274</v>
      </c>
      <c r="Q185" t="s">
        <v>274</v>
      </c>
      <c r="R185" t="s">
        <v>274</v>
      </c>
      <c r="S185" t="s">
        <v>274</v>
      </c>
      <c r="T185" t="s">
        <v>274</v>
      </c>
      <c r="U185" t="s">
        <v>274</v>
      </c>
      <c r="V185" t="s">
        <v>274</v>
      </c>
      <c r="W185" t="s">
        <v>274</v>
      </c>
      <c r="X185" t="s">
        <v>274</v>
      </c>
      <c r="Y185" t="s">
        <v>274</v>
      </c>
      <c r="Z185" t="s">
        <v>274</v>
      </c>
      <c r="AA185" t="s">
        <v>274</v>
      </c>
      <c r="AB185" t="s">
        <v>274</v>
      </c>
      <c r="AC185" t="s">
        <v>274</v>
      </c>
      <c r="AD185" t="s">
        <v>274</v>
      </c>
      <c r="AE185" t="s">
        <v>274</v>
      </c>
      <c r="AF185" t="s">
        <v>274</v>
      </c>
      <c r="AG185" s="14" t="s">
        <v>274</v>
      </c>
      <c r="AH185" t="s">
        <v>274</v>
      </c>
      <c r="AI185" t="s">
        <v>274</v>
      </c>
      <c r="AJ185" t="s">
        <v>274</v>
      </c>
      <c r="AK185" t="s">
        <v>274</v>
      </c>
      <c r="AL185" t="s">
        <v>274</v>
      </c>
      <c r="AM185" t="s">
        <v>274</v>
      </c>
      <c r="AN185" t="s">
        <v>274</v>
      </c>
      <c r="AO185" t="s">
        <v>274</v>
      </c>
      <c r="AP185" t="s">
        <v>274</v>
      </c>
      <c r="AQ185" t="s">
        <v>274</v>
      </c>
      <c r="AR185" t="s">
        <v>274</v>
      </c>
      <c r="AS185" t="s">
        <v>274</v>
      </c>
      <c r="AT185" t="s">
        <v>274</v>
      </c>
      <c r="AU185" t="s">
        <v>274</v>
      </c>
      <c r="AV185" t="s">
        <v>274</v>
      </c>
      <c r="AW185" t="s">
        <v>274</v>
      </c>
      <c r="AX185" t="s">
        <v>274</v>
      </c>
      <c r="AY185" t="s">
        <v>274</v>
      </c>
      <c r="AZ185" t="s">
        <v>274</v>
      </c>
      <c r="BA185" t="s">
        <v>274</v>
      </c>
      <c r="BB185" t="s">
        <v>274</v>
      </c>
      <c r="BC185" t="s">
        <v>274</v>
      </c>
      <c r="BD185" t="s">
        <v>274</v>
      </c>
      <c r="BE185" t="s">
        <v>274</v>
      </c>
      <c r="BF185" t="s">
        <v>274</v>
      </c>
      <c r="BG185" t="s">
        <v>274</v>
      </c>
      <c r="BH185" t="s">
        <v>274</v>
      </c>
      <c r="BI185" t="s">
        <v>274</v>
      </c>
      <c r="BJ185" t="s">
        <v>274</v>
      </c>
      <c r="BK185" t="s">
        <v>274</v>
      </c>
      <c r="BL185" t="s">
        <v>274</v>
      </c>
      <c r="BM185" t="s">
        <v>274</v>
      </c>
      <c r="BN185" t="s">
        <v>274</v>
      </c>
      <c r="BO185" t="s">
        <v>274</v>
      </c>
      <c r="BP185" t="s">
        <v>274</v>
      </c>
      <c r="BQ185" t="s">
        <v>274</v>
      </c>
      <c r="BR185" t="s">
        <v>274</v>
      </c>
    </row>
    <row r="186" spans="1:70" x14ac:dyDescent="0.3">
      <c r="A186" t="s">
        <v>139</v>
      </c>
      <c r="B186" t="s">
        <v>3324</v>
      </c>
      <c r="C186" t="s">
        <v>578</v>
      </c>
      <c r="D186" t="s">
        <v>579</v>
      </c>
      <c r="E186" t="s">
        <v>274</v>
      </c>
      <c r="F186" t="s">
        <v>274</v>
      </c>
      <c r="G186" t="s">
        <v>274</v>
      </c>
      <c r="H186" t="s">
        <v>274</v>
      </c>
      <c r="I186" t="s">
        <v>274</v>
      </c>
      <c r="J186" t="s">
        <v>274</v>
      </c>
      <c r="K186" t="s">
        <v>274</v>
      </c>
      <c r="L186" t="s">
        <v>274</v>
      </c>
      <c r="M186" t="s">
        <v>274</v>
      </c>
      <c r="N186" t="s">
        <v>274</v>
      </c>
      <c r="O186" t="s">
        <v>274</v>
      </c>
      <c r="P186" t="s">
        <v>274</v>
      </c>
      <c r="Q186" t="s">
        <v>274</v>
      </c>
      <c r="R186" t="s">
        <v>274</v>
      </c>
      <c r="S186" t="s">
        <v>274</v>
      </c>
      <c r="T186" t="s">
        <v>274</v>
      </c>
      <c r="U186" t="s">
        <v>274</v>
      </c>
      <c r="V186" t="s">
        <v>274</v>
      </c>
      <c r="W186" t="s">
        <v>274</v>
      </c>
      <c r="X186" t="s">
        <v>274</v>
      </c>
      <c r="Y186" t="s">
        <v>274</v>
      </c>
      <c r="Z186" t="s">
        <v>274</v>
      </c>
      <c r="AA186" t="s">
        <v>274</v>
      </c>
      <c r="AB186" t="s">
        <v>274</v>
      </c>
      <c r="AC186" t="s">
        <v>274</v>
      </c>
      <c r="AD186" t="s">
        <v>274</v>
      </c>
      <c r="AE186" t="s">
        <v>274</v>
      </c>
      <c r="AF186" t="s">
        <v>274</v>
      </c>
      <c r="AG186" s="14" t="s">
        <v>274</v>
      </c>
      <c r="AH186" t="s">
        <v>274</v>
      </c>
      <c r="AI186" t="s">
        <v>274</v>
      </c>
      <c r="AJ186" t="s">
        <v>274</v>
      </c>
      <c r="AK186" t="s">
        <v>274</v>
      </c>
      <c r="AL186" t="s">
        <v>274</v>
      </c>
      <c r="AM186" t="s">
        <v>274</v>
      </c>
      <c r="AN186" t="s">
        <v>274</v>
      </c>
      <c r="AO186" t="s">
        <v>274</v>
      </c>
      <c r="AP186" t="s">
        <v>274</v>
      </c>
      <c r="AQ186" t="s">
        <v>274</v>
      </c>
      <c r="AR186" t="s">
        <v>274</v>
      </c>
      <c r="AS186" t="s">
        <v>274</v>
      </c>
      <c r="AT186" t="s">
        <v>274</v>
      </c>
      <c r="AU186" t="s">
        <v>274</v>
      </c>
      <c r="AV186" t="s">
        <v>274</v>
      </c>
      <c r="AW186" t="s">
        <v>274</v>
      </c>
      <c r="AX186" t="s">
        <v>274</v>
      </c>
      <c r="AY186" t="s">
        <v>274</v>
      </c>
      <c r="AZ186" t="s">
        <v>274</v>
      </c>
      <c r="BA186" t="s">
        <v>274</v>
      </c>
      <c r="BB186" t="s">
        <v>274</v>
      </c>
      <c r="BC186" t="s">
        <v>274</v>
      </c>
      <c r="BD186" t="s">
        <v>274</v>
      </c>
      <c r="BE186" t="s">
        <v>274</v>
      </c>
      <c r="BF186" t="s">
        <v>274</v>
      </c>
      <c r="BG186" t="s">
        <v>274</v>
      </c>
      <c r="BH186" t="s">
        <v>274</v>
      </c>
      <c r="BI186" t="s">
        <v>274</v>
      </c>
      <c r="BJ186" t="s">
        <v>274</v>
      </c>
      <c r="BK186" t="s">
        <v>274</v>
      </c>
      <c r="BL186" t="s">
        <v>274</v>
      </c>
      <c r="BM186" t="s">
        <v>274</v>
      </c>
      <c r="BN186" t="s">
        <v>274</v>
      </c>
      <c r="BO186" t="s">
        <v>274</v>
      </c>
      <c r="BP186" t="s">
        <v>274</v>
      </c>
      <c r="BQ186" t="s">
        <v>274</v>
      </c>
      <c r="BR186" t="s">
        <v>274</v>
      </c>
    </row>
    <row r="187" spans="1:70" x14ac:dyDescent="0.3">
      <c r="A187" t="s">
        <v>140</v>
      </c>
      <c r="B187" t="s">
        <v>3325</v>
      </c>
      <c r="C187" t="s">
        <v>578</v>
      </c>
      <c r="D187" t="s">
        <v>579</v>
      </c>
      <c r="E187" t="s">
        <v>274</v>
      </c>
      <c r="F187" t="s">
        <v>274</v>
      </c>
      <c r="G187" t="s">
        <v>274</v>
      </c>
      <c r="H187" t="s">
        <v>274</v>
      </c>
      <c r="I187" t="s">
        <v>274</v>
      </c>
      <c r="J187" t="s">
        <v>274</v>
      </c>
      <c r="K187" t="s">
        <v>274</v>
      </c>
      <c r="L187" t="s">
        <v>274</v>
      </c>
      <c r="M187" t="s">
        <v>274</v>
      </c>
      <c r="N187" t="s">
        <v>274</v>
      </c>
      <c r="O187" t="s">
        <v>274</v>
      </c>
      <c r="P187" t="s">
        <v>274</v>
      </c>
      <c r="Q187" t="s">
        <v>274</v>
      </c>
      <c r="R187" t="s">
        <v>274</v>
      </c>
      <c r="S187" t="s">
        <v>274</v>
      </c>
      <c r="T187" t="s">
        <v>274</v>
      </c>
      <c r="U187" t="s">
        <v>274</v>
      </c>
      <c r="V187" t="s">
        <v>274</v>
      </c>
      <c r="W187" t="s">
        <v>274</v>
      </c>
      <c r="X187" t="s">
        <v>274</v>
      </c>
      <c r="Y187" t="s">
        <v>274</v>
      </c>
      <c r="Z187" t="s">
        <v>274</v>
      </c>
      <c r="AA187" t="s">
        <v>274</v>
      </c>
      <c r="AB187" t="s">
        <v>274</v>
      </c>
      <c r="AC187" t="s">
        <v>274</v>
      </c>
      <c r="AD187" t="s">
        <v>274</v>
      </c>
      <c r="AE187" t="s">
        <v>274</v>
      </c>
      <c r="AF187" t="s">
        <v>274</v>
      </c>
      <c r="AG187" s="14" t="s">
        <v>274</v>
      </c>
      <c r="AH187" t="s">
        <v>274</v>
      </c>
      <c r="AI187" t="s">
        <v>274</v>
      </c>
      <c r="AJ187" t="s">
        <v>274</v>
      </c>
      <c r="AK187" t="s">
        <v>274</v>
      </c>
      <c r="AL187" t="s">
        <v>274</v>
      </c>
      <c r="AM187" t="s">
        <v>274</v>
      </c>
      <c r="AN187" t="s">
        <v>274</v>
      </c>
      <c r="AO187" t="s">
        <v>274</v>
      </c>
      <c r="AP187" t="s">
        <v>274</v>
      </c>
      <c r="AQ187" t="s">
        <v>3326</v>
      </c>
      <c r="AR187" t="s">
        <v>3327</v>
      </c>
      <c r="AS187" t="s">
        <v>3328</v>
      </c>
      <c r="AT187" t="s">
        <v>3329</v>
      </c>
      <c r="AU187" t="s">
        <v>3330</v>
      </c>
      <c r="AV187" t="s">
        <v>3331</v>
      </c>
      <c r="AW187" t="s">
        <v>3332</v>
      </c>
      <c r="AX187" t="s">
        <v>3333</v>
      </c>
      <c r="AY187" t="s">
        <v>3334</v>
      </c>
      <c r="AZ187" t="s">
        <v>3335</v>
      </c>
      <c r="BA187" t="s">
        <v>3336</v>
      </c>
      <c r="BB187" t="s">
        <v>3337</v>
      </c>
      <c r="BC187" t="s">
        <v>3338</v>
      </c>
      <c r="BD187" t="s">
        <v>3339</v>
      </c>
      <c r="BE187" t="s">
        <v>3340</v>
      </c>
      <c r="BF187" t="s">
        <v>3341</v>
      </c>
      <c r="BG187" t="s">
        <v>3342</v>
      </c>
      <c r="BH187" t="s">
        <v>3343</v>
      </c>
      <c r="BI187" t="s">
        <v>1987</v>
      </c>
      <c r="BJ187" t="s">
        <v>3344</v>
      </c>
      <c r="BK187" t="s">
        <v>3345</v>
      </c>
      <c r="BL187" t="s">
        <v>274</v>
      </c>
      <c r="BM187" t="s">
        <v>274</v>
      </c>
      <c r="BN187" t="s">
        <v>274</v>
      </c>
      <c r="BO187" t="s">
        <v>274</v>
      </c>
      <c r="BP187" t="s">
        <v>274</v>
      </c>
      <c r="BQ187" t="s">
        <v>3345</v>
      </c>
      <c r="BR187" t="s">
        <v>274</v>
      </c>
    </row>
    <row r="188" spans="1:70" x14ac:dyDescent="0.3">
      <c r="A188" t="s">
        <v>3346</v>
      </c>
      <c r="B188" t="s">
        <v>3347</v>
      </c>
      <c r="C188" t="s">
        <v>578</v>
      </c>
      <c r="D188" t="s">
        <v>579</v>
      </c>
      <c r="E188" t="s">
        <v>274</v>
      </c>
      <c r="F188" t="s">
        <v>274</v>
      </c>
      <c r="G188" t="s">
        <v>274</v>
      </c>
      <c r="H188" t="s">
        <v>274</v>
      </c>
      <c r="I188" t="s">
        <v>274</v>
      </c>
      <c r="J188" t="s">
        <v>274</v>
      </c>
      <c r="K188" t="s">
        <v>274</v>
      </c>
      <c r="L188" t="s">
        <v>274</v>
      </c>
      <c r="M188" t="s">
        <v>274</v>
      </c>
      <c r="N188" t="s">
        <v>274</v>
      </c>
      <c r="O188" t="s">
        <v>274</v>
      </c>
      <c r="P188" t="s">
        <v>274</v>
      </c>
      <c r="Q188" t="s">
        <v>274</v>
      </c>
      <c r="R188" t="s">
        <v>274</v>
      </c>
      <c r="S188" t="s">
        <v>274</v>
      </c>
      <c r="T188" t="s">
        <v>274</v>
      </c>
      <c r="U188" t="s">
        <v>274</v>
      </c>
      <c r="V188" t="s">
        <v>274</v>
      </c>
      <c r="W188" t="s">
        <v>274</v>
      </c>
      <c r="X188" t="s">
        <v>274</v>
      </c>
      <c r="Y188" t="s">
        <v>274</v>
      </c>
      <c r="Z188" t="s">
        <v>274</v>
      </c>
      <c r="AA188" t="s">
        <v>274</v>
      </c>
      <c r="AB188" t="s">
        <v>274</v>
      </c>
      <c r="AC188" t="s">
        <v>274</v>
      </c>
      <c r="AD188" t="s">
        <v>274</v>
      </c>
      <c r="AE188" t="s">
        <v>274</v>
      </c>
      <c r="AF188" t="s">
        <v>274</v>
      </c>
      <c r="AG188" s="14" t="s">
        <v>274</v>
      </c>
      <c r="AH188" t="s">
        <v>274</v>
      </c>
      <c r="AI188" t="s">
        <v>274</v>
      </c>
      <c r="AJ188" t="s">
        <v>274</v>
      </c>
      <c r="AK188" t="s">
        <v>274</v>
      </c>
      <c r="AL188" t="s">
        <v>274</v>
      </c>
      <c r="AM188" t="s">
        <v>274</v>
      </c>
      <c r="AN188" t="s">
        <v>274</v>
      </c>
      <c r="AO188" t="s">
        <v>274</v>
      </c>
      <c r="AP188" t="s">
        <v>274</v>
      </c>
      <c r="AQ188" t="s">
        <v>274</v>
      </c>
      <c r="AR188" t="s">
        <v>274</v>
      </c>
      <c r="AS188" t="s">
        <v>274</v>
      </c>
      <c r="AT188" t="s">
        <v>274</v>
      </c>
      <c r="AU188" t="s">
        <v>274</v>
      </c>
      <c r="AV188" t="s">
        <v>274</v>
      </c>
      <c r="AW188" t="s">
        <v>274</v>
      </c>
      <c r="AX188" t="s">
        <v>274</v>
      </c>
      <c r="AY188" t="s">
        <v>274</v>
      </c>
      <c r="AZ188" t="s">
        <v>274</v>
      </c>
      <c r="BA188" t="s">
        <v>274</v>
      </c>
      <c r="BB188" t="s">
        <v>274</v>
      </c>
      <c r="BC188" t="s">
        <v>274</v>
      </c>
      <c r="BD188" t="s">
        <v>274</v>
      </c>
      <c r="BE188" t="s">
        <v>274</v>
      </c>
      <c r="BF188" t="s">
        <v>274</v>
      </c>
      <c r="BG188" t="s">
        <v>274</v>
      </c>
      <c r="BH188" t="s">
        <v>274</v>
      </c>
      <c r="BI188" t="s">
        <v>274</v>
      </c>
      <c r="BJ188" t="s">
        <v>274</v>
      </c>
      <c r="BK188" t="s">
        <v>274</v>
      </c>
      <c r="BL188" t="s">
        <v>274</v>
      </c>
      <c r="BM188" t="s">
        <v>274</v>
      </c>
      <c r="BN188" t="s">
        <v>274</v>
      </c>
      <c r="BO188" t="s">
        <v>274</v>
      </c>
      <c r="BP188" t="s">
        <v>274</v>
      </c>
      <c r="BQ188" t="s">
        <v>274</v>
      </c>
      <c r="BR188" t="s">
        <v>274</v>
      </c>
    </row>
    <row r="189" spans="1:70" x14ac:dyDescent="0.3">
      <c r="A189" t="s">
        <v>228</v>
      </c>
      <c r="B189" t="s">
        <v>3348</v>
      </c>
      <c r="C189" t="s">
        <v>578</v>
      </c>
      <c r="D189" t="s">
        <v>579</v>
      </c>
      <c r="E189" t="s">
        <v>274</v>
      </c>
      <c r="F189" t="s">
        <v>274</v>
      </c>
      <c r="G189" t="s">
        <v>274</v>
      </c>
      <c r="H189" t="s">
        <v>274</v>
      </c>
      <c r="I189" t="s">
        <v>274</v>
      </c>
      <c r="J189" t="s">
        <v>274</v>
      </c>
      <c r="K189" t="s">
        <v>274</v>
      </c>
      <c r="L189" t="s">
        <v>274</v>
      </c>
      <c r="M189" t="s">
        <v>274</v>
      </c>
      <c r="N189" t="s">
        <v>274</v>
      </c>
      <c r="O189" t="s">
        <v>274</v>
      </c>
      <c r="P189" t="s">
        <v>274</v>
      </c>
      <c r="Q189" t="s">
        <v>274</v>
      </c>
      <c r="R189" t="s">
        <v>274</v>
      </c>
      <c r="S189" t="s">
        <v>274</v>
      </c>
      <c r="T189" t="s">
        <v>274</v>
      </c>
      <c r="U189" t="s">
        <v>274</v>
      </c>
      <c r="V189" t="s">
        <v>274</v>
      </c>
      <c r="W189" t="s">
        <v>274</v>
      </c>
      <c r="X189" t="s">
        <v>274</v>
      </c>
      <c r="Y189" t="s">
        <v>274</v>
      </c>
      <c r="Z189" t="s">
        <v>274</v>
      </c>
      <c r="AA189" t="s">
        <v>274</v>
      </c>
      <c r="AB189" t="s">
        <v>274</v>
      </c>
      <c r="AC189" t="s">
        <v>3349</v>
      </c>
      <c r="AD189" t="s">
        <v>3350</v>
      </c>
      <c r="AE189" t="s">
        <v>3351</v>
      </c>
      <c r="AF189" t="s">
        <v>3352</v>
      </c>
      <c r="AG189" s="14" t="s">
        <v>3353</v>
      </c>
      <c r="AH189" t="s">
        <v>3354</v>
      </c>
      <c r="AI189" t="s">
        <v>3355</v>
      </c>
      <c r="AJ189" t="s">
        <v>3356</v>
      </c>
      <c r="AK189" t="s">
        <v>3357</v>
      </c>
      <c r="AL189" t="s">
        <v>349</v>
      </c>
      <c r="AM189" t="s">
        <v>3358</v>
      </c>
      <c r="AN189" t="s">
        <v>3359</v>
      </c>
      <c r="AO189" t="s">
        <v>3360</v>
      </c>
      <c r="AP189" t="s">
        <v>3361</v>
      </c>
      <c r="AQ189" t="s">
        <v>3362</v>
      </c>
      <c r="AR189" t="s">
        <v>3363</v>
      </c>
      <c r="AS189" t="s">
        <v>3364</v>
      </c>
      <c r="AT189" t="s">
        <v>3365</v>
      </c>
      <c r="AU189" t="s">
        <v>3366</v>
      </c>
      <c r="AV189" t="s">
        <v>3367</v>
      </c>
      <c r="AW189" t="s">
        <v>3368</v>
      </c>
      <c r="AX189" t="s">
        <v>3369</v>
      </c>
      <c r="AY189" t="s">
        <v>3370</v>
      </c>
      <c r="AZ189" t="s">
        <v>3371</v>
      </c>
      <c r="BA189" t="s">
        <v>3372</v>
      </c>
      <c r="BB189" t="s">
        <v>3373</v>
      </c>
      <c r="BC189" t="s">
        <v>3374</v>
      </c>
      <c r="BD189" t="s">
        <v>3375</v>
      </c>
      <c r="BE189" t="s">
        <v>3376</v>
      </c>
      <c r="BF189" t="s">
        <v>3377</v>
      </c>
      <c r="BG189" t="s">
        <v>3378</v>
      </c>
      <c r="BH189" t="s">
        <v>3379</v>
      </c>
      <c r="BI189" t="s">
        <v>3380</v>
      </c>
      <c r="BJ189" t="s">
        <v>3381</v>
      </c>
      <c r="BK189" t="s">
        <v>3382</v>
      </c>
      <c r="BL189" t="s">
        <v>3383</v>
      </c>
      <c r="BM189" t="s">
        <v>3384</v>
      </c>
      <c r="BN189" t="s">
        <v>3385</v>
      </c>
      <c r="BO189" t="s">
        <v>274</v>
      </c>
      <c r="BP189" t="s">
        <v>274</v>
      </c>
      <c r="BQ189" t="s">
        <v>274</v>
      </c>
      <c r="BR189" t="s">
        <v>274</v>
      </c>
    </row>
    <row r="190" spans="1:70" x14ac:dyDescent="0.3">
      <c r="A190" t="s">
        <v>3386</v>
      </c>
      <c r="B190" t="s">
        <v>3387</v>
      </c>
      <c r="C190" t="s">
        <v>578</v>
      </c>
      <c r="D190" t="s">
        <v>579</v>
      </c>
      <c r="E190" t="s">
        <v>274</v>
      </c>
      <c r="F190" t="s">
        <v>274</v>
      </c>
      <c r="G190" t="s">
        <v>274</v>
      </c>
      <c r="H190" t="s">
        <v>274</v>
      </c>
      <c r="I190" t="s">
        <v>274</v>
      </c>
      <c r="J190" t="s">
        <v>274</v>
      </c>
      <c r="K190" t="s">
        <v>274</v>
      </c>
      <c r="L190" t="s">
        <v>274</v>
      </c>
      <c r="M190" t="s">
        <v>274</v>
      </c>
      <c r="N190" t="s">
        <v>274</v>
      </c>
      <c r="O190" t="s">
        <v>274</v>
      </c>
      <c r="P190" t="s">
        <v>274</v>
      </c>
      <c r="Q190" t="s">
        <v>274</v>
      </c>
      <c r="R190" t="s">
        <v>274</v>
      </c>
      <c r="S190" t="s">
        <v>274</v>
      </c>
      <c r="T190" t="s">
        <v>274</v>
      </c>
      <c r="U190" t="s">
        <v>274</v>
      </c>
      <c r="V190" t="s">
        <v>274</v>
      </c>
      <c r="W190" t="s">
        <v>274</v>
      </c>
      <c r="X190" t="s">
        <v>274</v>
      </c>
      <c r="Y190" t="s">
        <v>274</v>
      </c>
      <c r="Z190" t="s">
        <v>274</v>
      </c>
      <c r="AA190" t="s">
        <v>274</v>
      </c>
      <c r="AB190" t="s">
        <v>274</v>
      </c>
      <c r="AC190" t="s">
        <v>274</v>
      </c>
      <c r="AD190" t="s">
        <v>274</v>
      </c>
      <c r="AE190" t="s">
        <v>274</v>
      </c>
      <c r="AF190" t="s">
        <v>274</v>
      </c>
      <c r="AG190" s="14" t="s">
        <v>274</v>
      </c>
      <c r="AH190" t="s">
        <v>274</v>
      </c>
      <c r="AI190" t="s">
        <v>274</v>
      </c>
      <c r="AJ190" t="s">
        <v>274</v>
      </c>
      <c r="AK190" t="s">
        <v>274</v>
      </c>
      <c r="AL190" t="s">
        <v>274</v>
      </c>
      <c r="AM190" t="s">
        <v>274</v>
      </c>
      <c r="AN190" t="s">
        <v>274</v>
      </c>
      <c r="AO190" t="s">
        <v>274</v>
      </c>
      <c r="AP190" t="s">
        <v>274</v>
      </c>
      <c r="AQ190" t="s">
        <v>274</v>
      </c>
      <c r="AR190" t="s">
        <v>274</v>
      </c>
      <c r="AS190" t="s">
        <v>274</v>
      </c>
      <c r="AT190" t="s">
        <v>274</v>
      </c>
      <c r="AU190" t="s">
        <v>274</v>
      </c>
      <c r="AV190" t="s">
        <v>274</v>
      </c>
      <c r="AW190" t="s">
        <v>274</v>
      </c>
      <c r="AX190" t="s">
        <v>274</v>
      </c>
      <c r="AY190" t="s">
        <v>274</v>
      </c>
      <c r="AZ190" t="s">
        <v>274</v>
      </c>
      <c r="BA190" t="s">
        <v>274</v>
      </c>
      <c r="BB190" t="s">
        <v>274</v>
      </c>
      <c r="BC190" t="s">
        <v>274</v>
      </c>
      <c r="BD190" t="s">
        <v>274</v>
      </c>
      <c r="BE190" t="s">
        <v>274</v>
      </c>
      <c r="BF190" t="s">
        <v>274</v>
      </c>
      <c r="BG190" t="s">
        <v>274</v>
      </c>
      <c r="BH190" t="s">
        <v>274</v>
      </c>
      <c r="BI190" t="s">
        <v>274</v>
      </c>
      <c r="BJ190" t="s">
        <v>274</v>
      </c>
      <c r="BK190" t="s">
        <v>274</v>
      </c>
      <c r="BL190" t="s">
        <v>274</v>
      </c>
      <c r="BM190" t="s">
        <v>274</v>
      </c>
      <c r="BN190" t="s">
        <v>274</v>
      </c>
      <c r="BO190" t="s">
        <v>274</v>
      </c>
      <c r="BP190" t="s">
        <v>274</v>
      </c>
      <c r="BQ190" t="s">
        <v>274</v>
      </c>
      <c r="BR190" t="s">
        <v>274</v>
      </c>
    </row>
    <row r="191" spans="1:70" x14ac:dyDescent="0.3">
      <c r="A191" t="s">
        <v>142</v>
      </c>
      <c r="B191" t="s">
        <v>3388</v>
      </c>
      <c r="C191" t="s">
        <v>578</v>
      </c>
      <c r="D191" t="s">
        <v>579</v>
      </c>
      <c r="E191" t="s">
        <v>274</v>
      </c>
      <c r="F191" t="s">
        <v>274</v>
      </c>
      <c r="G191" t="s">
        <v>274</v>
      </c>
      <c r="H191" t="s">
        <v>274</v>
      </c>
      <c r="I191" t="s">
        <v>274</v>
      </c>
      <c r="J191" t="s">
        <v>274</v>
      </c>
      <c r="K191" t="s">
        <v>274</v>
      </c>
      <c r="L191" t="s">
        <v>274</v>
      </c>
      <c r="M191" t="s">
        <v>274</v>
      </c>
      <c r="N191" t="s">
        <v>274</v>
      </c>
      <c r="O191" t="s">
        <v>274</v>
      </c>
      <c r="P191" t="s">
        <v>274</v>
      </c>
      <c r="Q191" t="s">
        <v>274</v>
      </c>
      <c r="R191" t="s">
        <v>274</v>
      </c>
      <c r="S191" t="s">
        <v>274</v>
      </c>
      <c r="T191" t="s">
        <v>274</v>
      </c>
      <c r="U191" t="s">
        <v>274</v>
      </c>
      <c r="V191" t="s">
        <v>274</v>
      </c>
      <c r="W191" t="s">
        <v>274</v>
      </c>
      <c r="X191" t="s">
        <v>274</v>
      </c>
      <c r="Y191" t="s">
        <v>274</v>
      </c>
      <c r="Z191" t="s">
        <v>274</v>
      </c>
      <c r="AA191" t="s">
        <v>274</v>
      </c>
      <c r="AB191" t="s">
        <v>274</v>
      </c>
      <c r="AC191" t="s">
        <v>274</v>
      </c>
      <c r="AD191" t="s">
        <v>274</v>
      </c>
      <c r="AE191" t="s">
        <v>274</v>
      </c>
      <c r="AF191" t="s">
        <v>274</v>
      </c>
      <c r="AG191" s="14" t="s">
        <v>274</v>
      </c>
      <c r="AH191" t="s">
        <v>274</v>
      </c>
      <c r="AI191" t="s">
        <v>274</v>
      </c>
      <c r="AJ191" t="s">
        <v>274</v>
      </c>
      <c r="AK191" t="s">
        <v>274</v>
      </c>
      <c r="AL191" t="s">
        <v>274</v>
      </c>
      <c r="AM191" t="s">
        <v>274</v>
      </c>
      <c r="AN191" t="s">
        <v>274</v>
      </c>
      <c r="AO191" t="s">
        <v>274</v>
      </c>
      <c r="AP191" t="s">
        <v>274</v>
      </c>
      <c r="AQ191" t="s">
        <v>274</v>
      </c>
      <c r="AR191" t="s">
        <v>274</v>
      </c>
      <c r="AS191" t="s">
        <v>274</v>
      </c>
      <c r="AT191" t="s">
        <v>274</v>
      </c>
      <c r="AU191" t="s">
        <v>274</v>
      </c>
      <c r="AV191" t="s">
        <v>274</v>
      </c>
      <c r="AW191" t="s">
        <v>3389</v>
      </c>
      <c r="AX191" t="s">
        <v>3390</v>
      </c>
      <c r="AY191" t="s">
        <v>3391</v>
      </c>
      <c r="AZ191" t="s">
        <v>3392</v>
      </c>
      <c r="BA191" t="s">
        <v>3393</v>
      </c>
      <c r="BB191" t="s">
        <v>3394</v>
      </c>
      <c r="BC191" t="s">
        <v>3395</v>
      </c>
      <c r="BD191" t="s">
        <v>3396</v>
      </c>
      <c r="BE191" t="s">
        <v>3397</v>
      </c>
      <c r="BF191" t="s">
        <v>3398</v>
      </c>
      <c r="BG191" t="s">
        <v>3399</v>
      </c>
      <c r="BH191" t="s">
        <v>3400</v>
      </c>
      <c r="BI191" t="s">
        <v>3401</v>
      </c>
      <c r="BJ191" t="s">
        <v>3402</v>
      </c>
      <c r="BK191" t="s">
        <v>3403</v>
      </c>
      <c r="BL191" t="s">
        <v>3404</v>
      </c>
      <c r="BM191" t="s">
        <v>3405</v>
      </c>
      <c r="BN191" t="s">
        <v>3406</v>
      </c>
      <c r="BO191" t="s">
        <v>274</v>
      </c>
      <c r="BP191" t="s">
        <v>274</v>
      </c>
      <c r="BQ191" t="s">
        <v>274</v>
      </c>
      <c r="BR191" t="s">
        <v>274</v>
      </c>
    </row>
    <row r="192" spans="1:70" x14ac:dyDescent="0.3">
      <c r="A192" t="s">
        <v>143</v>
      </c>
      <c r="B192" t="s">
        <v>3407</v>
      </c>
      <c r="C192" t="s">
        <v>578</v>
      </c>
      <c r="D192" t="s">
        <v>579</v>
      </c>
      <c r="E192" t="s">
        <v>274</v>
      </c>
      <c r="F192" t="s">
        <v>274</v>
      </c>
      <c r="G192" t="s">
        <v>274</v>
      </c>
      <c r="H192" t="s">
        <v>274</v>
      </c>
      <c r="I192" t="s">
        <v>274</v>
      </c>
      <c r="J192" t="s">
        <v>274</v>
      </c>
      <c r="K192" t="s">
        <v>274</v>
      </c>
      <c r="L192" t="s">
        <v>274</v>
      </c>
      <c r="M192" t="s">
        <v>274</v>
      </c>
      <c r="N192" t="s">
        <v>274</v>
      </c>
      <c r="O192" t="s">
        <v>274</v>
      </c>
      <c r="P192" t="s">
        <v>274</v>
      </c>
      <c r="Q192" t="s">
        <v>274</v>
      </c>
      <c r="R192" t="s">
        <v>274</v>
      </c>
      <c r="S192" t="s">
        <v>274</v>
      </c>
      <c r="T192" t="s">
        <v>274</v>
      </c>
      <c r="U192" t="s">
        <v>274</v>
      </c>
      <c r="V192" t="s">
        <v>274</v>
      </c>
      <c r="W192" t="s">
        <v>274</v>
      </c>
      <c r="X192" t="s">
        <v>274</v>
      </c>
      <c r="Y192" t="s">
        <v>274</v>
      </c>
      <c r="Z192" t="s">
        <v>274</v>
      </c>
      <c r="AA192" t="s">
        <v>274</v>
      </c>
      <c r="AB192" t="s">
        <v>274</v>
      </c>
      <c r="AC192" t="s">
        <v>274</v>
      </c>
      <c r="AD192" t="s">
        <v>274</v>
      </c>
      <c r="AE192" t="s">
        <v>274</v>
      </c>
      <c r="AF192" t="s">
        <v>274</v>
      </c>
      <c r="AG192" s="14" t="s">
        <v>274</v>
      </c>
      <c r="AH192" t="s">
        <v>274</v>
      </c>
      <c r="AI192" t="s">
        <v>274</v>
      </c>
      <c r="AJ192" t="s">
        <v>274</v>
      </c>
      <c r="AK192" t="s">
        <v>274</v>
      </c>
      <c r="AL192" t="s">
        <v>274</v>
      </c>
      <c r="AM192" t="s">
        <v>274</v>
      </c>
      <c r="AN192" t="s">
        <v>274</v>
      </c>
      <c r="AO192" t="s">
        <v>3408</v>
      </c>
      <c r="AP192" t="s">
        <v>3409</v>
      </c>
      <c r="AQ192" t="s">
        <v>3410</v>
      </c>
      <c r="AR192" t="s">
        <v>3411</v>
      </c>
      <c r="AS192" t="s">
        <v>1970</v>
      </c>
      <c r="AT192" t="s">
        <v>3412</v>
      </c>
      <c r="AU192" t="s">
        <v>3413</v>
      </c>
      <c r="AV192" t="s">
        <v>3414</v>
      </c>
      <c r="AW192" t="s">
        <v>3415</v>
      </c>
      <c r="AX192" t="s">
        <v>2374</v>
      </c>
      <c r="AY192" t="s">
        <v>3416</v>
      </c>
      <c r="AZ192" t="s">
        <v>3417</v>
      </c>
      <c r="BA192" t="s">
        <v>3418</v>
      </c>
      <c r="BB192" t="s">
        <v>3419</v>
      </c>
      <c r="BC192" t="s">
        <v>3420</v>
      </c>
      <c r="BD192" t="s">
        <v>3421</v>
      </c>
      <c r="BE192" t="s">
        <v>3422</v>
      </c>
      <c r="BF192" t="s">
        <v>3423</v>
      </c>
      <c r="BG192" t="s">
        <v>3424</v>
      </c>
      <c r="BH192" t="s">
        <v>3425</v>
      </c>
      <c r="BI192" t="s">
        <v>3426</v>
      </c>
      <c r="BJ192" t="s">
        <v>3427</v>
      </c>
      <c r="BK192" t="s">
        <v>3428</v>
      </c>
      <c r="BL192" t="s">
        <v>3429</v>
      </c>
      <c r="BM192" t="s">
        <v>3430</v>
      </c>
      <c r="BN192" t="s">
        <v>3431</v>
      </c>
      <c r="BO192" t="s">
        <v>3432</v>
      </c>
      <c r="BP192" t="s">
        <v>274</v>
      </c>
      <c r="BQ192" t="s">
        <v>274</v>
      </c>
      <c r="BR192" t="s">
        <v>274</v>
      </c>
    </row>
    <row r="193" spans="1:70" x14ac:dyDescent="0.3">
      <c r="A193" t="s">
        <v>144</v>
      </c>
      <c r="B193" t="s">
        <v>3433</v>
      </c>
      <c r="C193" t="s">
        <v>578</v>
      </c>
      <c r="D193" t="s">
        <v>579</v>
      </c>
      <c r="E193" t="s">
        <v>274</v>
      </c>
      <c r="F193" t="s">
        <v>274</v>
      </c>
      <c r="G193" t="s">
        <v>274</v>
      </c>
      <c r="H193" t="s">
        <v>274</v>
      </c>
      <c r="I193" t="s">
        <v>274</v>
      </c>
      <c r="J193" t="s">
        <v>274</v>
      </c>
      <c r="K193" t="s">
        <v>274</v>
      </c>
      <c r="L193" t="s">
        <v>274</v>
      </c>
      <c r="M193" t="s">
        <v>274</v>
      </c>
      <c r="N193" t="s">
        <v>274</v>
      </c>
      <c r="O193" t="s">
        <v>274</v>
      </c>
      <c r="P193" t="s">
        <v>274</v>
      </c>
      <c r="Q193" t="s">
        <v>274</v>
      </c>
      <c r="R193" t="s">
        <v>274</v>
      </c>
      <c r="S193" t="s">
        <v>274</v>
      </c>
      <c r="T193" t="s">
        <v>274</v>
      </c>
      <c r="U193" t="s">
        <v>274</v>
      </c>
      <c r="V193" t="s">
        <v>274</v>
      </c>
      <c r="W193" t="s">
        <v>274</v>
      </c>
      <c r="X193" t="s">
        <v>274</v>
      </c>
      <c r="Y193" t="s">
        <v>274</v>
      </c>
      <c r="Z193" t="s">
        <v>274</v>
      </c>
      <c r="AA193" t="s">
        <v>274</v>
      </c>
      <c r="AB193" t="s">
        <v>274</v>
      </c>
      <c r="AC193" t="s">
        <v>274</v>
      </c>
      <c r="AD193" t="s">
        <v>3434</v>
      </c>
      <c r="AE193" t="s">
        <v>3435</v>
      </c>
      <c r="AF193" t="s">
        <v>3436</v>
      </c>
      <c r="AG193" s="14" t="s">
        <v>3437</v>
      </c>
      <c r="AH193" t="s">
        <v>3438</v>
      </c>
      <c r="AI193" t="s">
        <v>3439</v>
      </c>
      <c r="AJ193" t="s">
        <v>3440</v>
      </c>
      <c r="AK193" t="s">
        <v>3441</v>
      </c>
      <c r="AL193" t="s">
        <v>3442</v>
      </c>
      <c r="AM193" t="s">
        <v>3443</v>
      </c>
      <c r="AN193" t="s">
        <v>3444</v>
      </c>
      <c r="AO193" t="s">
        <v>3445</v>
      </c>
      <c r="AP193" t="s">
        <v>3446</v>
      </c>
      <c r="AQ193" t="s">
        <v>3447</v>
      </c>
      <c r="AR193" t="s">
        <v>3448</v>
      </c>
      <c r="AS193" t="s">
        <v>3449</v>
      </c>
      <c r="AT193" t="s">
        <v>3450</v>
      </c>
      <c r="AU193" t="s">
        <v>3451</v>
      </c>
      <c r="AV193" t="s">
        <v>3452</v>
      </c>
      <c r="AW193" t="s">
        <v>3453</v>
      </c>
      <c r="AX193" t="s">
        <v>3454</v>
      </c>
      <c r="AY193" t="s">
        <v>3455</v>
      </c>
      <c r="AZ193" t="s">
        <v>3456</v>
      </c>
      <c r="BA193" t="s">
        <v>3457</v>
      </c>
      <c r="BB193" t="s">
        <v>3458</v>
      </c>
      <c r="BC193" t="s">
        <v>3459</v>
      </c>
      <c r="BD193" t="s">
        <v>3460</v>
      </c>
      <c r="BE193" t="s">
        <v>3461</v>
      </c>
      <c r="BF193" t="s">
        <v>3462</v>
      </c>
      <c r="BG193" t="s">
        <v>3463</v>
      </c>
      <c r="BH193" t="s">
        <v>3464</v>
      </c>
      <c r="BI193" t="s">
        <v>3465</v>
      </c>
      <c r="BJ193" t="s">
        <v>3466</v>
      </c>
      <c r="BK193" t="s">
        <v>3467</v>
      </c>
      <c r="BL193" t="s">
        <v>3468</v>
      </c>
      <c r="BM193" t="s">
        <v>3469</v>
      </c>
      <c r="BN193" t="s">
        <v>3470</v>
      </c>
      <c r="BO193" t="s">
        <v>3471</v>
      </c>
      <c r="BP193" t="s">
        <v>274</v>
      </c>
      <c r="BQ193" t="s">
        <v>274</v>
      </c>
      <c r="BR193" t="s">
        <v>274</v>
      </c>
    </row>
    <row r="194" spans="1:70" x14ac:dyDescent="0.3">
      <c r="A194" t="s">
        <v>145</v>
      </c>
      <c r="B194" t="s">
        <v>3472</v>
      </c>
      <c r="C194" t="s">
        <v>578</v>
      </c>
      <c r="D194" t="s">
        <v>579</v>
      </c>
      <c r="E194" t="s">
        <v>274</v>
      </c>
      <c r="F194" t="s">
        <v>274</v>
      </c>
      <c r="G194" t="s">
        <v>274</v>
      </c>
      <c r="H194" t="s">
        <v>274</v>
      </c>
      <c r="I194" t="s">
        <v>274</v>
      </c>
      <c r="J194" t="s">
        <v>274</v>
      </c>
      <c r="K194" t="s">
        <v>274</v>
      </c>
      <c r="L194" t="s">
        <v>274</v>
      </c>
      <c r="M194" t="s">
        <v>274</v>
      </c>
      <c r="N194" t="s">
        <v>274</v>
      </c>
      <c r="O194" t="s">
        <v>274</v>
      </c>
      <c r="P194" t="s">
        <v>274</v>
      </c>
      <c r="Q194" t="s">
        <v>274</v>
      </c>
      <c r="R194" t="s">
        <v>274</v>
      </c>
      <c r="S194" t="s">
        <v>274</v>
      </c>
      <c r="T194" t="s">
        <v>274</v>
      </c>
      <c r="U194" t="s">
        <v>868</v>
      </c>
      <c r="V194" t="s">
        <v>868</v>
      </c>
      <c r="W194" t="s">
        <v>868</v>
      </c>
      <c r="X194" t="s">
        <v>1240</v>
      </c>
      <c r="Y194" t="s">
        <v>1240</v>
      </c>
      <c r="Z194" t="s">
        <v>3473</v>
      </c>
      <c r="AA194" t="s">
        <v>3474</v>
      </c>
      <c r="AB194" t="s">
        <v>3475</v>
      </c>
      <c r="AC194" t="s">
        <v>3476</v>
      </c>
      <c r="AD194" t="s">
        <v>3477</v>
      </c>
      <c r="AE194" t="s">
        <v>3478</v>
      </c>
      <c r="AF194" t="s">
        <v>3479</v>
      </c>
      <c r="AG194" s="14" t="s">
        <v>3480</v>
      </c>
      <c r="AH194" t="s">
        <v>3481</v>
      </c>
      <c r="AI194" t="s">
        <v>3482</v>
      </c>
      <c r="AJ194" t="s">
        <v>3483</v>
      </c>
      <c r="AK194" t="s">
        <v>3484</v>
      </c>
      <c r="AL194" t="s">
        <v>3485</v>
      </c>
      <c r="AM194" t="s">
        <v>3486</v>
      </c>
      <c r="AN194" t="s">
        <v>3487</v>
      </c>
      <c r="AO194" t="s">
        <v>3488</v>
      </c>
      <c r="AP194" t="s">
        <v>3489</v>
      </c>
      <c r="AQ194" t="s">
        <v>3490</v>
      </c>
      <c r="AR194" t="s">
        <v>3491</v>
      </c>
      <c r="AS194" t="s">
        <v>3492</v>
      </c>
      <c r="AT194" t="s">
        <v>3493</v>
      </c>
      <c r="AU194" t="s">
        <v>3494</v>
      </c>
      <c r="AV194" t="s">
        <v>3495</v>
      </c>
      <c r="AW194" t="s">
        <v>3496</v>
      </c>
      <c r="AX194" t="s">
        <v>3497</v>
      </c>
      <c r="AY194" t="s">
        <v>3498</v>
      </c>
      <c r="AZ194" t="s">
        <v>3499</v>
      </c>
      <c r="BA194" t="s">
        <v>3500</v>
      </c>
      <c r="BB194" t="s">
        <v>3501</v>
      </c>
      <c r="BC194" t="s">
        <v>3502</v>
      </c>
      <c r="BD194" t="s">
        <v>3503</v>
      </c>
      <c r="BE194" t="s">
        <v>3504</v>
      </c>
      <c r="BF194" t="s">
        <v>3505</v>
      </c>
      <c r="BG194" t="s">
        <v>3506</v>
      </c>
      <c r="BH194" t="s">
        <v>3507</v>
      </c>
      <c r="BI194" t="s">
        <v>3508</v>
      </c>
      <c r="BJ194" t="s">
        <v>3509</v>
      </c>
      <c r="BK194" t="s">
        <v>3510</v>
      </c>
      <c r="BL194" t="s">
        <v>3511</v>
      </c>
      <c r="BM194" t="s">
        <v>274</v>
      </c>
      <c r="BN194" t="s">
        <v>274</v>
      </c>
      <c r="BO194" t="s">
        <v>274</v>
      </c>
      <c r="BP194" t="s">
        <v>274</v>
      </c>
      <c r="BQ194" t="s">
        <v>274</v>
      </c>
      <c r="BR194" t="s">
        <v>274</v>
      </c>
    </row>
    <row r="195" spans="1:70" x14ac:dyDescent="0.3">
      <c r="A195" t="s">
        <v>3512</v>
      </c>
      <c r="B195" t="s">
        <v>3513</v>
      </c>
      <c r="C195" t="s">
        <v>578</v>
      </c>
      <c r="D195" t="s">
        <v>579</v>
      </c>
      <c r="E195" t="s">
        <v>274</v>
      </c>
      <c r="F195" t="s">
        <v>274</v>
      </c>
      <c r="G195" t="s">
        <v>274</v>
      </c>
      <c r="H195" t="s">
        <v>274</v>
      </c>
      <c r="I195" t="s">
        <v>274</v>
      </c>
      <c r="J195" t="s">
        <v>274</v>
      </c>
      <c r="K195" t="s">
        <v>274</v>
      </c>
      <c r="L195" t="s">
        <v>274</v>
      </c>
      <c r="M195" t="s">
        <v>274</v>
      </c>
      <c r="N195" t="s">
        <v>274</v>
      </c>
      <c r="O195" t="s">
        <v>274</v>
      </c>
      <c r="P195" t="s">
        <v>274</v>
      </c>
      <c r="Q195" t="s">
        <v>274</v>
      </c>
      <c r="R195" t="s">
        <v>274</v>
      </c>
      <c r="S195" t="s">
        <v>274</v>
      </c>
      <c r="T195" t="s">
        <v>274</v>
      </c>
      <c r="U195" t="s">
        <v>274</v>
      </c>
      <c r="V195" t="s">
        <v>274</v>
      </c>
      <c r="W195" t="s">
        <v>274</v>
      </c>
      <c r="X195" t="s">
        <v>274</v>
      </c>
      <c r="Y195" t="s">
        <v>274</v>
      </c>
      <c r="Z195" t="s">
        <v>274</v>
      </c>
      <c r="AA195" t="s">
        <v>274</v>
      </c>
      <c r="AB195" t="s">
        <v>274</v>
      </c>
      <c r="AC195" t="s">
        <v>274</v>
      </c>
      <c r="AD195" t="s">
        <v>274</v>
      </c>
      <c r="AE195" t="s">
        <v>274</v>
      </c>
      <c r="AF195" t="s">
        <v>274</v>
      </c>
      <c r="AG195" s="14" t="s">
        <v>274</v>
      </c>
      <c r="AH195" t="s">
        <v>274</v>
      </c>
      <c r="AI195" t="s">
        <v>274</v>
      </c>
      <c r="AJ195" t="s">
        <v>274</v>
      </c>
      <c r="AK195" t="s">
        <v>274</v>
      </c>
      <c r="AL195" t="s">
        <v>274</v>
      </c>
      <c r="AM195" t="s">
        <v>274</v>
      </c>
      <c r="AN195" t="s">
        <v>274</v>
      </c>
      <c r="AO195" t="s">
        <v>274</v>
      </c>
      <c r="AP195" t="s">
        <v>274</v>
      </c>
      <c r="AQ195" t="s">
        <v>274</v>
      </c>
      <c r="AR195" t="s">
        <v>274</v>
      </c>
      <c r="AS195" t="s">
        <v>274</v>
      </c>
      <c r="AT195" t="s">
        <v>274</v>
      </c>
      <c r="AU195" t="s">
        <v>274</v>
      </c>
      <c r="AV195" t="s">
        <v>274</v>
      </c>
      <c r="AW195" t="s">
        <v>274</v>
      </c>
      <c r="AX195" t="s">
        <v>274</v>
      </c>
      <c r="AY195" t="s">
        <v>274</v>
      </c>
      <c r="AZ195" t="s">
        <v>274</v>
      </c>
      <c r="BA195" t="s">
        <v>274</v>
      </c>
      <c r="BB195" t="s">
        <v>274</v>
      </c>
      <c r="BC195" t="s">
        <v>274</v>
      </c>
      <c r="BD195" t="s">
        <v>274</v>
      </c>
      <c r="BE195" t="s">
        <v>274</v>
      </c>
      <c r="BF195" t="s">
        <v>274</v>
      </c>
      <c r="BG195" t="s">
        <v>274</v>
      </c>
      <c r="BH195" t="s">
        <v>274</v>
      </c>
      <c r="BI195" t="s">
        <v>274</v>
      </c>
      <c r="BJ195" t="s">
        <v>274</v>
      </c>
      <c r="BK195" t="s">
        <v>274</v>
      </c>
      <c r="BL195" t="s">
        <v>274</v>
      </c>
      <c r="BM195" t="s">
        <v>274</v>
      </c>
      <c r="BN195" t="s">
        <v>274</v>
      </c>
      <c r="BO195" t="s">
        <v>274</v>
      </c>
      <c r="BP195" t="s">
        <v>274</v>
      </c>
      <c r="BQ195" t="s">
        <v>274</v>
      </c>
      <c r="BR195" t="s">
        <v>274</v>
      </c>
    </row>
    <row r="196" spans="1:70" x14ac:dyDescent="0.3">
      <c r="A196" t="s">
        <v>146</v>
      </c>
      <c r="B196" t="s">
        <v>3514</v>
      </c>
      <c r="C196" t="s">
        <v>578</v>
      </c>
      <c r="D196" t="s">
        <v>579</v>
      </c>
      <c r="E196" t="s">
        <v>274</v>
      </c>
      <c r="F196" t="s">
        <v>274</v>
      </c>
      <c r="G196" t="s">
        <v>274</v>
      </c>
      <c r="H196" t="s">
        <v>274</v>
      </c>
      <c r="I196" t="s">
        <v>274</v>
      </c>
      <c r="J196" t="s">
        <v>274</v>
      </c>
      <c r="K196" t="s">
        <v>274</v>
      </c>
      <c r="L196" t="s">
        <v>274</v>
      </c>
      <c r="M196" t="s">
        <v>274</v>
      </c>
      <c r="N196" t="s">
        <v>274</v>
      </c>
      <c r="O196" t="s">
        <v>274</v>
      </c>
      <c r="P196" t="s">
        <v>274</v>
      </c>
      <c r="Q196" t="s">
        <v>274</v>
      </c>
      <c r="R196" t="s">
        <v>274</v>
      </c>
      <c r="S196" t="s">
        <v>274</v>
      </c>
      <c r="T196" t="s">
        <v>274</v>
      </c>
      <c r="U196" t="s">
        <v>274</v>
      </c>
      <c r="V196" t="s">
        <v>274</v>
      </c>
      <c r="W196" t="s">
        <v>274</v>
      </c>
      <c r="X196" t="s">
        <v>274</v>
      </c>
      <c r="Y196" t="s">
        <v>274</v>
      </c>
      <c r="Z196" t="s">
        <v>274</v>
      </c>
      <c r="AA196" t="s">
        <v>274</v>
      </c>
      <c r="AB196" t="s">
        <v>2228</v>
      </c>
      <c r="AC196" t="s">
        <v>3515</v>
      </c>
      <c r="AD196" t="s">
        <v>3086</v>
      </c>
      <c r="AE196" t="s">
        <v>3516</v>
      </c>
      <c r="AF196" t="s">
        <v>3517</v>
      </c>
      <c r="AG196" s="14" t="s">
        <v>3518</v>
      </c>
      <c r="AH196" t="s">
        <v>3519</v>
      </c>
      <c r="AI196" t="s">
        <v>3520</v>
      </c>
      <c r="AJ196" t="s">
        <v>3521</v>
      </c>
      <c r="AK196" t="s">
        <v>3522</v>
      </c>
      <c r="AL196" t="s">
        <v>3523</v>
      </c>
      <c r="AM196" t="s">
        <v>3524</v>
      </c>
      <c r="AN196" t="s">
        <v>3525</v>
      </c>
      <c r="AO196" t="s">
        <v>3526</v>
      </c>
      <c r="AP196" t="s">
        <v>3527</v>
      </c>
      <c r="AQ196" t="s">
        <v>3528</v>
      </c>
      <c r="AR196" t="s">
        <v>3529</v>
      </c>
      <c r="AS196" t="s">
        <v>3530</v>
      </c>
      <c r="AT196" t="s">
        <v>3531</v>
      </c>
      <c r="AU196" t="s">
        <v>3532</v>
      </c>
      <c r="AV196" t="s">
        <v>3533</v>
      </c>
      <c r="AW196" t="s">
        <v>3534</v>
      </c>
      <c r="AX196" t="s">
        <v>3535</v>
      </c>
      <c r="AY196" t="s">
        <v>2227</v>
      </c>
      <c r="AZ196" t="s">
        <v>3536</v>
      </c>
      <c r="BA196" t="s">
        <v>3537</v>
      </c>
      <c r="BB196" t="s">
        <v>3538</v>
      </c>
      <c r="BC196" t="s">
        <v>3539</v>
      </c>
      <c r="BD196" t="s">
        <v>2623</v>
      </c>
      <c r="BE196" t="s">
        <v>3540</v>
      </c>
      <c r="BF196" t="s">
        <v>3135</v>
      </c>
      <c r="BG196" t="s">
        <v>3541</v>
      </c>
      <c r="BH196" t="s">
        <v>3542</v>
      </c>
      <c r="BI196" t="s">
        <v>3543</v>
      </c>
      <c r="BJ196" t="s">
        <v>3544</v>
      </c>
      <c r="BK196" t="s">
        <v>3545</v>
      </c>
      <c r="BL196" t="s">
        <v>3546</v>
      </c>
      <c r="BM196" t="s">
        <v>3547</v>
      </c>
      <c r="BN196" t="s">
        <v>3548</v>
      </c>
      <c r="BO196" t="s">
        <v>3549</v>
      </c>
      <c r="BP196" t="s">
        <v>3550</v>
      </c>
      <c r="BQ196" t="s">
        <v>274</v>
      </c>
      <c r="BR196" t="s">
        <v>274</v>
      </c>
    </row>
    <row r="197" spans="1:70" x14ac:dyDescent="0.3">
      <c r="A197" t="s">
        <v>147</v>
      </c>
      <c r="B197" t="s">
        <v>3551</v>
      </c>
      <c r="C197" t="s">
        <v>578</v>
      </c>
      <c r="D197" t="s">
        <v>579</v>
      </c>
      <c r="E197" t="s">
        <v>274</v>
      </c>
      <c r="F197" t="s">
        <v>274</v>
      </c>
      <c r="G197" t="s">
        <v>274</v>
      </c>
      <c r="H197" t="s">
        <v>274</v>
      </c>
      <c r="I197" t="s">
        <v>274</v>
      </c>
      <c r="J197" t="s">
        <v>274</v>
      </c>
      <c r="K197" t="s">
        <v>274</v>
      </c>
      <c r="L197" t="s">
        <v>274</v>
      </c>
      <c r="M197" t="s">
        <v>274</v>
      </c>
      <c r="N197" t="s">
        <v>274</v>
      </c>
      <c r="O197" t="s">
        <v>274</v>
      </c>
      <c r="P197" t="s">
        <v>274</v>
      </c>
      <c r="Q197" t="s">
        <v>274</v>
      </c>
      <c r="R197" t="s">
        <v>274</v>
      </c>
      <c r="S197" t="s">
        <v>274</v>
      </c>
      <c r="T197" t="s">
        <v>274</v>
      </c>
      <c r="U197" t="s">
        <v>274</v>
      </c>
      <c r="V197" t="s">
        <v>274</v>
      </c>
      <c r="W197" t="s">
        <v>274</v>
      </c>
      <c r="X197" t="s">
        <v>274</v>
      </c>
      <c r="Y197" t="s">
        <v>274</v>
      </c>
      <c r="Z197" t="s">
        <v>274</v>
      </c>
      <c r="AA197" t="s">
        <v>274</v>
      </c>
      <c r="AB197" t="s">
        <v>274</v>
      </c>
      <c r="AC197" t="s">
        <v>274</v>
      </c>
      <c r="AD197" t="s">
        <v>274</v>
      </c>
      <c r="AE197" t="s">
        <v>274</v>
      </c>
      <c r="AF197" t="s">
        <v>274</v>
      </c>
      <c r="AG197" s="14" t="s">
        <v>274</v>
      </c>
      <c r="AH197" t="s">
        <v>274</v>
      </c>
      <c r="AI197" t="s">
        <v>274</v>
      </c>
      <c r="AJ197" t="s">
        <v>274</v>
      </c>
      <c r="AK197" t="s">
        <v>274</v>
      </c>
      <c r="AL197" t="s">
        <v>274</v>
      </c>
      <c r="AM197" t="s">
        <v>274</v>
      </c>
      <c r="AN197" t="s">
        <v>274</v>
      </c>
      <c r="AO197" t="s">
        <v>274</v>
      </c>
      <c r="AP197" t="s">
        <v>274</v>
      </c>
      <c r="AQ197" t="s">
        <v>274</v>
      </c>
      <c r="AR197" t="s">
        <v>274</v>
      </c>
      <c r="AS197" t="s">
        <v>274</v>
      </c>
      <c r="AT197" t="s">
        <v>274</v>
      </c>
      <c r="AU197" t="s">
        <v>274</v>
      </c>
      <c r="AV197" t="s">
        <v>274</v>
      </c>
      <c r="AW197" t="s">
        <v>274</v>
      </c>
      <c r="AX197" t="s">
        <v>274</v>
      </c>
      <c r="AY197" t="s">
        <v>274</v>
      </c>
      <c r="AZ197" t="s">
        <v>274</v>
      </c>
      <c r="BA197" t="s">
        <v>274</v>
      </c>
      <c r="BB197" t="s">
        <v>274</v>
      </c>
      <c r="BC197" t="s">
        <v>274</v>
      </c>
      <c r="BD197" t="s">
        <v>274</v>
      </c>
      <c r="BE197" t="s">
        <v>274</v>
      </c>
      <c r="BF197" t="s">
        <v>274</v>
      </c>
      <c r="BG197" t="s">
        <v>274</v>
      </c>
      <c r="BH197" t="s">
        <v>274</v>
      </c>
      <c r="BI197" t="s">
        <v>274</v>
      </c>
      <c r="BJ197" t="s">
        <v>274</v>
      </c>
      <c r="BK197" t="s">
        <v>274</v>
      </c>
      <c r="BL197" t="s">
        <v>274</v>
      </c>
      <c r="BM197" t="s">
        <v>274</v>
      </c>
      <c r="BN197" t="s">
        <v>274</v>
      </c>
      <c r="BO197" t="s">
        <v>274</v>
      </c>
      <c r="BP197" t="s">
        <v>274</v>
      </c>
      <c r="BQ197" t="s">
        <v>274</v>
      </c>
      <c r="BR197" t="s">
        <v>274</v>
      </c>
    </row>
    <row r="198" spans="1:70" x14ac:dyDescent="0.3">
      <c r="A198" t="s">
        <v>3552</v>
      </c>
      <c r="B198" t="s">
        <v>3553</v>
      </c>
      <c r="C198" t="s">
        <v>578</v>
      </c>
      <c r="D198" t="s">
        <v>579</v>
      </c>
      <c r="E198" t="s">
        <v>274</v>
      </c>
      <c r="F198" t="s">
        <v>274</v>
      </c>
      <c r="G198" t="s">
        <v>274</v>
      </c>
      <c r="H198" t="s">
        <v>274</v>
      </c>
      <c r="I198" t="s">
        <v>274</v>
      </c>
      <c r="J198" t="s">
        <v>274</v>
      </c>
      <c r="K198" t="s">
        <v>274</v>
      </c>
      <c r="L198" t="s">
        <v>274</v>
      </c>
      <c r="M198" t="s">
        <v>274</v>
      </c>
      <c r="N198" t="s">
        <v>274</v>
      </c>
      <c r="O198" t="s">
        <v>274</v>
      </c>
      <c r="P198" t="s">
        <v>274</v>
      </c>
      <c r="Q198" t="s">
        <v>274</v>
      </c>
      <c r="R198" t="s">
        <v>274</v>
      </c>
      <c r="S198" t="s">
        <v>274</v>
      </c>
      <c r="T198" t="s">
        <v>274</v>
      </c>
      <c r="U198" t="s">
        <v>274</v>
      </c>
      <c r="V198" t="s">
        <v>274</v>
      </c>
      <c r="W198" t="s">
        <v>274</v>
      </c>
      <c r="X198" t="s">
        <v>274</v>
      </c>
      <c r="Y198" t="s">
        <v>274</v>
      </c>
      <c r="Z198" t="s">
        <v>274</v>
      </c>
      <c r="AA198" t="s">
        <v>274</v>
      </c>
      <c r="AB198" t="s">
        <v>274</v>
      </c>
      <c r="AC198" t="s">
        <v>274</v>
      </c>
      <c r="AD198" t="s">
        <v>274</v>
      </c>
      <c r="AE198" t="s">
        <v>274</v>
      </c>
      <c r="AF198" t="s">
        <v>274</v>
      </c>
      <c r="AG198" s="14" t="s">
        <v>274</v>
      </c>
      <c r="AH198" t="s">
        <v>274</v>
      </c>
      <c r="AI198" t="s">
        <v>274</v>
      </c>
      <c r="AJ198" t="s">
        <v>274</v>
      </c>
      <c r="AK198" t="s">
        <v>274</v>
      </c>
      <c r="AL198" t="s">
        <v>274</v>
      </c>
      <c r="AM198" t="s">
        <v>274</v>
      </c>
      <c r="AN198" t="s">
        <v>274</v>
      </c>
      <c r="AO198" t="s">
        <v>274</v>
      </c>
      <c r="AP198" t="s">
        <v>274</v>
      </c>
      <c r="AQ198" t="s">
        <v>274</v>
      </c>
      <c r="AR198" t="s">
        <v>274</v>
      </c>
      <c r="AS198" t="s">
        <v>274</v>
      </c>
      <c r="AT198" t="s">
        <v>274</v>
      </c>
      <c r="AU198" t="s">
        <v>274</v>
      </c>
      <c r="AV198" t="s">
        <v>274</v>
      </c>
      <c r="AW198" t="s">
        <v>274</v>
      </c>
      <c r="AX198" t="s">
        <v>274</v>
      </c>
      <c r="AY198" t="s">
        <v>274</v>
      </c>
      <c r="AZ198" t="s">
        <v>274</v>
      </c>
      <c r="BA198" t="s">
        <v>274</v>
      </c>
      <c r="BB198" t="s">
        <v>274</v>
      </c>
      <c r="BC198" t="s">
        <v>274</v>
      </c>
      <c r="BD198" t="s">
        <v>274</v>
      </c>
      <c r="BE198" t="s">
        <v>274</v>
      </c>
      <c r="BF198" t="s">
        <v>274</v>
      </c>
      <c r="BG198" t="s">
        <v>274</v>
      </c>
      <c r="BH198" t="s">
        <v>274</v>
      </c>
      <c r="BI198" t="s">
        <v>274</v>
      </c>
      <c r="BJ198" t="s">
        <v>274</v>
      </c>
      <c r="BK198" t="s">
        <v>274</v>
      </c>
      <c r="BL198" t="s">
        <v>274</v>
      </c>
      <c r="BM198" t="s">
        <v>274</v>
      </c>
      <c r="BN198" t="s">
        <v>274</v>
      </c>
      <c r="BO198" t="s">
        <v>274</v>
      </c>
      <c r="BP198" t="s">
        <v>274</v>
      </c>
      <c r="BQ198" t="s">
        <v>274</v>
      </c>
      <c r="BR198" t="s">
        <v>274</v>
      </c>
    </row>
    <row r="199" spans="1:70" x14ac:dyDescent="0.3">
      <c r="A199" t="s">
        <v>3554</v>
      </c>
      <c r="B199" t="s">
        <v>3555</v>
      </c>
      <c r="C199" t="s">
        <v>578</v>
      </c>
      <c r="D199" t="s">
        <v>579</v>
      </c>
      <c r="E199" t="s">
        <v>274</v>
      </c>
      <c r="F199" t="s">
        <v>274</v>
      </c>
      <c r="G199" t="s">
        <v>274</v>
      </c>
      <c r="H199" t="s">
        <v>274</v>
      </c>
      <c r="I199" t="s">
        <v>274</v>
      </c>
      <c r="J199" t="s">
        <v>274</v>
      </c>
      <c r="K199" t="s">
        <v>274</v>
      </c>
      <c r="L199" t="s">
        <v>274</v>
      </c>
      <c r="M199" t="s">
        <v>274</v>
      </c>
      <c r="N199" t="s">
        <v>274</v>
      </c>
      <c r="O199" t="s">
        <v>274</v>
      </c>
      <c r="P199" t="s">
        <v>274</v>
      </c>
      <c r="Q199" t="s">
        <v>274</v>
      </c>
      <c r="R199" t="s">
        <v>274</v>
      </c>
      <c r="S199" t="s">
        <v>274</v>
      </c>
      <c r="T199" t="s">
        <v>274</v>
      </c>
      <c r="U199" t="s">
        <v>274</v>
      </c>
      <c r="V199" t="s">
        <v>274</v>
      </c>
      <c r="W199" t="s">
        <v>274</v>
      </c>
      <c r="X199" t="s">
        <v>274</v>
      </c>
      <c r="Y199" t="s">
        <v>274</v>
      </c>
      <c r="Z199" t="s">
        <v>274</v>
      </c>
      <c r="AA199" t="s">
        <v>274</v>
      </c>
      <c r="AB199" t="s">
        <v>274</v>
      </c>
      <c r="AC199" t="s">
        <v>274</v>
      </c>
      <c r="AD199" t="s">
        <v>274</v>
      </c>
      <c r="AE199" t="s">
        <v>274</v>
      </c>
      <c r="AF199" t="s">
        <v>274</v>
      </c>
      <c r="AG199" s="14" t="s">
        <v>274</v>
      </c>
      <c r="AH199" t="s">
        <v>274</v>
      </c>
      <c r="AI199" t="s">
        <v>274</v>
      </c>
      <c r="AJ199" t="s">
        <v>274</v>
      </c>
      <c r="AK199" t="s">
        <v>274</v>
      </c>
      <c r="AL199" t="s">
        <v>274</v>
      </c>
      <c r="AM199" t="s">
        <v>274</v>
      </c>
      <c r="AN199" t="s">
        <v>274</v>
      </c>
      <c r="AO199" t="s">
        <v>274</v>
      </c>
      <c r="AP199" t="s">
        <v>274</v>
      </c>
      <c r="AQ199" t="s">
        <v>274</v>
      </c>
      <c r="AR199" t="s">
        <v>274</v>
      </c>
      <c r="AS199" t="s">
        <v>274</v>
      </c>
      <c r="AT199" t="s">
        <v>274</v>
      </c>
      <c r="AU199" t="s">
        <v>274</v>
      </c>
      <c r="AV199" t="s">
        <v>274</v>
      </c>
      <c r="AW199" t="s">
        <v>274</v>
      </c>
      <c r="AX199" t="s">
        <v>274</v>
      </c>
      <c r="AY199" t="s">
        <v>274</v>
      </c>
      <c r="AZ199" t="s">
        <v>274</v>
      </c>
      <c r="BA199" t="s">
        <v>274</v>
      </c>
      <c r="BB199" t="s">
        <v>274</v>
      </c>
      <c r="BC199" t="s">
        <v>274</v>
      </c>
      <c r="BD199" t="s">
        <v>274</v>
      </c>
      <c r="BE199" t="s">
        <v>274</v>
      </c>
      <c r="BF199" t="s">
        <v>274</v>
      </c>
      <c r="BG199" t="s">
        <v>274</v>
      </c>
      <c r="BH199" t="s">
        <v>274</v>
      </c>
      <c r="BI199" t="s">
        <v>274</v>
      </c>
      <c r="BJ199" t="s">
        <v>274</v>
      </c>
      <c r="BK199" t="s">
        <v>274</v>
      </c>
      <c r="BL199" t="s">
        <v>274</v>
      </c>
      <c r="BM199" t="s">
        <v>274</v>
      </c>
      <c r="BN199" t="s">
        <v>274</v>
      </c>
      <c r="BO199" t="s">
        <v>274</v>
      </c>
      <c r="BP199" t="s">
        <v>274</v>
      </c>
      <c r="BQ199" t="s">
        <v>274</v>
      </c>
      <c r="BR199" t="s">
        <v>274</v>
      </c>
    </row>
    <row r="200" spans="1:70" x14ac:dyDescent="0.3">
      <c r="A200" t="s">
        <v>3556</v>
      </c>
      <c r="B200" t="s">
        <v>3557</v>
      </c>
      <c r="C200" t="s">
        <v>578</v>
      </c>
      <c r="D200" t="s">
        <v>579</v>
      </c>
      <c r="E200" t="s">
        <v>274</v>
      </c>
      <c r="F200" t="s">
        <v>274</v>
      </c>
      <c r="G200" t="s">
        <v>274</v>
      </c>
      <c r="H200" t="s">
        <v>274</v>
      </c>
      <c r="I200" t="s">
        <v>274</v>
      </c>
      <c r="J200" t="s">
        <v>274</v>
      </c>
      <c r="K200" t="s">
        <v>274</v>
      </c>
      <c r="L200" t="s">
        <v>274</v>
      </c>
      <c r="M200" t="s">
        <v>274</v>
      </c>
      <c r="N200" t="s">
        <v>274</v>
      </c>
      <c r="O200" t="s">
        <v>274</v>
      </c>
      <c r="P200" t="s">
        <v>274</v>
      </c>
      <c r="Q200" t="s">
        <v>274</v>
      </c>
      <c r="R200" t="s">
        <v>274</v>
      </c>
      <c r="S200" t="s">
        <v>274</v>
      </c>
      <c r="T200" t="s">
        <v>274</v>
      </c>
      <c r="U200" t="s">
        <v>274</v>
      </c>
      <c r="V200" t="s">
        <v>274</v>
      </c>
      <c r="W200" t="s">
        <v>274</v>
      </c>
      <c r="X200" t="s">
        <v>274</v>
      </c>
      <c r="Y200" t="s">
        <v>274</v>
      </c>
      <c r="Z200" t="s">
        <v>274</v>
      </c>
      <c r="AA200" t="s">
        <v>274</v>
      </c>
      <c r="AB200" t="s">
        <v>274</v>
      </c>
      <c r="AC200" t="s">
        <v>274</v>
      </c>
      <c r="AD200" t="s">
        <v>274</v>
      </c>
      <c r="AE200" t="s">
        <v>274</v>
      </c>
      <c r="AF200" t="s">
        <v>274</v>
      </c>
      <c r="AG200" s="14" t="s">
        <v>274</v>
      </c>
      <c r="AH200" t="s">
        <v>274</v>
      </c>
      <c r="AI200" t="s">
        <v>274</v>
      </c>
      <c r="AJ200" t="s">
        <v>274</v>
      </c>
      <c r="AK200" t="s">
        <v>274</v>
      </c>
      <c r="AL200" t="s">
        <v>274</v>
      </c>
      <c r="AM200" t="s">
        <v>274</v>
      </c>
      <c r="AN200" t="s">
        <v>274</v>
      </c>
      <c r="AO200" t="s">
        <v>274</v>
      </c>
      <c r="AP200" t="s">
        <v>274</v>
      </c>
      <c r="AQ200" t="s">
        <v>274</v>
      </c>
      <c r="AR200" t="s">
        <v>274</v>
      </c>
      <c r="AS200" t="s">
        <v>274</v>
      </c>
      <c r="AT200" t="s">
        <v>274</v>
      </c>
      <c r="AU200" t="s">
        <v>274</v>
      </c>
      <c r="AV200" t="s">
        <v>274</v>
      </c>
      <c r="AW200" t="s">
        <v>274</v>
      </c>
      <c r="AX200" t="s">
        <v>274</v>
      </c>
      <c r="AY200" t="s">
        <v>274</v>
      </c>
      <c r="AZ200" t="s">
        <v>274</v>
      </c>
      <c r="BA200" t="s">
        <v>274</v>
      </c>
      <c r="BB200" t="s">
        <v>274</v>
      </c>
      <c r="BC200" t="s">
        <v>274</v>
      </c>
      <c r="BD200" t="s">
        <v>274</v>
      </c>
      <c r="BE200" t="s">
        <v>274</v>
      </c>
      <c r="BF200" t="s">
        <v>274</v>
      </c>
      <c r="BG200" t="s">
        <v>274</v>
      </c>
      <c r="BH200" t="s">
        <v>274</v>
      </c>
      <c r="BI200" t="s">
        <v>274</v>
      </c>
      <c r="BJ200" t="s">
        <v>274</v>
      </c>
      <c r="BK200" t="s">
        <v>274</v>
      </c>
      <c r="BL200" t="s">
        <v>274</v>
      </c>
      <c r="BM200" t="s">
        <v>274</v>
      </c>
      <c r="BN200" t="s">
        <v>274</v>
      </c>
      <c r="BO200" t="s">
        <v>274</v>
      </c>
      <c r="BP200" t="s">
        <v>274</v>
      </c>
      <c r="BQ200" t="s">
        <v>274</v>
      </c>
      <c r="BR200" t="s">
        <v>274</v>
      </c>
    </row>
    <row r="201" spans="1:70" x14ac:dyDescent="0.3">
      <c r="A201" t="s">
        <v>149</v>
      </c>
      <c r="B201" t="s">
        <v>3558</v>
      </c>
      <c r="C201" t="s">
        <v>578</v>
      </c>
      <c r="D201" t="s">
        <v>579</v>
      </c>
      <c r="E201" t="s">
        <v>274</v>
      </c>
      <c r="F201" t="s">
        <v>274</v>
      </c>
      <c r="G201" t="s">
        <v>274</v>
      </c>
      <c r="H201" t="s">
        <v>274</v>
      </c>
      <c r="I201" t="s">
        <v>274</v>
      </c>
      <c r="J201" t="s">
        <v>274</v>
      </c>
      <c r="K201" t="s">
        <v>274</v>
      </c>
      <c r="L201" t="s">
        <v>274</v>
      </c>
      <c r="M201" t="s">
        <v>274</v>
      </c>
      <c r="N201" t="s">
        <v>274</v>
      </c>
      <c r="O201" t="s">
        <v>274</v>
      </c>
      <c r="P201" t="s">
        <v>274</v>
      </c>
      <c r="Q201" t="s">
        <v>274</v>
      </c>
      <c r="R201" t="s">
        <v>274</v>
      </c>
      <c r="S201" t="s">
        <v>274</v>
      </c>
      <c r="T201" t="s">
        <v>274</v>
      </c>
      <c r="U201" t="s">
        <v>274</v>
      </c>
      <c r="V201" t="s">
        <v>274</v>
      </c>
      <c r="W201" t="s">
        <v>274</v>
      </c>
      <c r="X201" t="s">
        <v>274</v>
      </c>
      <c r="Y201" t="s">
        <v>274</v>
      </c>
      <c r="Z201" t="s">
        <v>274</v>
      </c>
      <c r="AA201" t="s">
        <v>274</v>
      </c>
      <c r="AB201" t="s">
        <v>274</v>
      </c>
      <c r="AC201" t="s">
        <v>274</v>
      </c>
      <c r="AD201" t="s">
        <v>274</v>
      </c>
      <c r="AE201" t="s">
        <v>274</v>
      </c>
      <c r="AF201" t="s">
        <v>274</v>
      </c>
      <c r="AG201" s="14" t="s">
        <v>274</v>
      </c>
      <c r="AH201" t="s">
        <v>274</v>
      </c>
      <c r="AI201" t="s">
        <v>274</v>
      </c>
      <c r="AJ201" t="s">
        <v>274</v>
      </c>
      <c r="AK201" t="s">
        <v>274</v>
      </c>
      <c r="AL201" t="s">
        <v>274</v>
      </c>
      <c r="AM201" t="s">
        <v>274</v>
      </c>
      <c r="AN201" t="s">
        <v>274</v>
      </c>
      <c r="AO201" t="s">
        <v>274</v>
      </c>
      <c r="AP201" t="s">
        <v>274</v>
      </c>
      <c r="AQ201" t="s">
        <v>274</v>
      </c>
      <c r="AR201" t="s">
        <v>274</v>
      </c>
      <c r="AS201" t="s">
        <v>274</v>
      </c>
      <c r="AT201" t="s">
        <v>274</v>
      </c>
      <c r="AU201" t="s">
        <v>274</v>
      </c>
      <c r="AV201" t="s">
        <v>274</v>
      </c>
      <c r="AW201" t="s">
        <v>274</v>
      </c>
      <c r="AX201" t="s">
        <v>274</v>
      </c>
      <c r="AY201" t="s">
        <v>274</v>
      </c>
      <c r="AZ201" t="s">
        <v>274</v>
      </c>
      <c r="BA201" t="s">
        <v>274</v>
      </c>
      <c r="BB201" t="s">
        <v>274</v>
      </c>
      <c r="BC201" t="s">
        <v>274</v>
      </c>
      <c r="BD201" t="s">
        <v>274</v>
      </c>
      <c r="BE201" t="s">
        <v>274</v>
      </c>
      <c r="BF201" t="s">
        <v>274</v>
      </c>
      <c r="BG201" t="s">
        <v>274</v>
      </c>
      <c r="BH201" t="s">
        <v>274</v>
      </c>
      <c r="BI201" t="s">
        <v>274</v>
      </c>
      <c r="BJ201" t="s">
        <v>274</v>
      </c>
      <c r="BK201" t="s">
        <v>274</v>
      </c>
      <c r="BL201" t="s">
        <v>274</v>
      </c>
      <c r="BM201" t="s">
        <v>274</v>
      </c>
      <c r="BN201" t="s">
        <v>274</v>
      </c>
      <c r="BO201" t="s">
        <v>274</v>
      </c>
      <c r="BP201" t="s">
        <v>274</v>
      </c>
      <c r="BQ201" t="s">
        <v>274</v>
      </c>
      <c r="BR201" t="s">
        <v>274</v>
      </c>
    </row>
    <row r="202" spans="1:70" x14ac:dyDescent="0.3">
      <c r="A202" t="s">
        <v>150</v>
      </c>
      <c r="B202" t="s">
        <v>3559</v>
      </c>
      <c r="C202" t="s">
        <v>578</v>
      </c>
      <c r="D202" t="s">
        <v>579</v>
      </c>
      <c r="E202" t="s">
        <v>274</v>
      </c>
      <c r="F202" t="s">
        <v>274</v>
      </c>
      <c r="G202" t="s">
        <v>274</v>
      </c>
      <c r="H202" t="s">
        <v>274</v>
      </c>
      <c r="I202" t="s">
        <v>274</v>
      </c>
      <c r="J202" t="s">
        <v>274</v>
      </c>
      <c r="K202" t="s">
        <v>274</v>
      </c>
      <c r="L202" t="s">
        <v>274</v>
      </c>
      <c r="M202" t="s">
        <v>274</v>
      </c>
      <c r="N202" t="s">
        <v>274</v>
      </c>
      <c r="O202" t="s">
        <v>274</v>
      </c>
      <c r="P202" t="s">
        <v>274</v>
      </c>
      <c r="Q202" t="s">
        <v>274</v>
      </c>
      <c r="R202" t="s">
        <v>274</v>
      </c>
      <c r="S202" t="s">
        <v>274</v>
      </c>
      <c r="T202" t="s">
        <v>274</v>
      </c>
      <c r="U202" t="s">
        <v>274</v>
      </c>
      <c r="V202" t="s">
        <v>274</v>
      </c>
      <c r="W202" t="s">
        <v>274</v>
      </c>
      <c r="X202" t="s">
        <v>274</v>
      </c>
      <c r="Y202" t="s">
        <v>274</v>
      </c>
      <c r="Z202" t="s">
        <v>274</v>
      </c>
      <c r="AA202" t="s">
        <v>274</v>
      </c>
      <c r="AB202" t="s">
        <v>274</v>
      </c>
      <c r="AC202" t="s">
        <v>274</v>
      </c>
      <c r="AD202" t="s">
        <v>274</v>
      </c>
      <c r="AE202" t="s">
        <v>274</v>
      </c>
      <c r="AF202" t="s">
        <v>274</v>
      </c>
      <c r="AG202" s="14" t="s">
        <v>274</v>
      </c>
      <c r="AH202" t="s">
        <v>274</v>
      </c>
      <c r="AI202" t="s">
        <v>274</v>
      </c>
      <c r="AJ202" t="s">
        <v>274</v>
      </c>
      <c r="AK202" t="s">
        <v>274</v>
      </c>
      <c r="AL202" t="s">
        <v>274</v>
      </c>
      <c r="AM202" t="s">
        <v>3560</v>
      </c>
      <c r="AN202" t="s">
        <v>3561</v>
      </c>
      <c r="AO202" t="s">
        <v>3562</v>
      </c>
      <c r="AP202" t="s">
        <v>3563</v>
      </c>
      <c r="AQ202" t="s">
        <v>3564</v>
      </c>
      <c r="AR202" t="s">
        <v>3565</v>
      </c>
      <c r="AS202" t="s">
        <v>3566</v>
      </c>
      <c r="AT202" t="s">
        <v>3567</v>
      </c>
      <c r="AU202" t="s">
        <v>3568</v>
      </c>
      <c r="AV202" t="s">
        <v>3569</v>
      </c>
      <c r="AW202" t="s">
        <v>3570</v>
      </c>
      <c r="AX202" t="s">
        <v>3571</v>
      </c>
      <c r="AY202" t="s">
        <v>3572</v>
      </c>
      <c r="AZ202" t="s">
        <v>3573</v>
      </c>
      <c r="BA202" t="s">
        <v>3574</v>
      </c>
      <c r="BB202" t="s">
        <v>3575</v>
      </c>
      <c r="BC202" t="s">
        <v>3576</v>
      </c>
      <c r="BD202" t="s">
        <v>3577</v>
      </c>
      <c r="BE202" t="s">
        <v>3578</v>
      </c>
      <c r="BF202" t="s">
        <v>3579</v>
      </c>
      <c r="BG202" t="s">
        <v>3580</v>
      </c>
      <c r="BH202" t="s">
        <v>3581</v>
      </c>
      <c r="BI202" t="s">
        <v>3582</v>
      </c>
      <c r="BJ202" t="s">
        <v>3583</v>
      </c>
      <c r="BK202" t="s">
        <v>3584</v>
      </c>
      <c r="BL202" t="s">
        <v>3585</v>
      </c>
      <c r="BM202" t="s">
        <v>3586</v>
      </c>
      <c r="BN202" t="s">
        <v>3587</v>
      </c>
      <c r="BO202" t="s">
        <v>274</v>
      </c>
      <c r="BP202" t="s">
        <v>274</v>
      </c>
      <c r="BQ202" t="s">
        <v>274</v>
      </c>
      <c r="BR202" t="s">
        <v>274</v>
      </c>
    </row>
    <row r="203" spans="1:70" x14ac:dyDescent="0.3">
      <c r="A203" t="s">
        <v>3588</v>
      </c>
      <c r="B203" t="s">
        <v>3589</v>
      </c>
      <c r="C203" t="s">
        <v>578</v>
      </c>
      <c r="D203" t="s">
        <v>579</v>
      </c>
      <c r="E203" t="s">
        <v>274</v>
      </c>
      <c r="F203" t="s">
        <v>274</v>
      </c>
      <c r="G203" t="s">
        <v>274</v>
      </c>
      <c r="H203" t="s">
        <v>274</v>
      </c>
      <c r="I203" t="s">
        <v>274</v>
      </c>
      <c r="J203" t="s">
        <v>274</v>
      </c>
      <c r="K203" t="s">
        <v>274</v>
      </c>
      <c r="L203" t="s">
        <v>274</v>
      </c>
      <c r="M203" t="s">
        <v>274</v>
      </c>
      <c r="N203" t="s">
        <v>274</v>
      </c>
      <c r="O203" t="s">
        <v>274</v>
      </c>
      <c r="P203" t="s">
        <v>274</v>
      </c>
      <c r="Q203" t="s">
        <v>274</v>
      </c>
      <c r="R203" t="s">
        <v>274</v>
      </c>
      <c r="S203" t="s">
        <v>274</v>
      </c>
      <c r="T203" t="s">
        <v>274</v>
      </c>
      <c r="U203" t="s">
        <v>274</v>
      </c>
      <c r="V203" t="s">
        <v>274</v>
      </c>
      <c r="W203" t="s">
        <v>274</v>
      </c>
      <c r="X203" t="s">
        <v>274</v>
      </c>
      <c r="Y203" t="s">
        <v>274</v>
      </c>
      <c r="Z203" t="s">
        <v>274</v>
      </c>
      <c r="AA203" t="s">
        <v>274</v>
      </c>
      <c r="AB203" t="s">
        <v>274</v>
      </c>
      <c r="AC203" t="s">
        <v>274</v>
      </c>
      <c r="AD203" t="s">
        <v>274</v>
      </c>
      <c r="AE203" t="s">
        <v>274</v>
      </c>
      <c r="AF203" t="s">
        <v>274</v>
      </c>
      <c r="AG203" s="14" t="s">
        <v>274</v>
      </c>
      <c r="AH203" t="s">
        <v>274</v>
      </c>
      <c r="AI203" t="s">
        <v>274</v>
      </c>
      <c r="AJ203" t="s">
        <v>274</v>
      </c>
      <c r="AK203" t="s">
        <v>274</v>
      </c>
      <c r="AL203" t="s">
        <v>274</v>
      </c>
      <c r="AM203" t="s">
        <v>274</v>
      </c>
      <c r="AN203" t="s">
        <v>274</v>
      </c>
      <c r="AO203" t="s">
        <v>274</v>
      </c>
      <c r="AP203" t="s">
        <v>274</v>
      </c>
      <c r="AQ203" t="s">
        <v>274</v>
      </c>
      <c r="AR203" t="s">
        <v>274</v>
      </c>
      <c r="AS203" t="s">
        <v>274</v>
      </c>
      <c r="AT203" t="s">
        <v>274</v>
      </c>
      <c r="AU203" t="s">
        <v>274</v>
      </c>
      <c r="AV203" t="s">
        <v>274</v>
      </c>
      <c r="AW203" t="s">
        <v>3590</v>
      </c>
      <c r="AX203" t="s">
        <v>3591</v>
      </c>
      <c r="AY203" t="s">
        <v>3592</v>
      </c>
      <c r="AZ203" t="s">
        <v>3593</v>
      </c>
      <c r="BA203" t="s">
        <v>3594</v>
      </c>
      <c r="BB203" t="s">
        <v>3595</v>
      </c>
      <c r="BC203" t="s">
        <v>3596</v>
      </c>
      <c r="BD203" t="s">
        <v>3597</v>
      </c>
      <c r="BE203" t="s">
        <v>3598</v>
      </c>
      <c r="BF203" t="s">
        <v>3599</v>
      </c>
      <c r="BG203" t="s">
        <v>3600</v>
      </c>
      <c r="BH203" t="s">
        <v>3601</v>
      </c>
      <c r="BI203" t="s">
        <v>3602</v>
      </c>
      <c r="BJ203" t="s">
        <v>3603</v>
      </c>
      <c r="BK203" t="s">
        <v>3604</v>
      </c>
      <c r="BL203" t="s">
        <v>3605</v>
      </c>
      <c r="BM203" t="s">
        <v>3606</v>
      </c>
      <c r="BN203" t="s">
        <v>3607</v>
      </c>
      <c r="BO203" t="s">
        <v>274</v>
      </c>
      <c r="BP203" t="s">
        <v>274</v>
      </c>
      <c r="BQ203" t="s">
        <v>274</v>
      </c>
      <c r="BR203" t="s">
        <v>274</v>
      </c>
    </row>
    <row r="204" spans="1:70" x14ac:dyDescent="0.3">
      <c r="A204" t="s">
        <v>3608</v>
      </c>
      <c r="B204" t="s">
        <v>3609</v>
      </c>
      <c r="C204" t="s">
        <v>578</v>
      </c>
      <c r="D204" t="s">
        <v>579</v>
      </c>
      <c r="E204" t="s">
        <v>274</v>
      </c>
      <c r="F204" t="s">
        <v>274</v>
      </c>
      <c r="G204" t="s">
        <v>274</v>
      </c>
      <c r="H204" t="s">
        <v>274</v>
      </c>
      <c r="I204" t="s">
        <v>274</v>
      </c>
      <c r="J204" t="s">
        <v>274</v>
      </c>
      <c r="K204" t="s">
        <v>274</v>
      </c>
      <c r="L204" t="s">
        <v>274</v>
      </c>
      <c r="M204" t="s">
        <v>274</v>
      </c>
      <c r="N204" t="s">
        <v>274</v>
      </c>
      <c r="O204" t="s">
        <v>274</v>
      </c>
      <c r="P204" t="s">
        <v>274</v>
      </c>
      <c r="Q204" t="s">
        <v>274</v>
      </c>
      <c r="R204" t="s">
        <v>274</v>
      </c>
      <c r="S204" t="s">
        <v>274</v>
      </c>
      <c r="T204" t="s">
        <v>274</v>
      </c>
      <c r="U204" t="s">
        <v>274</v>
      </c>
      <c r="V204" t="s">
        <v>274</v>
      </c>
      <c r="W204" t="s">
        <v>274</v>
      </c>
      <c r="X204" t="s">
        <v>274</v>
      </c>
      <c r="Y204" t="s">
        <v>274</v>
      </c>
      <c r="Z204" t="s">
        <v>274</v>
      </c>
      <c r="AA204" t="s">
        <v>274</v>
      </c>
      <c r="AB204" t="s">
        <v>274</v>
      </c>
      <c r="AC204" t="s">
        <v>274</v>
      </c>
      <c r="AD204" t="s">
        <v>274</v>
      </c>
      <c r="AE204" t="s">
        <v>274</v>
      </c>
      <c r="AF204" t="s">
        <v>274</v>
      </c>
      <c r="AG204" s="14" t="s">
        <v>274</v>
      </c>
      <c r="AH204" t="s">
        <v>274</v>
      </c>
      <c r="AI204" t="s">
        <v>274</v>
      </c>
      <c r="AJ204" t="s">
        <v>274</v>
      </c>
      <c r="AK204" t="s">
        <v>274</v>
      </c>
      <c r="AL204" t="s">
        <v>274</v>
      </c>
      <c r="AM204" t="s">
        <v>274</v>
      </c>
      <c r="AN204" t="s">
        <v>274</v>
      </c>
      <c r="AO204" t="s">
        <v>274</v>
      </c>
      <c r="AP204" t="s">
        <v>274</v>
      </c>
      <c r="AQ204" t="s">
        <v>274</v>
      </c>
      <c r="AR204" t="s">
        <v>274</v>
      </c>
      <c r="AS204" t="s">
        <v>274</v>
      </c>
      <c r="AT204" t="s">
        <v>274</v>
      </c>
      <c r="AU204" t="s">
        <v>274</v>
      </c>
      <c r="AV204" t="s">
        <v>274</v>
      </c>
      <c r="AW204" t="s">
        <v>274</v>
      </c>
      <c r="AX204" t="s">
        <v>274</v>
      </c>
      <c r="AY204" t="s">
        <v>274</v>
      </c>
      <c r="AZ204" t="s">
        <v>274</v>
      </c>
      <c r="BA204" t="s">
        <v>274</v>
      </c>
      <c r="BB204" t="s">
        <v>274</v>
      </c>
      <c r="BC204" t="s">
        <v>274</v>
      </c>
      <c r="BD204" t="s">
        <v>274</v>
      </c>
      <c r="BE204" t="s">
        <v>274</v>
      </c>
      <c r="BF204" t="s">
        <v>274</v>
      </c>
      <c r="BG204" t="s">
        <v>274</v>
      </c>
      <c r="BH204" t="s">
        <v>274</v>
      </c>
      <c r="BI204" t="s">
        <v>274</v>
      </c>
      <c r="BJ204" t="s">
        <v>274</v>
      </c>
      <c r="BK204" t="s">
        <v>274</v>
      </c>
      <c r="BL204" t="s">
        <v>274</v>
      </c>
      <c r="BM204" t="s">
        <v>274</v>
      </c>
      <c r="BN204" t="s">
        <v>274</v>
      </c>
      <c r="BO204" t="s">
        <v>274</v>
      </c>
      <c r="BP204" t="s">
        <v>274</v>
      </c>
      <c r="BQ204" t="s">
        <v>274</v>
      </c>
      <c r="BR204" t="s">
        <v>274</v>
      </c>
    </row>
    <row r="205" spans="1:70" x14ac:dyDescent="0.3">
      <c r="A205" t="s">
        <v>3610</v>
      </c>
      <c r="B205" t="s">
        <v>3611</v>
      </c>
      <c r="C205" t="s">
        <v>578</v>
      </c>
      <c r="D205" t="s">
        <v>579</v>
      </c>
      <c r="E205" t="s">
        <v>274</v>
      </c>
      <c r="F205" t="s">
        <v>274</v>
      </c>
      <c r="G205" t="s">
        <v>274</v>
      </c>
      <c r="H205" t="s">
        <v>274</v>
      </c>
      <c r="I205" t="s">
        <v>274</v>
      </c>
      <c r="J205" t="s">
        <v>274</v>
      </c>
      <c r="K205" t="s">
        <v>274</v>
      </c>
      <c r="L205" t="s">
        <v>274</v>
      </c>
      <c r="M205" t="s">
        <v>274</v>
      </c>
      <c r="N205" t="s">
        <v>274</v>
      </c>
      <c r="O205" t="s">
        <v>274</v>
      </c>
      <c r="P205" t="s">
        <v>274</v>
      </c>
      <c r="Q205" t="s">
        <v>274</v>
      </c>
      <c r="R205" t="s">
        <v>274</v>
      </c>
      <c r="S205" t="s">
        <v>274</v>
      </c>
      <c r="T205" t="s">
        <v>274</v>
      </c>
      <c r="U205" t="s">
        <v>274</v>
      </c>
      <c r="V205" t="s">
        <v>274</v>
      </c>
      <c r="W205" t="s">
        <v>274</v>
      </c>
      <c r="X205" t="s">
        <v>274</v>
      </c>
      <c r="Y205" t="s">
        <v>274</v>
      </c>
      <c r="Z205" t="s">
        <v>274</v>
      </c>
      <c r="AA205" t="s">
        <v>274</v>
      </c>
      <c r="AB205" t="s">
        <v>274</v>
      </c>
      <c r="AC205" t="s">
        <v>274</v>
      </c>
      <c r="AD205" t="s">
        <v>274</v>
      </c>
      <c r="AE205" t="s">
        <v>274</v>
      </c>
      <c r="AF205" t="s">
        <v>274</v>
      </c>
      <c r="AG205" s="14" t="s">
        <v>274</v>
      </c>
      <c r="AH205" t="s">
        <v>274</v>
      </c>
      <c r="AI205" t="s">
        <v>274</v>
      </c>
      <c r="AJ205" t="s">
        <v>274</v>
      </c>
      <c r="AK205" t="s">
        <v>274</v>
      </c>
      <c r="AL205" t="s">
        <v>274</v>
      </c>
      <c r="AM205" t="s">
        <v>274</v>
      </c>
      <c r="AN205" t="s">
        <v>274</v>
      </c>
      <c r="AO205" t="s">
        <v>274</v>
      </c>
      <c r="AP205" t="s">
        <v>274</v>
      </c>
      <c r="AQ205" t="s">
        <v>274</v>
      </c>
      <c r="AR205" t="s">
        <v>274</v>
      </c>
      <c r="AS205" t="s">
        <v>274</v>
      </c>
      <c r="AT205" t="s">
        <v>274</v>
      </c>
      <c r="AU205" t="s">
        <v>274</v>
      </c>
      <c r="AV205" t="s">
        <v>274</v>
      </c>
      <c r="AW205" t="s">
        <v>274</v>
      </c>
      <c r="AX205" t="s">
        <v>274</v>
      </c>
      <c r="AY205" t="s">
        <v>274</v>
      </c>
      <c r="AZ205" t="s">
        <v>274</v>
      </c>
      <c r="BA205" t="s">
        <v>274</v>
      </c>
      <c r="BB205" t="s">
        <v>274</v>
      </c>
      <c r="BC205" t="s">
        <v>274</v>
      </c>
      <c r="BD205" t="s">
        <v>274</v>
      </c>
      <c r="BE205" t="s">
        <v>274</v>
      </c>
      <c r="BF205" t="s">
        <v>274</v>
      </c>
      <c r="BG205" t="s">
        <v>274</v>
      </c>
      <c r="BH205" t="s">
        <v>274</v>
      </c>
      <c r="BI205" t="s">
        <v>274</v>
      </c>
      <c r="BJ205" t="s">
        <v>274</v>
      </c>
      <c r="BK205" t="s">
        <v>274</v>
      </c>
      <c r="BL205" t="s">
        <v>274</v>
      </c>
      <c r="BM205" t="s">
        <v>274</v>
      </c>
      <c r="BN205" t="s">
        <v>274</v>
      </c>
      <c r="BO205" t="s">
        <v>274</v>
      </c>
      <c r="BP205" t="s">
        <v>274</v>
      </c>
      <c r="BQ205" t="s">
        <v>274</v>
      </c>
      <c r="BR205" t="s">
        <v>274</v>
      </c>
    </row>
    <row r="206" spans="1:70" x14ac:dyDescent="0.3">
      <c r="A206" t="s">
        <v>3612</v>
      </c>
      <c r="B206" t="s">
        <v>3613</v>
      </c>
      <c r="C206" t="s">
        <v>578</v>
      </c>
      <c r="D206" t="s">
        <v>579</v>
      </c>
      <c r="E206" t="s">
        <v>274</v>
      </c>
      <c r="F206" t="s">
        <v>274</v>
      </c>
      <c r="G206" t="s">
        <v>274</v>
      </c>
      <c r="H206" t="s">
        <v>274</v>
      </c>
      <c r="I206" t="s">
        <v>274</v>
      </c>
      <c r="J206" t="s">
        <v>274</v>
      </c>
      <c r="K206" t="s">
        <v>274</v>
      </c>
      <c r="L206" t="s">
        <v>274</v>
      </c>
      <c r="M206" t="s">
        <v>274</v>
      </c>
      <c r="N206" t="s">
        <v>274</v>
      </c>
      <c r="O206" t="s">
        <v>274</v>
      </c>
      <c r="P206" t="s">
        <v>274</v>
      </c>
      <c r="Q206" t="s">
        <v>274</v>
      </c>
      <c r="R206" t="s">
        <v>274</v>
      </c>
      <c r="S206" t="s">
        <v>274</v>
      </c>
      <c r="T206" t="s">
        <v>274</v>
      </c>
      <c r="U206" t="s">
        <v>274</v>
      </c>
      <c r="V206" t="s">
        <v>274</v>
      </c>
      <c r="W206" t="s">
        <v>274</v>
      </c>
      <c r="X206" t="s">
        <v>274</v>
      </c>
      <c r="Y206" t="s">
        <v>274</v>
      </c>
      <c r="Z206" t="s">
        <v>274</v>
      </c>
      <c r="AA206" t="s">
        <v>274</v>
      </c>
      <c r="AB206" t="s">
        <v>274</v>
      </c>
      <c r="AC206" t="s">
        <v>274</v>
      </c>
      <c r="AD206" t="s">
        <v>274</v>
      </c>
      <c r="AE206" t="s">
        <v>274</v>
      </c>
      <c r="AF206" t="s">
        <v>274</v>
      </c>
      <c r="AG206" s="14" t="s">
        <v>274</v>
      </c>
      <c r="AH206" t="s">
        <v>274</v>
      </c>
      <c r="AI206" t="s">
        <v>274</v>
      </c>
      <c r="AJ206" t="s">
        <v>274</v>
      </c>
      <c r="AK206" t="s">
        <v>274</v>
      </c>
      <c r="AL206" t="s">
        <v>274</v>
      </c>
      <c r="AM206" t="s">
        <v>274</v>
      </c>
      <c r="AN206" t="s">
        <v>274</v>
      </c>
      <c r="AO206" t="s">
        <v>274</v>
      </c>
      <c r="AP206" t="s">
        <v>274</v>
      </c>
      <c r="AQ206" t="s">
        <v>274</v>
      </c>
      <c r="AR206" t="s">
        <v>274</v>
      </c>
      <c r="AS206" t="s">
        <v>274</v>
      </c>
      <c r="AT206" t="s">
        <v>274</v>
      </c>
      <c r="AU206" t="s">
        <v>274</v>
      </c>
      <c r="AV206" t="s">
        <v>274</v>
      </c>
      <c r="AW206" t="s">
        <v>274</v>
      </c>
      <c r="AX206" t="s">
        <v>274</v>
      </c>
      <c r="AY206" t="s">
        <v>274</v>
      </c>
      <c r="AZ206" t="s">
        <v>274</v>
      </c>
      <c r="BA206" t="s">
        <v>274</v>
      </c>
      <c r="BB206" t="s">
        <v>274</v>
      </c>
      <c r="BC206" t="s">
        <v>274</v>
      </c>
      <c r="BD206" t="s">
        <v>274</v>
      </c>
      <c r="BE206" t="s">
        <v>274</v>
      </c>
      <c r="BF206" t="s">
        <v>274</v>
      </c>
      <c r="BG206" t="s">
        <v>274</v>
      </c>
      <c r="BH206" t="s">
        <v>274</v>
      </c>
      <c r="BI206" t="s">
        <v>274</v>
      </c>
      <c r="BJ206" t="s">
        <v>274</v>
      </c>
      <c r="BK206" t="s">
        <v>274</v>
      </c>
      <c r="BL206" t="s">
        <v>274</v>
      </c>
      <c r="BM206" t="s">
        <v>274</v>
      </c>
      <c r="BN206" t="s">
        <v>274</v>
      </c>
      <c r="BO206" t="s">
        <v>274</v>
      </c>
      <c r="BP206" t="s">
        <v>274</v>
      </c>
      <c r="BQ206" t="s">
        <v>274</v>
      </c>
      <c r="BR206" t="s">
        <v>274</v>
      </c>
    </row>
    <row r="207" spans="1:70" x14ac:dyDescent="0.3">
      <c r="A207" t="s">
        <v>151</v>
      </c>
      <c r="B207" t="s">
        <v>3614</v>
      </c>
      <c r="C207" t="s">
        <v>578</v>
      </c>
      <c r="D207" t="s">
        <v>579</v>
      </c>
      <c r="E207" t="s">
        <v>274</v>
      </c>
      <c r="F207" t="s">
        <v>274</v>
      </c>
      <c r="G207" t="s">
        <v>274</v>
      </c>
      <c r="H207" t="s">
        <v>274</v>
      </c>
      <c r="I207" t="s">
        <v>274</v>
      </c>
      <c r="J207" t="s">
        <v>274</v>
      </c>
      <c r="K207" t="s">
        <v>274</v>
      </c>
      <c r="L207" t="s">
        <v>274</v>
      </c>
      <c r="M207" t="s">
        <v>274</v>
      </c>
      <c r="N207" t="s">
        <v>274</v>
      </c>
      <c r="O207" t="s">
        <v>274</v>
      </c>
      <c r="P207" t="s">
        <v>274</v>
      </c>
      <c r="Q207" t="s">
        <v>274</v>
      </c>
      <c r="R207" t="s">
        <v>274</v>
      </c>
      <c r="S207" t="s">
        <v>274</v>
      </c>
      <c r="T207" t="s">
        <v>274</v>
      </c>
      <c r="U207" t="s">
        <v>274</v>
      </c>
      <c r="V207" t="s">
        <v>274</v>
      </c>
      <c r="W207" t="s">
        <v>274</v>
      </c>
      <c r="X207" t="s">
        <v>597</v>
      </c>
      <c r="Y207" t="s">
        <v>594</v>
      </c>
      <c r="Z207" t="s">
        <v>594</v>
      </c>
      <c r="AA207" t="s">
        <v>594</v>
      </c>
      <c r="AB207" t="s">
        <v>594</v>
      </c>
      <c r="AC207" t="s">
        <v>594</v>
      </c>
      <c r="AD207" t="s">
        <v>594</v>
      </c>
      <c r="AE207" t="s">
        <v>594</v>
      </c>
      <c r="AF207" t="s">
        <v>594</v>
      </c>
      <c r="AG207" s="14" t="s">
        <v>594</v>
      </c>
      <c r="AH207" t="s">
        <v>594</v>
      </c>
      <c r="AI207" t="s">
        <v>594</v>
      </c>
      <c r="AJ207" t="s">
        <v>594</v>
      </c>
      <c r="AK207" t="s">
        <v>1653</v>
      </c>
      <c r="AL207" t="s">
        <v>3615</v>
      </c>
      <c r="AM207" t="s">
        <v>3616</v>
      </c>
      <c r="AN207" t="s">
        <v>3617</v>
      </c>
      <c r="AO207" t="s">
        <v>274</v>
      </c>
      <c r="AP207" t="s">
        <v>274</v>
      </c>
      <c r="AQ207" t="s">
        <v>274</v>
      </c>
      <c r="AR207" t="s">
        <v>274</v>
      </c>
      <c r="AS207" t="s">
        <v>274</v>
      </c>
      <c r="AT207" t="s">
        <v>274</v>
      </c>
      <c r="AU207" t="s">
        <v>274</v>
      </c>
      <c r="AV207" t="s">
        <v>274</v>
      </c>
      <c r="AW207" t="s">
        <v>3618</v>
      </c>
      <c r="AX207" t="s">
        <v>3619</v>
      </c>
      <c r="AY207" t="s">
        <v>3620</v>
      </c>
      <c r="AZ207" t="s">
        <v>3621</v>
      </c>
      <c r="BA207" t="s">
        <v>3622</v>
      </c>
      <c r="BB207" t="s">
        <v>3623</v>
      </c>
      <c r="BC207" t="s">
        <v>3624</v>
      </c>
      <c r="BD207" t="s">
        <v>3625</v>
      </c>
      <c r="BE207" t="s">
        <v>3626</v>
      </c>
      <c r="BF207" t="s">
        <v>3627</v>
      </c>
      <c r="BG207" t="s">
        <v>3628</v>
      </c>
      <c r="BH207" t="s">
        <v>3629</v>
      </c>
      <c r="BI207" t="s">
        <v>3630</v>
      </c>
      <c r="BJ207" t="s">
        <v>3631</v>
      </c>
      <c r="BK207" t="s">
        <v>3632</v>
      </c>
      <c r="BL207" t="s">
        <v>3633</v>
      </c>
      <c r="BM207" t="s">
        <v>3634</v>
      </c>
      <c r="BN207" t="s">
        <v>3635</v>
      </c>
      <c r="BO207" t="s">
        <v>3636</v>
      </c>
      <c r="BP207" t="s">
        <v>3637</v>
      </c>
      <c r="BQ207" t="s">
        <v>3638</v>
      </c>
      <c r="BR207" t="s">
        <v>274</v>
      </c>
    </row>
    <row r="208" spans="1:70" x14ac:dyDescent="0.3">
      <c r="A208" t="s">
        <v>152</v>
      </c>
      <c r="B208" t="s">
        <v>3639</v>
      </c>
      <c r="C208" t="s">
        <v>578</v>
      </c>
      <c r="D208" t="s">
        <v>579</v>
      </c>
      <c r="E208" t="s">
        <v>274</v>
      </c>
      <c r="F208" t="s">
        <v>274</v>
      </c>
      <c r="G208" t="s">
        <v>274</v>
      </c>
      <c r="H208" t="s">
        <v>274</v>
      </c>
      <c r="I208" t="s">
        <v>274</v>
      </c>
      <c r="J208" t="s">
        <v>274</v>
      </c>
      <c r="K208" t="s">
        <v>274</v>
      </c>
      <c r="L208" t="s">
        <v>274</v>
      </c>
      <c r="M208" t="s">
        <v>274</v>
      </c>
      <c r="N208" t="s">
        <v>274</v>
      </c>
      <c r="O208" t="s">
        <v>274</v>
      </c>
      <c r="P208" t="s">
        <v>274</v>
      </c>
      <c r="Q208" t="s">
        <v>274</v>
      </c>
      <c r="R208" t="s">
        <v>274</v>
      </c>
      <c r="S208" t="s">
        <v>274</v>
      </c>
      <c r="T208" t="s">
        <v>274</v>
      </c>
      <c r="U208" t="s">
        <v>274</v>
      </c>
      <c r="V208" t="s">
        <v>274</v>
      </c>
      <c r="W208" t="s">
        <v>274</v>
      </c>
      <c r="X208" t="s">
        <v>274</v>
      </c>
      <c r="Y208" t="s">
        <v>274</v>
      </c>
      <c r="Z208" t="s">
        <v>274</v>
      </c>
      <c r="AA208" t="s">
        <v>274</v>
      </c>
      <c r="AB208" t="s">
        <v>274</v>
      </c>
      <c r="AC208" t="s">
        <v>274</v>
      </c>
      <c r="AD208" t="s">
        <v>274</v>
      </c>
      <c r="AE208" t="s">
        <v>274</v>
      </c>
      <c r="AF208" t="s">
        <v>274</v>
      </c>
      <c r="AG208" s="14" t="s">
        <v>274</v>
      </c>
      <c r="AH208" t="s">
        <v>274</v>
      </c>
      <c r="AI208" t="s">
        <v>274</v>
      </c>
      <c r="AJ208" t="s">
        <v>274</v>
      </c>
      <c r="AK208" t="s">
        <v>274</v>
      </c>
      <c r="AL208" t="s">
        <v>3640</v>
      </c>
      <c r="AM208" t="s">
        <v>3641</v>
      </c>
      <c r="AN208" t="s">
        <v>3642</v>
      </c>
      <c r="AO208" t="s">
        <v>3643</v>
      </c>
      <c r="AP208" t="s">
        <v>3644</v>
      </c>
      <c r="AQ208" t="s">
        <v>3645</v>
      </c>
      <c r="AR208" t="s">
        <v>3646</v>
      </c>
      <c r="AS208" t="s">
        <v>3647</v>
      </c>
      <c r="AT208" t="s">
        <v>3648</v>
      </c>
      <c r="AU208" t="s">
        <v>3649</v>
      </c>
      <c r="AV208" t="s">
        <v>3650</v>
      </c>
      <c r="AW208" t="s">
        <v>3651</v>
      </c>
      <c r="AX208" t="s">
        <v>3652</v>
      </c>
      <c r="AY208" t="s">
        <v>3653</v>
      </c>
      <c r="AZ208" t="s">
        <v>3654</v>
      </c>
      <c r="BA208" t="s">
        <v>3655</v>
      </c>
      <c r="BB208" t="s">
        <v>3656</v>
      </c>
      <c r="BC208" t="s">
        <v>3657</v>
      </c>
      <c r="BD208" t="s">
        <v>3658</v>
      </c>
      <c r="BE208" t="s">
        <v>3659</v>
      </c>
      <c r="BF208" t="s">
        <v>3660</v>
      </c>
      <c r="BG208" t="s">
        <v>3661</v>
      </c>
      <c r="BH208" t="s">
        <v>3662</v>
      </c>
      <c r="BI208" t="s">
        <v>3663</v>
      </c>
      <c r="BJ208" t="s">
        <v>3664</v>
      </c>
      <c r="BK208" t="s">
        <v>3665</v>
      </c>
      <c r="BL208" t="s">
        <v>3666</v>
      </c>
      <c r="BM208" t="s">
        <v>3667</v>
      </c>
      <c r="BN208" t="s">
        <v>3668</v>
      </c>
      <c r="BO208" t="s">
        <v>3669</v>
      </c>
      <c r="BP208" t="s">
        <v>3670</v>
      </c>
      <c r="BQ208" t="s">
        <v>3671</v>
      </c>
      <c r="BR208" t="s">
        <v>274</v>
      </c>
    </row>
    <row r="209" spans="1:70" x14ac:dyDescent="0.3">
      <c r="A209" t="s">
        <v>153</v>
      </c>
      <c r="B209" t="s">
        <v>3672</v>
      </c>
      <c r="C209" t="s">
        <v>578</v>
      </c>
      <c r="D209" t="s">
        <v>579</v>
      </c>
      <c r="E209" t="s">
        <v>274</v>
      </c>
      <c r="F209" t="s">
        <v>274</v>
      </c>
      <c r="G209" t="s">
        <v>274</v>
      </c>
      <c r="H209" t="s">
        <v>274</v>
      </c>
      <c r="I209" t="s">
        <v>274</v>
      </c>
      <c r="J209" t="s">
        <v>274</v>
      </c>
      <c r="K209" t="s">
        <v>274</v>
      </c>
      <c r="L209" t="s">
        <v>274</v>
      </c>
      <c r="M209" t="s">
        <v>274</v>
      </c>
      <c r="N209" t="s">
        <v>274</v>
      </c>
      <c r="O209" t="s">
        <v>274</v>
      </c>
      <c r="P209" t="s">
        <v>274</v>
      </c>
      <c r="Q209" t="s">
        <v>274</v>
      </c>
      <c r="R209" t="s">
        <v>274</v>
      </c>
      <c r="S209" t="s">
        <v>274</v>
      </c>
      <c r="T209" t="s">
        <v>274</v>
      </c>
      <c r="U209" t="s">
        <v>274</v>
      </c>
      <c r="V209" t="s">
        <v>274</v>
      </c>
      <c r="W209" t="s">
        <v>274</v>
      </c>
      <c r="X209" t="s">
        <v>274</v>
      </c>
      <c r="Y209" t="s">
        <v>274</v>
      </c>
      <c r="Z209" t="s">
        <v>274</v>
      </c>
      <c r="AA209" t="s">
        <v>274</v>
      </c>
      <c r="AB209" t="s">
        <v>274</v>
      </c>
      <c r="AC209" t="s">
        <v>274</v>
      </c>
      <c r="AD209" t="s">
        <v>274</v>
      </c>
      <c r="AE209" t="s">
        <v>274</v>
      </c>
      <c r="AF209" t="s">
        <v>274</v>
      </c>
      <c r="AG209" s="14" t="s">
        <v>274</v>
      </c>
      <c r="AH209" t="s">
        <v>274</v>
      </c>
      <c r="AI209" t="s">
        <v>274</v>
      </c>
      <c r="AJ209" t="s">
        <v>274</v>
      </c>
      <c r="AK209" t="s">
        <v>274</v>
      </c>
      <c r="AL209" t="s">
        <v>274</v>
      </c>
      <c r="AM209" t="s">
        <v>274</v>
      </c>
      <c r="AN209" t="s">
        <v>274</v>
      </c>
      <c r="AO209" t="s">
        <v>274</v>
      </c>
      <c r="AP209" t="s">
        <v>3673</v>
      </c>
      <c r="AQ209" t="s">
        <v>3674</v>
      </c>
      <c r="AR209" t="s">
        <v>3675</v>
      </c>
      <c r="AS209" t="s">
        <v>3676</v>
      </c>
      <c r="AT209" t="s">
        <v>3677</v>
      </c>
      <c r="AU209" t="s">
        <v>1762</v>
      </c>
      <c r="AV209" t="s">
        <v>3678</v>
      </c>
      <c r="AW209" t="s">
        <v>1716</v>
      </c>
      <c r="AX209" t="s">
        <v>3679</v>
      </c>
      <c r="AY209" t="s">
        <v>3680</v>
      </c>
      <c r="AZ209" t="s">
        <v>1222</v>
      </c>
      <c r="BA209" t="s">
        <v>3681</v>
      </c>
      <c r="BB209" t="s">
        <v>3682</v>
      </c>
      <c r="BC209" t="s">
        <v>3683</v>
      </c>
      <c r="BD209" t="s">
        <v>3684</v>
      </c>
      <c r="BE209" t="s">
        <v>3685</v>
      </c>
      <c r="BF209" t="s">
        <v>2729</v>
      </c>
      <c r="BG209" t="s">
        <v>3686</v>
      </c>
      <c r="BH209" t="s">
        <v>3687</v>
      </c>
      <c r="BI209" t="s">
        <v>3688</v>
      </c>
      <c r="BJ209" t="s">
        <v>395</v>
      </c>
      <c r="BK209" t="s">
        <v>2562</v>
      </c>
      <c r="BL209" t="s">
        <v>3689</v>
      </c>
      <c r="BM209" t="s">
        <v>3690</v>
      </c>
      <c r="BN209" t="s">
        <v>3691</v>
      </c>
      <c r="BO209" t="s">
        <v>3692</v>
      </c>
      <c r="BP209" t="s">
        <v>3693</v>
      </c>
      <c r="BQ209" t="s">
        <v>274</v>
      </c>
      <c r="BR209" t="s">
        <v>274</v>
      </c>
    </row>
    <row r="210" spans="1:70" x14ac:dyDescent="0.3">
      <c r="A210" t="s">
        <v>154</v>
      </c>
      <c r="B210" t="s">
        <v>3694</v>
      </c>
      <c r="C210" t="s">
        <v>578</v>
      </c>
      <c r="D210" t="s">
        <v>579</v>
      </c>
      <c r="E210" t="s">
        <v>274</v>
      </c>
      <c r="F210" t="s">
        <v>274</v>
      </c>
      <c r="G210" t="s">
        <v>274</v>
      </c>
      <c r="H210" t="s">
        <v>274</v>
      </c>
      <c r="I210" t="s">
        <v>274</v>
      </c>
      <c r="J210" t="s">
        <v>274</v>
      </c>
      <c r="K210" t="s">
        <v>274</v>
      </c>
      <c r="L210" t="s">
        <v>274</v>
      </c>
      <c r="M210" t="s">
        <v>274</v>
      </c>
      <c r="N210" t="s">
        <v>274</v>
      </c>
      <c r="O210" t="s">
        <v>274</v>
      </c>
      <c r="P210" t="s">
        <v>274</v>
      </c>
      <c r="Q210" t="s">
        <v>274</v>
      </c>
      <c r="R210" t="s">
        <v>274</v>
      </c>
      <c r="S210" t="s">
        <v>274</v>
      </c>
      <c r="T210" t="s">
        <v>274</v>
      </c>
      <c r="U210" t="s">
        <v>274</v>
      </c>
      <c r="V210" t="s">
        <v>274</v>
      </c>
      <c r="W210" t="s">
        <v>274</v>
      </c>
      <c r="X210" t="s">
        <v>274</v>
      </c>
      <c r="Y210" t="s">
        <v>274</v>
      </c>
      <c r="Z210" t="s">
        <v>274</v>
      </c>
      <c r="AA210" t="s">
        <v>274</v>
      </c>
      <c r="AB210" t="s">
        <v>274</v>
      </c>
      <c r="AC210" t="s">
        <v>274</v>
      </c>
      <c r="AD210" t="s">
        <v>274</v>
      </c>
      <c r="AE210" t="s">
        <v>274</v>
      </c>
      <c r="AF210" t="s">
        <v>274</v>
      </c>
      <c r="AG210" s="14" t="s">
        <v>274</v>
      </c>
      <c r="AH210" t="s">
        <v>274</v>
      </c>
      <c r="AI210" t="s">
        <v>274</v>
      </c>
      <c r="AJ210" t="s">
        <v>274</v>
      </c>
      <c r="AK210" t="s">
        <v>274</v>
      </c>
      <c r="AL210" t="s">
        <v>274</v>
      </c>
      <c r="AM210" t="s">
        <v>274</v>
      </c>
      <c r="AN210" t="s">
        <v>274</v>
      </c>
      <c r="AO210" t="s">
        <v>3695</v>
      </c>
      <c r="AP210" t="s">
        <v>3696</v>
      </c>
      <c r="AQ210" t="s">
        <v>3687</v>
      </c>
      <c r="AR210" t="s">
        <v>3697</v>
      </c>
      <c r="AS210" t="s">
        <v>3698</v>
      </c>
      <c r="AT210" t="s">
        <v>809</v>
      </c>
      <c r="AU210" t="s">
        <v>1266</v>
      </c>
      <c r="AV210" t="s">
        <v>3699</v>
      </c>
      <c r="AW210" t="s">
        <v>3700</v>
      </c>
      <c r="AX210" t="s">
        <v>3701</v>
      </c>
      <c r="AY210" t="s">
        <v>3702</v>
      </c>
      <c r="AZ210" t="s">
        <v>3703</v>
      </c>
      <c r="BA210" t="s">
        <v>3704</v>
      </c>
      <c r="BB210" t="s">
        <v>3705</v>
      </c>
      <c r="BC210" t="s">
        <v>3706</v>
      </c>
      <c r="BD210" t="s">
        <v>3707</v>
      </c>
      <c r="BE210" t="s">
        <v>3708</v>
      </c>
      <c r="BF210" t="s">
        <v>3709</v>
      </c>
      <c r="BG210" t="s">
        <v>3710</v>
      </c>
      <c r="BH210" t="s">
        <v>3711</v>
      </c>
      <c r="BI210" t="s">
        <v>3712</v>
      </c>
      <c r="BJ210" t="s">
        <v>3713</v>
      </c>
      <c r="BK210" t="s">
        <v>3714</v>
      </c>
      <c r="BL210" t="s">
        <v>3715</v>
      </c>
      <c r="BM210" t="s">
        <v>3716</v>
      </c>
      <c r="BN210" t="s">
        <v>3717</v>
      </c>
      <c r="BO210" t="s">
        <v>3718</v>
      </c>
      <c r="BP210" t="s">
        <v>3719</v>
      </c>
      <c r="BQ210" t="s">
        <v>3720</v>
      </c>
      <c r="BR210" t="s">
        <v>274</v>
      </c>
    </row>
    <row r="211" spans="1:70" x14ac:dyDescent="0.3">
      <c r="A211" t="s">
        <v>155</v>
      </c>
      <c r="B211" t="s">
        <v>3721</v>
      </c>
      <c r="C211" t="s">
        <v>578</v>
      </c>
      <c r="D211" t="s">
        <v>579</v>
      </c>
      <c r="E211" t="s">
        <v>274</v>
      </c>
      <c r="F211" t="s">
        <v>274</v>
      </c>
      <c r="G211" t="s">
        <v>274</v>
      </c>
      <c r="H211" t="s">
        <v>274</v>
      </c>
      <c r="I211" t="s">
        <v>274</v>
      </c>
      <c r="J211" t="s">
        <v>274</v>
      </c>
      <c r="K211" t="s">
        <v>274</v>
      </c>
      <c r="L211" t="s">
        <v>274</v>
      </c>
      <c r="M211" t="s">
        <v>274</v>
      </c>
      <c r="N211" t="s">
        <v>274</v>
      </c>
      <c r="O211" t="s">
        <v>274</v>
      </c>
      <c r="P211" t="s">
        <v>274</v>
      </c>
      <c r="Q211" t="s">
        <v>274</v>
      </c>
      <c r="R211" t="s">
        <v>274</v>
      </c>
      <c r="S211" t="s">
        <v>274</v>
      </c>
      <c r="T211" t="s">
        <v>274</v>
      </c>
      <c r="U211" t="s">
        <v>274</v>
      </c>
      <c r="V211" t="s">
        <v>274</v>
      </c>
      <c r="W211" t="s">
        <v>274</v>
      </c>
      <c r="X211" t="s">
        <v>274</v>
      </c>
      <c r="Y211" t="s">
        <v>274</v>
      </c>
      <c r="Z211" t="s">
        <v>274</v>
      </c>
      <c r="AA211" t="s">
        <v>274</v>
      </c>
      <c r="AB211" t="s">
        <v>274</v>
      </c>
      <c r="AC211" t="s">
        <v>274</v>
      </c>
      <c r="AD211" t="s">
        <v>274</v>
      </c>
      <c r="AE211" t="s">
        <v>274</v>
      </c>
      <c r="AF211" t="s">
        <v>274</v>
      </c>
      <c r="AG211" s="14" t="s">
        <v>274</v>
      </c>
      <c r="AH211" t="s">
        <v>274</v>
      </c>
      <c r="AI211" t="s">
        <v>274</v>
      </c>
      <c r="AJ211" t="s">
        <v>274</v>
      </c>
      <c r="AK211" t="s">
        <v>274</v>
      </c>
      <c r="AL211" t="s">
        <v>274</v>
      </c>
      <c r="AM211" t="s">
        <v>274</v>
      </c>
      <c r="AN211" t="s">
        <v>274</v>
      </c>
      <c r="AO211" t="s">
        <v>274</v>
      </c>
      <c r="AP211" t="s">
        <v>274</v>
      </c>
      <c r="AQ211" t="s">
        <v>274</v>
      </c>
      <c r="AR211" t="s">
        <v>274</v>
      </c>
      <c r="AS211" t="s">
        <v>274</v>
      </c>
      <c r="AT211" t="s">
        <v>274</v>
      </c>
      <c r="AU211" t="s">
        <v>274</v>
      </c>
      <c r="AV211" t="s">
        <v>274</v>
      </c>
      <c r="AW211" t="s">
        <v>274</v>
      </c>
      <c r="AX211" t="s">
        <v>274</v>
      </c>
      <c r="AY211" t="s">
        <v>274</v>
      </c>
      <c r="AZ211" t="s">
        <v>274</v>
      </c>
      <c r="BA211" t="s">
        <v>274</v>
      </c>
      <c r="BB211" t="s">
        <v>274</v>
      </c>
      <c r="BC211" t="s">
        <v>274</v>
      </c>
      <c r="BD211" t="s">
        <v>274</v>
      </c>
      <c r="BE211" t="s">
        <v>274</v>
      </c>
      <c r="BF211" t="s">
        <v>274</v>
      </c>
      <c r="BG211" t="s">
        <v>274</v>
      </c>
      <c r="BH211" t="s">
        <v>274</v>
      </c>
      <c r="BI211" t="s">
        <v>274</v>
      </c>
      <c r="BJ211" t="s">
        <v>274</v>
      </c>
      <c r="BK211" t="s">
        <v>274</v>
      </c>
      <c r="BL211" t="s">
        <v>274</v>
      </c>
      <c r="BM211" t="s">
        <v>274</v>
      </c>
      <c r="BN211" t="s">
        <v>274</v>
      </c>
      <c r="BO211" t="s">
        <v>274</v>
      </c>
      <c r="BP211" t="s">
        <v>274</v>
      </c>
      <c r="BQ211" t="s">
        <v>274</v>
      </c>
      <c r="BR211" t="s">
        <v>274</v>
      </c>
    </row>
    <row r="212" spans="1:70" x14ac:dyDescent="0.3">
      <c r="A212" t="s">
        <v>156</v>
      </c>
      <c r="B212" t="s">
        <v>3722</v>
      </c>
      <c r="C212" t="s">
        <v>578</v>
      </c>
      <c r="D212" t="s">
        <v>579</v>
      </c>
      <c r="E212" t="s">
        <v>274</v>
      </c>
      <c r="F212" t="s">
        <v>274</v>
      </c>
      <c r="G212" t="s">
        <v>274</v>
      </c>
      <c r="H212" t="s">
        <v>274</v>
      </c>
      <c r="I212" t="s">
        <v>274</v>
      </c>
      <c r="J212" t="s">
        <v>274</v>
      </c>
      <c r="K212" t="s">
        <v>274</v>
      </c>
      <c r="L212" t="s">
        <v>274</v>
      </c>
      <c r="M212" t="s">
        <v>274</v>
      </c>
      <c r="N212" t="s">
        <v>274</v>
      </c>
      <c r="O212" t="s">
        <v>274</v>
      </c>
      <c r="P212" t="s">
        <v>274</v>
      </c>
      <c r="Q212" t="s">
        <v>274</v>
      </c>
      <c r="R212" t="s">
        <v>274</v>
      </c>
      <c r="S212" t="s">
        <v>274</v>
      </c>
      <c r="T212" t="s">
        <v>274</v>
      </c>
      <c r="U212" t="s">
        <v>274</v>
      </c>
      <c r="V212" t="s">
        <v>274</v>
      </c>
      <c r="W212" t="s">
        <v>274</v>
      </c>
      <c r="X212" t="s">
        <v>274</v>
      </c>
      <c r="Y212" t="s">
        <v>274</v>
      </c>
      <c r="Z212" t="s">
        <v>274</v>
      </c>
      <c r="AA212" t="s">
        <v>274</v>
      </c>
      <c r="AB212" t="s">
        <v>274</v>
      </c>
      <c r="AC212" t="s">
        <v>274</v>
      </c>
      <c r="AD212" t="s">
        <v>274</v>
      </c>
      <c r="AE212" t="s">
        <v>274</v>
      </c>
      <c r="AF212" t="s">
        <v>274</v>
      </c>
      <c r="AG212" s="14" t="s">
        <v>274</v>
      </c>
      <c r="AH212" t="s">
        <v>274</v>
      </c>
      <c r="AI212" t="s">
        <v>274</v>
      </c>
      <c r="AJ212" t="s">
        <v>274</v>
      </c>
      <c r="AK212" t="s">
        <v>274</v>
      </c>
      <c r="AL212" t="s">
        <v>274</v>
      </c>
      <c r="AM212" t="s">
        <v>274</v>
      </c>
      <c r="AN212" t="s">
        <v>274</v>
      </c>
      <c r="AO212" t="s">
        <v>274</v>
      </c>
      <c r="AP212" t="s">
        <v>274</v>
      </c>
      <c r="AQ212" t="s">
        <v>274</v>
      </c>
      <c r="AR212" t="s">
        <v>274</v>
      </c>
      <c r="AS212" t="s">
        <v>274</v>
      </c>
      <c r="AT212" t="s">
        <v>274</v>
      </c>
      <c r="AU212" t="s">
        <v>274</v>
      </c>
      <c r="AV212" t="s">
        <v>274</v>
      </c>
      <c r="AW212" t="s">
        <v>274</v>
      </c>
      <c r="AX212" t="s">
        <v>274</v>
      </c>
      <c r="AY212" t="s">
        <v>274</v>
      </c>
      <c r="AZ212" t="s">
        <v>274</v>
      </c>
      <c r="BA212" t="s">
        <v>274</v>
      </c>
      <c r="BB212" t="s">
        <v>274</v>
      </c>
      <c r="BC212" t="s">
        <v>274</v>
      </c>
      <c r="BD212" t="s">
        <v>274</v>
      </c>
      <c r="BE212" t="s">
        <v>274</v>
      </c>
      <c r="BF212" t="s">
        <v>274</v>
      </c>
      <c r="BG212" t="s">
        <v>274</v>
      </c>
      <c r="BH212" t="s">
        <v>274</v>
      </c>
      <c r="BI212" t="s">
        <v>274</v>
      </c>
      <c r="BJ212" t="s">
        <v>274</v>
      </c>
      <c r="BK212" t="s">
        <v>274</v>
      </c>
      <c r="BL212" t="s">
        <v>274</v>
      </c>
      <c r="BM212" t="s">
        <v>274</v>
      </c>
      <c r="BN212" t="s">
        <v>274</v>
      </c>
      <c r="BO212" t="s">
        <v>274</v>
      </c>
      <c r="BP212" t="s">
        <v>274</v>
      </c>
      <c r="BQ212" t="s">
        <v>274</v>
      </c>
      <c r="BR212" t="s">
        <v>274</v>
      </c>
    </row>
    <row r="213" spans="1:70" x14ac:dyDescent="0.3">
      <c r="A213" t="s">
        <v>3723</v>
      </c>
      <c r="B213" t="s">
        <v>3724</v>
      </c>
      <c r="C213" t="s">
        <v>578</v>
      </c>
      <c r="D213" t="s">
        <v>579</v>
      </c>
      <c r="E213" t="s">
        <v>274</v>
      </c>
      <c r="F213" t="s">
        <v>274</v>
      </c>
      <c r="G213" t="s">
        <v>274</v>
      </c>
      <c r="H213" t="s">
        <v>274</v>
      </c>
      <c r="I213" t="s">
        <v>274</v>
      </c>
      <c r="J213" t="s">
        <v>274</v>
      </c>
      <c r="K213" t="s">
        <v>274</v>
      </c>
      <c r="L213" t="s">
        <v>274</v>
      </c>
      <c r="M213" t="s">
        <v>274</v>
      </c>
      <c r="N213" t="s">
        <v>274</v>
      </c>
      <c r="O213" t="s">
        <v>274</v>
      </c>
      <c r="P213" t="s">
        <v>274</v>
      </c>
      <c r="Q213" t="s">
        <v>274</v>
      </c>
      <c r="R213" t="s">
        <v>274</v>
      </c>
      <c r="S213" t="s">
        <v>274</v>
      </c>
      <c r="T213" t="s">
        <v>274</v>
      </c>
      <c r="U213" t="s">
        <v>274</v>
      </c>
      <c r="V213" t="s">
        <v>274</v>
      </c>
      <c r="W213" t="s">
        <v>274</v>
      </c>
      <c r="X213" t="s">
        <v>274</v>
      </c>
      <c r="Y213" t="s">
        <v>274</v>
      </c>
      <c r="Z213" t="s">
        <v>274</v>
      </c>
      <c r="AA213" t="s">
        <v>274</v>
      </c>
      <c r="AB213" t="s">
        <v>274</v>
      </c>
      <c r="AC213" t="s">
        <v>274</v>
      </c>
      <c r="AD213" t="s">
        <v>274</v>
      </c>
      <c r="AE213" t="s">
        <v>274</v>
      </c>
      <c r="AF213" t="s">
        <v>274</v>
      </c>
      <c r="AG213" s="14" t="s">
        <v>274</v>
      </c>
      <c r="AH213" t="s">
        <v>274</v>
      </c>
      <c r="AI213" t="s">
        <v>274</v>
      </c>
      <c r="AJ213" t="s">
        <v>274</v>
      </c>
      <c r="AK213" t="s">
        <v>274</v>
      </c>
      <c r="AL213" t="s">
        <v>274</v>
      </c>
      <c r="AM213" t="s">
        <v>274</v>
      </c>
      <c r="AN213" t="s">
        <v>274</v>
      </c>
      <c r="AO213" t="s">
        <v>274</v>
      </c>
      <c r="AP213" t="s">
        <v>274</v>
      </c>
      <c r="AQ213" t="s">
        <v>274</v>
      </c>
      <c r="AR213" t="s">
        <v>274</v>
      </c>
      <c r="AS213" t="s">
        <v>274</v>
      </c>
      <c r="AT213" t="s">
        <v>274</v>
      </c>
      <c r="AU213" t="s">
        <v>274</v>
      </c>
      <c r="AV213" t="s">
        <v>274</v>
      </c>
      <c r="AW213" t="s">
        <v>274</v>
      </c>
      <c r="AX213" t="s">
        <v>274</v>
      </c>
      <c r="AY213" t="s">
        <v>274</v>
      </c>
      <c r="AZ213" t="s">
        <v>274</v>
      </c>
      <c r="BA213" t="s">
        <v>274</v>
      </c>
      <c r="BB213" t="s">
        <v>274</v>
      </c>
      <c r="BC213" t="s">
        <v>274</v>
      </c>
      <c r="BD213" t="s">
        <v>274</v>
      </c>
      <c r="BE213" t="s">
        <v>274</v>
      </c>
      <c r="BF213" t="s">
        <v>274</v>
      </c>
      <c r="BG213" t="s">
        <v>274</v>
      </c>
      <c r="BH213" t="s">
        <v>274</v>
      </c>
      <c r="BI213" t="s">
        <v>274</v>
      </c>
      <c r="BJ213" t="s">
        <v>274</v>
      </c>
      <c r="BK213" t="s">
        <v>274</v>
      </c>
      <c r="BL213" t="s">
        <v>274</v>
      </c>
      <c r="BM213" t="s">
        <v>274</v>
      </c>
      <c r="BN213" t="s">
        <v>274</v>
      </c>
      <c r="BO213" t="s">
        <v>274</v>
      </c>
      <c r="BP213" t="s">
        <v>274</v>
      </c>
      <c r="BQ213" t="s">
        <v>274</v>
      </c>
      <c r="BR213" t="s">
        <v>274</v>
      </c>
    </row>
    <row r="214" spans="1:70" x14ac:dyDescent="0.3">
      <c r="A214" t="s">
        <v>158</v>
      </c>
      <c r="B214" t="s">
        <v>3725</v>
      </c>
      <c r="C214" t="s">
        <v>578</v>
      </c>
      <c r="D214" t="s">
        <v>579</v>
      </c>
      <c r="E214" t="s">
        <v>274</v>
      </c>
      <c r="F214" t="s">
        <v>274</v>
      </c>
      <c r="G214" t="s">
        <v>274</v>
      </c>
      <c r="H214" t="s">
        <v>274</v>
      </c>
      <c r="I214" t="s">
        <v>274</v>
      </c>
      <c r="J214" t="s">
        <v>274</v>
      </c>
      <c r="K214" t="s">
        <v>274</v>
      </c>
      <c r="L214" t="s">
        <v>274</v>
      </c>
      <c r="M214" t="s">
        <v>274</v>
      </c>
      <c r="N214" t="s">
        <v>274</v>
      </c>
      <c r="O214" t="s">
        <v>274</v>
      </c>
      <c r="P214" t="s">
        <v>274</v>
      </c>
      <c r="Q214" t="s">
        <v>274</v>
      </c>
      <c r="R214" t="s">
        <v>274</v>
      </c>
      <c r="S214" t="s">
        <v>274</v>
      </c>
      <c r="T214" t="s">
        <v>274</v>
      </c>
      <c r="U214" t="s">
        <v>274</v>
      </c>
      <c r="V214" t="s">
        <v>274</v>
      </c>
      <c r="W214" t="s">
        <v>274</v>
      </c>
      <c r="X214" t="s">
        <v>274</v>
      </c>
      <c r="Y214" t="s">
        <v>274</v>
      </c>
      <c r="Z214" t="s">
        <v>274</v>
      </c>
      <c r="AA214" t="s">
        <v>274</v>
      </c>
      <c r="AB214" t="s">
        <v>274</v>
      </c>
      <c r="AC214" t="s">
        <v>274</v>
      </c>
      <c r="AD214" t="s">
        <v>274</v>
      </c>
      <c r="AE214" t="s">
        <v>274</v>
      </c>
      <c r="AF214" t="s">
        <v>274</v>
      </c>
      <c r="AG214" s="14" t="s">
        <v>274</v>
      </c>
      <c r="AH214" t="s">
        <v>274</v>
      </c>
      <c r="AI214" t="s">
        <v>274</v>
      </c>
      <c r="AJ214" t="s">
        <v>274</v>
      </c>
      <c r="AK214" t="s">
        <v>274</v>
      </c>
      <c r="AL214" t="s">
        <v>274</v>
      </c>
      <c r="AM214" t="s">
        <v>274</v>
      </c>
      <c r="AN214" t="s">
        <v>274</v>
      </c>
      <c r="AO214" t="s">
        <v>274</v>
      </c>
      <c r="AP214" t="s">
        <v>274</v>
      </c>
      <c r="AQ214" t="s">
        <v>274</v>
      </c>
      <c r="AR214" t="s">
        <v>274</v>
      </c>
      <c r="AS214" t="s">
        <v>274</v>
      </c>
      <c r="AT214" t="s">
        <v>274</v>
      </c>
      <c r="AU214" t="s">
        <v>274</v>
      </c>
      <c r="AV214" t="s">
        <v>274</v>
      </c>
      <c r="AW214" t="s">
        <v>274</v>
      </c>
      <c r="AX214" t="s">
        <v>1399</v>
      </c>
      <c r="AY214" t="s">
        <v>904</v>
      </c>
      <c r="AZ214" t="s">
        <v>905</v>
      </c>
      <c r="BA214" t="s">
        <v>906</v>
      </c>
      <c r="BB214" t="s">
        <v>907</v>
      </c>
      <c r="BC214" t="s">
        <v>908</v>
      </c>
      <c r="BD214" t="s">
        <v>909</v>
      </c>
      <c r="BE214" t="s">
        <v>910</v>
      </c>
      <c r="BF214" t="s">
        <v>911</v>
      </c>
      <c r="BG214" t="s">
        <v>912</v>
      </c>
      <c r="BH214" t="s">
        <v>913</v>
      </c>
      <c r="BI214" t="s">
        <v>914</v>
      </c>
      <c r="BJ214" t="s">
        <v>1400</v>
      </c>
      <c r="BK214" t="s">
        <v>274</v>
      </c>
      <c r="BL214" t="s">
        <v>274</v>
      </c>
      <c r="BM214" t="s">
        <v>274</v>
      </c>
      <c r="BN214" t="s">
        <v>274</v>
      </c>
      <c r="BO214" t="s">
        <v>274</v>
      </c>
      <c r="BP214" t="s">
        <v>274</v>
      </c>
      <c r="BQ214" t="s">
        <v>274</v>
      </c>
      <c r="BR214" t="s">
        <v>274</v>
      </c>
    </row>
    <row r="215" spans="1:70" x14ac:dyDescent="0.3">
      <c r="A215" t="s">
        <v>160</v>
      </c>
      <c r="B215" t="s">
        <v>3726</v>
      </c>
      <c r="C215" t="s">
        <v>578</v>
      </c>
      <c r="D215" t="s">
        <v>579</v>
      </c>
      <c r="E215" t="s">
        <v>274</v>
      </c>
      <c r="F215" t="s">
        <v>274</v>
      </c>
      <c r="G215" t="s">
        <v>274</v>
      </c>
      <c r="H215" t="s">
        <v>274</v>
      </c>
      <c r="I215" t="s">
        <v>274</v>
      </c>
      <c r="J215" t="s">
        <v>274</v>
      </c>
      <c r="K215" t="s">
        <v>274</v>
      </c>
      <c r="L215" t="s">
        <v>274</v>
      </c>
      <c r="M215" t="s">
        <v>274</v>
      </c>
      <c r="N215" t="s">
        <v>274</v>
      </c>
      <c r="O215" t="s">
        <v>274</v>
      </c>
      <c r="P215" t="s">
        <v>274</v>
      </c>
      <c r="Q215" t="s">
        <v>274</v>
      </c>
      <c r="R215" t="s">
        <v>274</v>
      </c>
      <c r="S215" t="s">
        <v>274</v>
      </c>
      <c r="T215" t="s">
        <v>274</v>
      </c>
      <c r="U215" t="s">
        <v>274</v>
      </c>
      <c r="V215" t="s">
        <v>274</v>
      </c>
      <c r="W215" t="s">
        <v>3727</v>
      </c>
      <c r="X215" t="s">
        <v>3728</v>
      </c>
      <c r="Y215" t="s">
        <v>3729</v>
      </c>
      <c r="Z215" t="s">
        <v>3730</v>
      </c>
      <c r="AA215" t="s">
        <v>3731</v>
      </c>
      <c r="AB215" t="s">
        <v>3732</v>
      </c>
      <c r="AC215" t="s">
        <v>3733</v>
      </c>
      <c r="AD215" t="s">
        <v>3734</v>
      </c>
      <c r="AE215" t="s">
        <v>3735</v>
      </c>
      <c r="AF215" t="s">
        <v>608</v>
      </c>
      <c r="AG215" s="14" t="s">
        <v>3736</v>
      </c>
      <c r="AH215" t="s">
        <v>3737</v>
      </c>
      <c r="AI215" t="s">
        <v>3738</v>
      </c>
      <c r="AJ215" t="s">
        <v>3739</v>
      </c>
      <c r="AK215" t="s">
        <v>3158</v>
      </c>
      <c r="AL215" t="s">
        <v>3740</v>
      </c>
      <c r="AM215" t="s">
        <v>3741</v>
      </c>
      <c r="AN215" t="s">
        <v>3742</v>
      </c>
      <c r="AO215" t="s">
        <v>1276</v>
      </c>
      <c r="AP215" t="s">
        <v>3743</v>
      </c>
      <c r="AQ215" t="s">
        <v>3744</v>
      </c>
      <c r="AR215" t="s">
        <v>609</v>
      </c>
      <c r="AS215" t="s">
        <v>3745</v>
      </c>
      <c r="AT215" t="s">
        <v>3746</v>
      </c>
      <c r="AU215" t="s">
        <v>3747</v>
      </c>
      <c r="AV215" t="s">
        <v>3748</v>
      </c>
      <c r="AW215" t="s">
        <v>3749</v>
      </c>
      <c r="AX215" t="s">
        <v>3749</v>
      </c>
      <c r="AY215" t="s">
        <v>788</v>
      </c>
      <c r="AZ215" t="s">
        <v>3750</v>
      </c>
      <c r="BA215" t="s">
        <v>3751</v>
      </c>
      <c r="BB215" t="s">
        <v>3751</v>
      </c>
      <c r="BC215" t="s">
        <v>3751</v>
      </c>
      <c r="BD215" t="s">
        <v>3751</v>
      </c>
      <c r="BE215" t="s">
        <v>3751</v>
      </c>
      <c r="BF215" t="s">
        <v>3751</v>
      </c>
      <c r="BG215" t="s">
        <v>3752</v>
      </c>
      <c r="BH215" t="s">
        <v>3752</v>
      </c>
      <c r="BI215" t="s">
        <v>3752</v>
      </c>
      <c r="BJ215" t="s">
        <v>3753</v>
      </c>
      <c r="BK215" t="s">
        <v>3750</v>
      </c>
      <c r="BL215" t="s">
        <v>1273</v>
      </c>
      <c r="BM215" t="s">
        <v>1273</v>
      </c>
      <c r="BN215" t="s">
        <v>1273</v>
      </c>
      <c r="BO215" t="s">
        <v>274</v>
      </c>
      <c r="BP215" t="s">
        <v>274</v>
      </c>
      <c r="BQ215" t="s">
        <v>274</v>
      </c>
      <c r="BR215" t="s">
        <v>274</v>
      </c>
    </row>
    <row r="216" spans="1:70" x14ac:dyDescent="0.3">
      <c r="A216" t="s">
        <v>161</v>
      </c>
      <c r="B216" t="s">
        <v>3754</v>
      </c>
      <c r="C216" t="s">
        <v>578</v>
      </c>
      <c r="D216" t="s">
        <v>579</v>
      </c>
      <c r="E216" t="s">
        <v>274</v>
      </c>
      <c r="F216" t="s">
        <v>274</v>
      </c>
      <c r="G216" t="s">
        <v>274</v>
      </c>
      <c r="H216" t="s">
        <v>274</v>
      </c>
      <c r="I216" t="s">
        <v>274</v>
      </c>
      <c r="J216" t="s">
        <v>274</v>
      </c>
      <c r="K216" t="s">
        <v>274</v>
      </c>
      <c r="L216" t="s">
        <v>274</v>
      </c>
      <c r="M216" t="s">
        <v>274</v>
      </c>
      <c r="N216" t="s">
        <v>274</v>
      </c>
      <c r="O216" t="s">
        <v>274</v>
      </c>
      <c r="P216" t="s">
        <v>274</v>
      </c>
      <c r="Q216" t="s">
        <v>274</v>
      </c>
      <c r="R216" t="s">
        <v>274</v>
      </c>
      <c r="S216" t="s">
        <v>274</v>
      </c>
      <c r="T216" t="s">
        <v>274</v>
      </c>
      <c r="U216" t="s">
        <v>274</v>
      </c>
      <c r="V216" t="s">
        <v>274</v>
      </c>
      <c r="W216" t="s">
        <v>274</v>
      </c>
      <c r="X216" t="s">
        <v>274</v>
      </c>
      <c r="Y216" t="s">
        <v>274</v>
      </c>
      <c r="Z216" t="s">
        <v>597</v>
      </c>
      <c r="AA216" t="s">
        <v>811</v>
      </c>
      <c r="AB216" t="s">
        <v>805</v>
      </c>
      <c r="AC216" t="s">
        <v>868</v>
      </c>
      <c r="AD216" t="s">
        <v>1967</v>
      </c>
      <c r="AE216" t="s">
        <v>3755</v>
      </c>
      <c r="AF216" t="s">
        <v>3711</v>
      </c>
      <c r="AG216" s="14" t="s">
        <v>1488</v>
      </c>
      <c r="AH216" t="s">
        <v>1488</v>
      </c>
      <c r="AI216" t="s">
        <v>1488</v>
      </c>
      <c r="AJ216" t="s">
        <v>3756</v>
      </c>
      <c r="AK216" t="s">
        <v>3757</v>
      </c>
      <c r="AL216" t="s">
        <v>3758</v>
      </c>
      <c r="AM216" t="s">
        <v>1239</v>
      </c>
      <c r="AN216" t="s">
        <v>1239</v>
      </c>
      <c r="AO216" t="s">
        <v>3759</v>
      </c>
      <c r="AP216" t="s">
        <v>3760</v>
      </c>
      <c r="AQ216" t="s">
        <v>1240</v>
      </c>
      <c r="AR216" t="s">
        <v>1097</v>
      </c>
      <c r="AS216" t="s">
        <v>1025</v>
      </c>
      <c r="AT216" t="s">
        <v>1212</v>
      </c>
      <c r="AU216" t="s">
        <v>1212</v>
      </c>
      <c r="AV216" t="s">
        <v>1212</v>
      </c>
      <c r="AW216" t="s">
        <v>1212</v>
      </c>
      <c r="AX216" t="s">
        <v>309</v>
      </c>
      <c r="AY216" t="s">
        <v>1285</v>
      </c>
      <c r="AZ216" t="s">
        <v>1654</v>
      </c>
      <c r="BA216" t="s">
        <v>1654</v>
      </c>
      <c r="BB216" t="s">
        <v>1666</v>
      </c>
      <c r="BC216" t="s">
        <v>3761</v>
      </c>
      <c r="BD216" t="s">
        <v>3762</v>
      </c>
      <c r="BE216" t="s">
        <v>3763</v>
      </c>
      <c r="BF216" t="s">
        <v>3764</v>
      </c>
      <c r="BG216" t="s">
        <v>3765</v>
      </c>
      <c r="BH216" t="s">
        <v>3766</v>
      </c>
      <c r="BI216" t="s">
        <v>3767</v>
      </c>
      <c r="BJ216" t="s">
        <v>3768</v>
      </c>
      <c r="BK216" t="s">
        <v>3769</v>
      </c>
      <c r="BL216" t="s">
        <v>3770</v>
      </c>
      <c r="BM216" t="s">
        <v>3771</v>
      </c>
      <c r="BN216" t="s">
        <v>3772</v>
      </c>
      <c r="BO216" t="s">
        <v>274</v>
      </c>
      <c r="BP216" t="s">
        <v>274</v>
      </c>
      <c r="BQ216" t="s">
        <v>274</v>
      </c>
      <c r="BR216" t="s">
        <v>274</v>
      </c>
    </row>
    <row r="217" spans="1:70" x14ac:dyDescent="0.3">
      <c r="A217" t="s">
        <v>162</v>
      </c>
      <c r="B217" t="s">
        <v>3773</v>
      </c>
      <c r="C217" t="s">
        <v>578</v>
      </c>
      <c r="D217" t="s">
        <v>579</v>
      </c>
      <c r="E217" t="s">
        <v>274</v>
      </c>
      <c r="F217" t="s">
        <v>274</v>
      </c>
      <c r="G217" t="s">
        <v>274</v>
      </c>
      <c r="H217" t="s">
        <v>274</v>
      </c>
      <c r="I217" t="s">
        <v>274</v>
      </c>
      <c r="J217" t="s">
        <v>1654</v>
      </c>
      <c r="K217" t="s">
        <v>1654</v>
      </c>
      <c r="L217" t="s">
        <v>1654</v>
      </c>
      <c r="M217" t="s">
        <v>1654</v>
      </c>
      <c r="N217" t="s">
        <v>1654</v>
      </c>
      <c r="O217" t="s">
        <v>1654</v>
      </c>
      <c r="P217" t="s">
        <v>1654</v>
      </c>
      <c r="Q217" t="s">
        <v>1654</v>
      </c>
      <c r="R217" t="s">
        <v>1654</v>
      </c>
      <c r="S217" t="s">
        <v>1654</v>
      </c>
      <c r="T217" t="s">
        <v>599</v>
      </c>
      <c r="U217" t="s">
        <v>597</v>
      </c>
      <c r="V217" t="s">
        <v>580</v>
      </c>
      <c r="W217" t="s">
        <v>580</v>
      </c>
      <c r="X217" t="s">
        <v>580</v>
      </c>
      <c r="Y217" t="s">
        <v>580</v>
      </c>
      <c r="Z217" t="s">
        <v>616</v>
      </c>
      <c r="AA217" t="s">
        <v>616</v>
      </c>
      <c r="AB217" t="s">
        <v>1832</v>
      </c>
      <c r="AC217" t="s">
        <v>1488</v>
      </c>
      <c r="AD217" t="s">
        <v>1233</v>
      </c>
      <c r="AE217" t="s">
        <v>3774</v>
      </c>
      <c r="AF217" t="s">
        <v>3775</v>
      </c>
      <c r="AG217" s="14" t="s">
        <v>1845</v>
      </c>
      <c r="AH217" t="s">
        <v>3776</v>
      </c>
      <c r="AI217" t="s">
        <v>2871</v>
      </c>
      <c r="AJ217" t="s">
        <v>3777</v>
      </c>
      <c r="AK217" t="s">
        <v>3778</v>
      </c>
      <c r="AL217" t="s">
        <v>3779</v>
      </c>
      <c r="AM217" t="s">
        <v>3780</v>
      </c>
      <c r="AN217" t="s">
        <v>3781</v>
      </c>
      <c r="AO217" t="s">
        <v>3782</v>
      </c>
      <c r="AP217" t="s">
        <v>3783</v>
      </c>
      <c r="AQ217" t="s">
        <v>3784</v>
      </c>
      <c r="AR217" t="s">
        <v>1848</v>
      </c>
      <c r="AS217" t="s">
        <v>3785</v>
      </c>
      <c r="AT217" t="s">
        <v>3786</v>
      </c>
      <c r="AU217" t="s">
        <v>3787</v>
      </c>
      <c r="AV217" t="s">
        <v>2754</v>
      </c>
      <c r="AW217" t="s">
        <v>3788</v>
      </c>
      <c r="AX217" t="s">
        <v>3789</v>
      </c>
      <c r="AY217" t="s">
        <v>1855</v>
      </c>
      <c r="AZ217" t="s">
        <v>1486</v>
      </c>
      <c r="BA217" t="s">
        <v>1834</v>
      </c>
      <c r="BB217" t="s">
        <v>3787</v>
      </c>
      <c r="BC217" t="s">
        <v>3790</v>
      </c>
      <c r="BD217" t="s">
        <v>1059</v>
      </c>
      <c r="BE217" t="s">
        <v>1059</v>
      </c>
      <c r="BF217" t="s">
        <v>3791</v>
      </c>
      <c r="BG217" t="s">
        <v>3792</v>
      </c>
      <c r="BH217" t="s">
        <v>3793</v>
      </c>
      <c r="BI217" t="s">
        <v>3794</v>
      </c>
      <c r="BJ217" t="s">
        <v>3795</v>
      </c>
      <c r="BK217" t="s">
        <v>3796</v>
      </c>
      <c r="BL217" t="s">
        <v>3797</v>
      </c>
      <c r="BM217" t="s">
        <v>3798</v>
      </c>
      <c r="BN217" t="s">
        <v>3799</v>
      </c>
      <c r="BO217" t="s">
        <v>3800</v>
      </c>
      <c r="BP217" t="s">
        <v>3801</v>
      </c>
      <c r="BQ217" t="s">
        <v>274</v>
      </c>
      <c r="BR217" t="s">
        <v>274</v>
      </c>
    </row>
    <row r="218" spans="1:70" x14ac:dyDescent="0.3">
      <c r="A218" t="s">
        <v>163</v>
      </c>
      <c r="B218" t="s">
        <v>3802</v>
      </c>
      <c r="C218" t="s">
        <v>578</v>
      </c>
      <c r="D218" t="s">
        <v>579</v>
      </c>
      <c r="E218" t="s">
        <v>274</v>
      </c>
      <c r="F218" t="s">
        <v>274</v>
      </c>
      <c r="G218" t="s">
        <v>274</v>
      </c>
      <c r="H218" t="s">
        <v>274</v>
      </c>
      <c r="I218" t="s">
        <v>274</v>
      </c>
      <c r="J218" t="s">
        <v>274</v>
      </c>
      <c r="K218" t="s">
        <v>274</v>
      </c>
      <c r="L218" t="s">
        <v>274</v>
      </c>
      <c r="M218" t="s">
        <v>274</v>
      </c>
      <c r="N218" t="s">
        <v>274</v>
      </c>
      <c r="O218" t="s">
        <v>274</v>
      </c>
      <c r="P218" t="s">
        <v>274</v>
      </c>
      <c r="Q218" t="s">
        <v>274</v>
      </c>
      <c r="R218" t="s">
        <v>274</v>
      </c>
      <c r="S218" t="s">
        <v>274</v>
      </c>
      <c r="T218" t="s">
        <v>274</v>
      </c>
      <c r="U218" t="s">
        <v>274</v>
      </c>
      <c r="V218" t="s">
        <v>274</v>
      </c>
      <c r="W218" t="s">
        <v>274</v>
      </c>
      <c r="X218" t="s">
        <v>274</v>
      </c>
      <c r="Y218" t="s">
        <v>274</v>
      </c>
      <c r="Z218" t="s">
        <v>274</v>
      </c>
      <c r="AA218" t="s">
        <v>274</v>
      </c>
      <c r="AB218" t="s">
        <v>274</v>
      </c>
      <c r="AC218" t="s">
        <v>274</v>
      </c>
      <c r="AD218" t="s">
        <v>274</v>
      </c>
      <c r="AE218" t="s">
        <v>274</v>
      </c>
      <c r="AF218" t="s">
        <v>274</v>
      </c>
      <c r="AG218" s="14" t="s">
        <v>274</v>
      </c>
      <c r="AH218" t="s">
        <v>274</v>
      </c>
      <c r="AI218" t="s">
        <v>274</v>
      </c>
      <c r="AJ218" t="s">
        <v>274</v>
      </c>
      <c r="AK218" t="s">
        <v>274</v>
      </c>
      <c r="AL218" t="s">
        <v>274</v>
      </c>
      <c r="AM218" t="s">
        <v>274</v>
      </c>
      <c r="AN218" t="s">
        <v>274</v>
      </c>
      <c r="AO218" t="s">
        <v>274</v>
      </c>
      <c r="AP218" t="s">
        <v>274</v>
      </c>
      <c r="AQ218" t="s">
        <v>274</v>
      </c>
      <c r="AR218" t="s">
        <v>274</v>
      </c>
      <c r="AS218" t="s">
        <v>274</v>
      </c>
      <c r="AT218" t="s">
        <v>274</v>
      </c>
      <c r="AU218" t="s">
        <v>274</v>
      </c>
      <c r="AV218" t="s">
        <v>274</v>
      </c>
      <c r="AW218" t="s">
        <v>274</v>
      </c>
      <c r="AX218" t="s">
        <v>274</v>
      </c>
      <c r="AY218" t="s">
        <v>274</v>
      </c>
      <c r="AZ218" t="s">
        <v>274</v>
      </c>
      <c r="BA218" t="s">
        <v>274</v>
      </c>
      <c r="BB218" t="s">
        <v>274</v>
      </c>
      <c r="BC218" t="s">
        <v>274</v>
      </c>
      <c r="BD218" t="s">
        <v>274</v>
      </c>
      <c r="BE218" t="s">
        <v>274</v>
      </c>
      <c r="BF218" t="s">
        <v>274</v>
      </c>
      <c r="BG218" t="s">
        <v>274</v>
      </c>
      <c r="BH218" t="s">
        <v>274</v>
      </c>
      <c r="BI218" t="s">
        <v>274</v>
      </c>
      <c r="BJ218" t="s">
        <v>274</v>
      </c>
      <c r="BK218" t="s">
        <v>274</v>
      </c>
      <c r="BL218" t="s">
        <v>274</v>
      </c>
      <c r="BM218" t="s">
        <v>274</v>
      </c>
      <c r="BN218" t="s">
        <v>274</v>
      </c>
      <c r="BO218" t="s">
        <v>274</v>
      </c>
      <c r="BP218" t="s">
        <v>274</v>
      </c>
      <c r="BQ218" t="s">
        <v>274</v>
      </c>
      <c r="BR218" t="s">
        <v>274</v>
      </c>
    </row>
    <row r="219" spans="1:70" x14ac:dyDescent="0.3">
      <c r="A219" t="s">
        <v>229</v>
      </c>
      <c r="B219" t="s">
        <v>3803</v>
      </c>
      <c r="C219" t="s">
        <v>578</v>
      </c>
      <c r="D219" t="s">
        <v>579</v>
      </c>
      <c r="E219" t="s">
        <v>274</v>
      </c>
      <c r="F219" t="s">
        <v>274</v>
      </c>
      <c r="G219" t="s">
        <v>274</v>
      </c>
      <c r="H219" t="s">
        <v>274</v>
      </c>
      <c r="I219" t="s">
        <v>274</v>
      </c>
      <c r="J219" t="s">
        <v>274</v>
      </c>
      <c r="K219" t="s">
        <v>274</v>
      </c>
      <c r="L219" t="s">
        <v>274</v>
      </c>
      <c r="M219" t="s">
        <v>274</v>
      </c>
      <c r="N219" t="s">
        <v>274</v>
      </c>
      <c r="O219" t="s">
        <v>274</v>
      </c>
      <c r="P219" t="s">
        <v>274</v>
      </c>
      <c r="Q219" t="s">
        <v>274</v>
      </c>
      <c r="R219" t="s">
        <v>274</v>
      </c>
      <c r="S219" t="s">
        <v>274</v>
      </c>
      <c r="T219" t="s">
        <v>274</v>
      </c>
      <c r="U219" t="s">
        <v>274</v>
      </c>
      <c r="V219" t="s">
        <v>274</v>
      </c>
      <c r="W219" t="s">
        <v>274</v>
      </c>
      <c r="X219" t="s">
        <v>274</v>
      </c>
      <c r="Y219" t="s">
        <v>274</v>
      </c>
      <c r="Z219" t="s">
        <v>274</v>
      </c>
      <c r="AA219" t="s">
        <v>274</v>
      </c>
      <c r="AB219" t="s">
        <v>274</v>
      </c>
      <c r="AC219" t="s">
        <v>274</v>
      </c>
      <c r="AD219" t="s">
        <v>274</v>
      </c>
      <c r="AE219" t="s">
        <v>274</v>
      </c>
      <c r="AF219" t="s">
        <v>274</v>
      </c>
      <c r="AG219" s="14" t="s">
        <v>274</v>
      </c>
      <c r="AH219" t="s">
        <v>274</v>
      </c>
      <c r="AI219" t="s">
        <v>274</v>
      </c>
      <c r="AJ219" t="s">
        <v>274</v>
      </c>
      <c r="AK219" t="s">
        <v>274</v>
      </c>
      <c r="AL219" t="s">
        <v>274</v>
      </c>
      <c r="AM219" t="s">
        <v>274</v>
      </c>
      <c r="AN219" t="s">
        <v>274</v>
      </c>
      <c r="AO219" t="s">
        <v>274</v>
      </c>
      <c r="AP219" t="s">
        <v>274</v>
      </c>
      <c r="AQ219" t="s">
        <v>274</v>
      </c>
      <c r="AR219" t="s">
        <v>274</v>
      </c>
      <c r="AS219" t="s">
        <v>274</v>
      </c>
      <c r="AT219" t="s">
        <v>3804</v>
      </c>
      <c r="AU219" t="s">
        <v>1270</v>
      </c>
      <c r="AV219" t="s">
        <v>3805</v>
      </c>
      <c r="AW219" t="s">
        <v>3806</v>
      </c>
      <c r="AX219" t="s">
        <v>3807</v>
      </c>
      <c r="AY219" t="s">
        <v>3808</v>
      </c>
      <c r="AZ219" t="s">
        <v>3809</v>
      </c>
      <c r="BA219" t="s">
        <v>3810</v>
      </c>
      <c r="BB219" t="s">
        <v>3811</v>
      </c>
      <c r="BC219" t="s">
        <v>3812</v>
      </c>
      <c r="BD219" t="s">
        <v>3813</v>
      </c>
      <c r="BE219" t="s">
        <v>3814</v>
      </c>
      <c r="BF219" t="s">
        <v>3815</v>
      </c>
      <c r="BG219" t="s">
        <v>3816</v>
      </c>
      <c r="BH219" t="s">
        <v>3817</v>
      </c>
      <c r="BI219" t="s">
        <v>3818</v>
      </c>
      <c r="BJ219" t="s">
        <v>3819</v>
      </c>
      <c r="BK219" t="s">
        <v>3820</v>
      </c>
      <c r="BL219" t="s">
        <v>3821</v>
      </c>
      <c r="BM219" t="s">
        <v>3822</v>
      </c>
      <c r="BN219" t="s">
        <v>3823</v>
      </c>
      <c r="BO219" t="s">
        <v>3824</v>
      </c>
      <c r="BP219" t="s">
        <v>3825</v>
      </c>
      <c r="BQ219" t="s">
        <v>274</v>
      </c>
      <c r="BR219" t="s">
        <v>274</v>
      </c>
    </row>
    <row r="220" spans="1:70" x14ac:dyDescent="0.3">
      <c r="A220" t="s">
        <v>164</v>
      </c>
      <c r="B220" t="s">
        <v>3826</v>
      </c>
      <c r="C220" t="s">
        <v>578</v>
      </c>
      <c r="D220" t="s">
        <v>579</v>
      </c>
      <c r="E220" t="s">
        <v>274</v>
      </c>
      <c r="F220" t="s">
        <v>274</v>
      </c>
      <c r="G220" t="s">
        <v>274</v>
      </c>
      <c r="H220" t="s">
        <v>274</v>
      </c>
      <c r="I220" t="s">
        <v>274</v>
      </c>
      <c r="J220" t="s">
        <v>274</v>
      </c>
      <c r="K220" t="s">
        <v>274</v>
      </c>
      <c r="L220" t="s">
        <v>274</v>
      </c>
      <c r="M220" t="s">
        <v>274</v>
      </c>
      <c r="N220" t="s">
        <v>274</v>
      </c>
      <c r="O220" t="s">
        <v>274</v>
      </c>
      <c r="P220" t="s">
        <v>274</v>
      </c>
      <c r="Q220" t="s">
        <v>274</v>
      </c>
      <c r="R220" t="s">
        <v>274</v>
      </c>
      <c r="S220" t="s">
        <v>274</v>
      </c>
      <c r="T220" t="s">
        <v>601</v>
      </c>
      <c r="U220" t="s">
        <v>601</v>
      </c>
      <c r="V220" t="s">
        <v>601</v>
      </c>
      <c r="W220" t="s">
        <v>601</v>
      </c>
      <c r="X220" t="s">
        <v>995</v>
      </c>
      <c r="Y220" t="s">
        <v>995</v>
      </c>
      <c r="Z220" t="s">
        <v>1212</v>
      </c>
      <c r="AA220" t="s">
        <v>805</v>
      </c>
      <c r="AB220" t="s">
        <v>868</v>
      </c>
      <c r="AC220" t="s">
        <v>868</v>
      </c>
      <c r="AD220" t="s">
        <v>1650</v>
      </c>
      <c r="AE220" t="s">
        <v>656</v>
      </c>
      <c r="AF220" t="s">
        <v>1836</v>
      </c>
      <c r="AG220" s="14" t="s">
        <v>3827</v>
      </c>
      <c r="AH220" t="s">
        <v>274</v>
      </c>
      <c r="AI220" t="s">
        <v>274</v>
      </c>
      <c r="AJ220" t="s">
        <v>274</v>
      </c>
      <c r="AK220" t="s">
        <v>274</v>
      </c>
      <c r="AL220" t="s">
        <v>274</v>
      </c>
      <c r="AM220" t="s">
        <v>274</v>
      </c>
      <c r="AN220" t="s">
        <v>274</v>
      </c>
      <c r="AO220" t="s">
        <v>274</v>
      </c>
      <c r="AP220" t="s">
        <v>274</v>
      </c>
      <c r="AQ220" t="s">
        <v>274</v>
      </c>
      <c r="AR220" t="s">
        <v>274</v>
      </c>
      <c r="AS220" t="s">
        <v>274</v>
      </c>
      <c r="AT220" t="s">
        <v>274</v>
      </c>
      <c r="AU220" t="s">
        <v>274</v>
      </c>
      <c r="AV220" t="s">
        <v>274</v>
      </c>
      <c r="AW220" t="s">
        <v>274</v>
      </c>
      <c r="AX220" t="s">
        <v>274</v>
      </c>
      <c r="AY220" t="s">
        <v>274</v>
      </c>
      <c r="AZ220" t="s">
        <v>274</v>
      </c>
      <c r="BA220" t="s">
        <v>274</v>
      </c>
      <c r="BB220" t="s">
        <v>274</v>
      </c>
      <c r="BC220" t="s">
        <v>274</v>
      </c>
      <c r="BD220" t="s">
        <v>274</v>
      </c>
      <c r="BE220" t="s">
        <v>274</v>
      </c>
      <c r="BF220" t="s">
        <v>274</v>
      </c>
      <c r="BG220" t="s">
        <v>274</v>
      </c>
      <c r="BH220" t="s">
        <v>274</v>
      </c>
      <c r="BI220" t="s">
        <v>274</v>
      </c>
      <c r="BJ220" t="s">
        <v>274</v>
      </c>
      <c r="BK220" t="s">
        <v>274</v>
      </c>
      <c r="BL220" t="s">
        <v>274</v>
      </c>
      <c r="BM220" t="s">
        <v>274</v>
      </c>
      <c r="BN220" t="s">
        <v>274</v>
      </c>
      <c r="BO220" t="s">
        <v>274</v>
      </c>
      <c r="BP220" t="s">
        <v>274</v>
      </c>
      <c r="BQ220" t="s">
        <v>274</v>
      </c>
      <c r="BR220" t="s">
        <v>274</v>
      </c>
    </row>
    <row r="221" spans="1:70" x14ac:dyDescent="0.3">
      <c r="A221" t="s">
        <v>3828</v>
      </c>
      <c r="B221" t="s">
        <v>3829</v>
      </c>
      <c r="C221" t="s">
        <v>578</v>
      </c>
      <c r="D221" t="s">
        <v>579</v>
      </c>
      <c r="E221" t="s">
        <v>274</v>
      </c>
      <c r="F221" t="s">
        <v>274</v>
      </c>
      <c r="G221" t="s">
        <v>274</v>
      </c>
      <c r="H221" t="s">
        <v>274</v>
      </c>
      <c r="I221" t="s">
        <v>274</v>
      </c>
      <c r="J221" t="s">
        <v>274</v>
      </c>
      <c r="K221" t="s">
        <v>274</v>
      </c>
      <c r="L221" t="s">
        <v>274</v>
      </c>
      <c r="M221" t="s">
        <v>274</v>
      </c>
      <c r="N221" t="s">
        <v>274</v>
      </c>
      <c r="O221" t="s">
        <v>274</v>
      </c>
      <c r="P221" t="s">
        <v>274</v>
      </c>
      <c r="Q221" t="s">
        <v>274</v>
      </c>
      <c r="R221" t="s">
        <v>274</v>
      </c>
      <c r="S221" t="s">
        <v>274</v>
      </c>
      <c r="T221" t="s">
        <v>274</v>
      </c>
      <c r="U221" t="s">
        <v>274</v>
      </c>
      <c r="V221" t="s">
        <v>274</v>
      </c>
      <c r="W221" t="s">
        <v>274</v>
      </c>
      <c r="X221" t="s">
        <v>274</v>
      </c>
      <c r="Y221" t="s">
        <v>274</v>
      </c>
      <c r="Z221" t="s">
        <v>274</v>
      </c>
      <c r="AA221" t="s">
        <v>274</v>
      </c>
      <c r="AB221" t="s">
        <v>274</v>
      </c>
      <c r="AC221" t="s">
        <v>274</v>
      </c>
      <c r="AD221" t="s">
        <v>274</v>
      </c>
      <c r="AE221" t="s">
        <v>274</v>
      </c>
      <c r="AF221" t="s">
        <v>274</v>
      </c>
      <c r="AG221" s="14" t="s">
        <v>274</v>
      </c>
      <c r="AH221" t="s">
        <v>274</v>
      </c>
      <c r="AI221" t="s">
        <v>274</v>
      </c>
      <c r="AJ221" t="s">
        <v>274</v>
      </c>
      <c r="AK221" t="s">
        <v>274</v>
      </c>
      <c r="AL221" t="s">
        <v>274</v>
      </c>
      <c r="AM221" t="s">
        <v>274</v>
      </c>
      <c r="AN221" t="s">
        <v>274</v>
      </c>
      <c r="AO221" t="s">
        <v>274</v>
      </c>
      <c r="AP221" t="s">
        <v>3830</v>
      </c>
      <c r="AQ221" t="s">
        <v>3831</v>
      </c>
      <c r="AR221" t="s">
        <v>3832</v>
      </c>
      <c r="AS221" t="s">
        <v>3833</v>
      </c>
      <c r="AT221" t="s">
        <v>3834</v>
      </c>
      <c r="AU221" t="s">
        <v>3835</v>
      </c>
      <c r="AV221" t="s">
        <v>3836</v>
      </c>
      <c r="AW221" t="s">
        <v>3837</v>
      </c>
      <c r="AX221" t="s">
        <v>3838</v>
      </c>
      <c r="AY221" t="s">
        <v>3839</v>
      </c>
      <c r="AZ221" t="s">
        <v>3840</v>
      </c>
      <c r="BA221" t="s">
        <v>3841</v>
      </c>
      <c r="BB221" t="s">
        <v>3842</v>
      </c>
      <c r="BC221" t="s">
        <v>3843</v>
      </c>
      <c r="BD221" t="s">
        <v>274</v>
      </c>
      <c r="BE221" t="s">
        <v>274</v>
      </c>
      <c r="BF221" t="s">
        <v>274</v>
      </c>
      <c r="BG221" t="s">
        <v>274</v>
      </c>
      <c r="BH221" t="s">
        <v>274</v>
      </c>
      <c r="BI221" t="s">
        <v>274</v>
      </c>
      <c r="BJ221" t="s">
        <v>274</v>
      </c>
      <c r="BK221" t="s">
        <v>274</v>
      </c>
      <c r="BL221" t="s">
        <v>274</v>
      </c>
      <c r="BM221" t="s">
        <v>274</v>
      </c>
      <c r="BN221" t="s">
        <v>274</v>
      </c>
      <c r="BO221" t="s">
        <v>274</v>
      </c>
      <c r="BP221" t="s">
        <v>274</v>
      </c>
      <c r="BQ221" t="s">
        <v>274</v>
      </c>
      <c r="BR221" t="s">
        <v>274</v>
      </c>
    </row>
    <row r="222" spans="1:70" x14ac:dyDescent="0.3">
      <c r="A222" t="s">
        <v>3844</v>
      </c>
      <c r="B222" t="s">
        <v>3845</v>
      </c>
      <c r="C222" t="s">
        <v>578</v>
      </c>
      <c r="D222" t="s">
        <v>579</v>
      </c>
      <c r="E222" t="s">
        <v>274</v>
      </c>
      <c r="F222" t="s">
        <v>274</v>
      </c>
      <c r="G222" t="s">
        <v>274</v>
      </c>
      <c r="H222" t="s">
        <v>274</v>
      </c>
      <c r="I222" t="s">
        <v>274</v>
      </c>
      <c r="J222" t="s">
        <v>274</v>
      </c>
      <c r="K222" t="s">
        <v>274</v>
      </c>
      <c r="L222" t="s">
        <v>274</v>
      </c>
      <c r="M222" t="s">
        <v>274</v>
      </c>
      <c r="N222" t="s">
        <v>274</v>
      </c>
      <c r="O222" t="s">
        <v>274</v>
      </c>
      <c r="P222" t="s">
        <v>274</v>
      </c>
      <c r="Q222" t="s">
        <v>274</v>
      </c>
      <c r="R222" t="s">
        <v>274</v>
      </c>
      <c r="S222" t="s">
        <v>274</v>
      </c>
      <c r="T222" t="s">
        <v>274</v>
      </c>
      <c r="U222" t="s">
        <v>274</v>
      </c>
      <c r="V222" t="s">
        <v>274</v>
      </c>
      <c r="W222" t="s">
        <v>274</v>
      </c>
      <c r="X222" t="s">
        <v>274</v>
      </c>
      <c r="Y222" t="s">
        <v>274</v>
      </c>
      <c r="Z222" t="s">
        <v>274</v>
      </c>
      <c r="AA222" t="s">
        <v>274</v>
      </c>
      <c r="AB222" t="s">
        <v>274</v>
      </c>
      <c r="AC222" t="s">
        <v>274</v>
      </c>
      <c r="AD222" t="s">
        <v>274</v>
      </c>
      <c r="AE222" t="s">
        <v>274</v>
      </c>
      <c r="AF222" t="s">
        <v>274</v>
      </c>
      <c r="AG222" s="14" t="s">
        <v>274</v>
      </c>
      <c r="AH222" t="s">
        <v>274</v>
      </c>
      <c r="AI222" t="s">
        <v>274</v>
      </c>
      <c r="AJ222" t="s">
        <v>274</v>
      </c>
      <c r="AK222" t="s">
        <v>274</v>
      </c>
      <c r="AL222" t="s">
        <v>274</v>
      </c>
      <c r="AM222" t="s">
        <v>274</v>
      </c>
      <c r="AN222" t="s">
        <v>274</v>
      </c>
      <c r="AO222" t="s">
        <v>274</v>
      </c>
      <c r="AP222" t="s">
        <v>274</v>
      </c>
      <c r="AQ222" t="s">
        <v>274</v>
      </c>
      <c r="AR222" t="s">
        <v>274</v>
      </c>
      <c r="AS222" t="s">
        <v>274</v>
      </c>
      <c r="AT222" t="s">
        <v>274</v>
      </c>
      <c r="AU222" t="s">
        <v>274</v>
      </c>
      <c r="AV222" t="s">
        <v>274</v>
      </c>
      <c r="AW222" t="s">
        <v>274</v>
      </c>
      <c r="AX222" t="s">
        <v>274</v>
      </c>
      <c r="AY222" t="s">
        <v>274</v>
      </c>
      <c r="AZ222" t="s">
        <v>274</v>
      </c>
      <c r="BA222" t="s">
        <v>274</v>
      </c>
      <c r="BB222" t="s">
        <v>274</v>
      </c>
      <c r="BC222" t="s">
        <v>274</v>
      </c>
      <c r="BD222" t="s">
        <v>274</v>
      </c>
      <c r="BE222" t="s">
        <v>274</v>
      </c>
      <c r="BF222" t="s">
        <v>274</v>
      </c>
      <c r="BG222" t="s">
        <v>274</v>
      </c>
      <c r="BH222" t="s">
        <v>274</v>
      </c>
      <c r="BI222" t="s">
        <v>274</v>
      </c>
      <c r="BJ222" t="s">
        <v>274</v>
      </c>
      <c r="BK222" t="s">
        <v>274</v>
      </c>
      <c r="BL222" t="s">
        <v>274</v>
      </c>
      <c r="BM222" t="s">
        <v>274</v>
      </c>
      <c r="BN222" t="s">
        <v>274</v>
      </c>
      <c r="BO222" t="s">
        <v>274</v>
      </c>
      <c r="BP222" t="s">
        <v>274</v>
      </c>
      <c r="BQ222" t="s">
        <v>274</v>
      </c>
      <c r="BR222" t="s">
        <v>274</v>
      </c>
    </row>
    <row r="223" spans="1:70" x14ac:dyDescent="0.3">
      <c r="A223" t="s">
        <v>3846</v>
      </c>
      <c r="B223" t="s">
        <v>3847</v>
      </c>
      <c r="C223" t="s">
        <v>578</v>
      </c>
      <c r="D223" t="s">
        <v>579</v>
      </c>
      <c r="E223" t="s">
        <v>274</v>
      </c>
      <c r="F223" t="s">
        <v>274</v>
      </c>
      <c r="G223" t="s">
        <v>274</v>
      </c>
      <c r="H223" t="s">
        <v>274</v>
      </c>
      <c r="I223" t="s">
        <v>274</v>
      </c>
      <c r="J223" t="s">
        <v>274</v>
      </c>
      <c r="K223" t="s">
        <v>274</v>
      </c>
      <c r="L223" t="s">
        <v>274</v>
      </c>
      <c r="M223" t="s">
        <v>274</v>
      </c>
      <c r="N223" t="s">
        <v>274</v>
      </c>
      <c r="O223" t="s">
        <v>274</v>
      </c>
      <c r="P223" t="s">
        <v>274</v>
      </c>
      <c r="Q223" t="s">
        <v>274</v>
      </c>
      <c r="R223" t="s">
        <v>274</v>
      </c>
      <c r="S223" t="s">
        <v>274</v>
      </c>
      <c r="T223" t="s">
        <v>274</v>
      </c>
      <c r="U223" t="s">
        <v>274</v>
      </c>
      <c r="V223" t="s">
        <v>274</v>
      </c>
      <c r="W223" t="s">
        <v>274</v>
      </c>
      <c r="X223" t="s">
        <v>274</v>
      </c>
      <c r="Y223" t="s">
        <v>274</v>
      </c>
      <c r="Z223" t="s">
        <v>274</v>
      </c>
      <c r="AA223" t="s">
        <v>274</v>
      </c>
      <c r="AB223" t="s">
        <v>274</v>
      </c>
      <c r="AC223" t="s">
        <v>274</v>
      </c>
      <c r="AD223" t="s">
        <v>274</v>
      </c>
      <c r="AE223" t="s">
        <v>274</v>
      </c>
      <c r="AF223" t="s">
        <v>274</v>
      </c>
      <c r="AG223" s="14" t="s">
        <v>274</v>
      </c>
      <c r="AH223" t="s">
        <v>274</v>
      </c>
      <c r="AI223" t="s">
        <v>274</v>
      </c>
      <c r="AJ223" t="s">
        <v>274</v>
      </c>
      <c r="AK223" t="s">
        <v>274</v>
      </c>
      <c r="AL223" t="s">
        <v>274</v>
      </c>
      <c r="AM223" t="s">
        <v>274</v>
      </c>
      <c r="AN223" t="s">
        <v>274</v>
      </c>
      <c r="AO223" t="s">
        <v>274</v>
      </c>
      <c r="AP223" t="s">
        <v>274</v>
      </c>
      <c r="AQ223" t="s">
        <v>274</v>
      </c>
      <c r="AR223" t="s">
        <v>274</v>
      </c>
      <c r="AS223" t="s">
        <v>274</v>
      </c>
      <c r="AT223" t="s">
        <v>274</v>
      </c>
      <c r="AU223" t="s">
        <v>274</v>
      </c>
      <c r="AV223" t="s">
        <v>274</v>
      </c>
      <c r="AW223" t="s">
        <v>274</v>
      </c>
      <c r="AX223" t="s">
        <v>274</v>
      </c>
      <c r="AY223" t="s">
        <v>274</v>
      </c>
      <c r="AZ223" t="s">
        <v>274</v>
      </c>
      <c r="BA223" t="s">
        <v>274</v>
      </c>
      <c r="BB223" t="s">
        <v>274</v>
      </c>
      <c r="BC223" t="s">
        <v>274</v>
      </c>
      <c r="BD223" t="s">
        <v>274</v>
      </c>
      <c r="BE223" t="s">
        <v>3848</v>
      </c>
      <c r="BF223" t="s">
        <v>3849</v>
      </c>
      <c r="BG223" t="s">
        <v>3850</v>
      </c>
      <c r="BH223" t="s">
        <v>3851</v>
      </c>
      <c r="BI223" t="s">
        <v>3852</v>
      </c>
      <c r="BJ223" t="s">
        <v>3853</v>
      </c>
      <c r="BK223" t="s">
        <v>3854</v>
      </c>
      <c r="BL223" t="s">
        <v>3855</v>
      </c>
      <c r="BM223" t="s">
        <v>3856</v>
      </c>
      <c r="BN223" t="s">
        <v>3857</v>
      </c>
      <c r="BO223" t="s">
        <v>3858</v>
      </c>
      <c r="BP223" t="s">
        <v>3859</v>
      </c>
      <c r="BQ223" t="s">
        <v>3860</v>
      </c>
      <c r="BR223" t="s">
        <v>274</v>
      </c>
    </row>
    <row r="224" spans="1:70" x14ac:dyDescent="0.3">
      <c r="A224" t="s">
        <v>165</v>
      </c>
      <c r="B224" t="s">
        <v>3861</v>
      </c>
      <c r="C224" t="s">
        <v>578</v>
      </c>
      <c r="D224" t="s">
        <v>579</v>
      </c>
      <c r="E224" t="s">
        <v>274</v>
      </c>
      <c r="F224" t="s">
        <v>274</v>
      </c>
      <c r="G224" t="s">
        <v>274</v>
      </c>
      <c r="H224" t="s">
        <v>274</v>
      </c>
      <c r="I224" t="s">
        <v>274</v>
      </c>
      <c r="J224" t="s">
        <v>274</v>
      </c>
      <c r="K224" t="s">
        <v>274</v>
      </c>
      <c r="L224" t="s">
        <v>274</v>
      </c>
      <c r="M224" t="s">
        <v>274</v>
      </c>
      <c r="N224" t="s">
        <v>274</v>
      </c>
      <c r="O224" t="s">
        <v>274</v>
      </c>
      <c r="P224" t="s">
        <v>274</v>
      </c>
      <c r="Q224" t="s">
        <v>274</v>
      </c>
      <c r="R224" t="s">
        <v>274</v>
      </c>
      <c r="S224" t="s">
        <v>274</v>
      </c>
      <c r="T224" t="s">
        <v>274</v>
      </c>
      <c r="U224" t="s">
        <v>274</v>
      </c>
      <c r="V224" t="s">
        <v>274</v>
      </c>
      <c r="W224" t="s">
        <v>274</v>
      </c>
      <c r="X224" t="s">
        <v>274</v>
      </c>
      <c r="Y224" t="s">
        <v>274</v>
      </c>
      <c r="Z224" t="s">
        <v>274</v>
      </c>
      <c r="AA224" t="s">
        <v>274</v>
      </c>
      <c r="AB224" t="s">
        <v>274</v>
      </c>
      <c r="AC224" t="s">
        <v>274</v>
      </c>
      <c r="AD224" t="s">
        <v>274</v>
      </c>
      <c r="AE224" t="s">
        <v>274</v>
      </c>
      <c r="AF224" t="s">
        <v>274</v>
      </c>
      <c r="AG224" s="14" t="s">
        <v>274</v>
      </c>
      <c r="AH224" t="s">
        <v>274</v>
      </c>
      <c r="AI224" t="s">
        <v>274</v>
      </c>
      <c r="AJ224" t="s">
        <v>274</v>
      </c>
      <c r="AK224" t="s">
        <v>274</v>
      </c>
      <c r="AL224" t="s">
        <v>274</v>
      </c>
      <c r="AM224" t="s">
        <v>274</v>
      </c>
      <c r="AN224" t="s">
        <v>274</v>
      </c>
      <c r="AO224" t="s">
        <v>274</v>
      </c>
      <c r="AP224" t="s">
        <v>274</v>
      </c>
      <c r="AQ224" t="s">
        <v>274</v>
      </c>
      <c r="AR224" t="s">
        <v>274</v>
      </c>
      <c r="AS224" t="s">
        <v>274</v>
      </c>
      <c r="AT224" t="s">
        <v>274</v>
      </c>
      <c r="AU224" t="s">
        <v>274</v>
      </c>
      <c r="AV224" t="s">
        <v>274</v>
      </c>
      <c r="AW224" t="s">
        <v>274</v>
      </c>
      <c r="AX224" t="s">
        <v>274</v>
      </c>
      <c r="AY224" t="s">
        <v>274</v>
      </c>
      <c r="AZ224" t="s">
        <v>274</v>
      </c>
      <c r="BA224" t="s">
        <v>274</v>
      </c>
      <c r="BB224" t="s">
        <v>274</v>
      </c>
      <c r="BC224" t="s">
        <v>274</v>
      </c>
      <c r="BD224" t="s">
        <v>274</v>
      </c>
      <c r="BE224" t="s">
        <v>274</v>
      </c>
      <c r="BF224" t="s">
        <v>274</v>
      </c>
      <c r="BG224" t="s">
        <v>274</v>
      </c>
      <c r="BH224" t="s">
        <v>274</v>
      </c>
      <c r="BI224" t="s">
        <v>274</v>
      </c>
      <c r="BJ224" t="s">
        <v>274</v>
      </c>
      <c r="BK224" t="s">
        <v>274</v>
      </c>
      <c r="BL224" t="s">
        <v>274</v>
      </c>
      <c r="BM224" t="s">
        <v>274</v>
      </c>
      <c r="BN224" t="s">
        <v>274</v>
      </c>
      <c r="BO224" t="s">
        <v>274</v>
      </c>
      <c r="BP224" t="s">
        <v>274</v>
      </c>
      <c r="BQ224" t="s">
        <v>274</v>
      </c>
      <c r="BR224" t="s">
        <v>274</v>
      </c>
    </row>
    <row r="225" spans="1:70" x14ac:dyDescent="0.3">
      <c r="A225" t="s">
        <v>3862</v>
      </c>
      <c r="B225" t="s">
        <v>3863</v>
      </c>
      <c r="C225" t="s">
        <v>578</v>
      </c>
      <c r="D225" t="s">
        <v>579</v>
      </c>
      <c r="E225" t="s">
        <v>274</v>
      </c>
      <c r="F225" t="s">
        <v>274</v>
      </c>
      <c r="G225" t="s">
        <v>274</v>
      </c>
      <c r="H225" t="s">
        <v>274</v>
      </c>
      <c r="I225" t="s">
        <v>274</v>
      </c>
      <c r="J225" t="s">
        <v>274</v>
      </c>
      <c r="K225" t="s">
        <v>274</v>
      </c>
      <c r="L225" t="s">
        <v>274</v>
      </c>
      <c r="M225" t="s">
        <v>274</v>
      </c>
      <c r="N225" t="s">
        <v>274</v>
      </c>
      <c r="O225" t="s">
        <v>274</v>
      </c>
      <c r="P225" t="s">
        <v>274</v>
      </c>
      <c r="Q225" t="s">
        <v>274</v>
      </c>
      <c r="R225" t="s">
        <v>274</v>
      </c>
      <c r="S225" t="s">
        <v>274</v>
      </c>
      <c r="T225" t="s">
        <v>274</v>
      </c>
      <c r="U225" t="s">
        <v>274</v>
      </c>
      <c r="V225" t="s">
        <v>274</v>
      </c>
      <c r="W225" t="s">
        <v>274</v>
      </c>
      <c r="X225" t="s">
        <v>274</v>
      </c>
      <c r="Y225" t="s">
        <v>274</v>
      </c>
      <c r="Z225" t="s">
        <v>274</v>
      </c>
      <c r="AA225" t="s">
        <v>274</v>
      </c>
      <c r="AB225" t="s">
        <v>274</v>
      </c>
      <c r="AC225" t="s">
        <v>274</v>
      </c>
      <c r="AD225" t="s">
        <v>274</v>
      </c>
      <c r="AE225" t="s">
        <v>274</v>
      </c>
      <c r="AF225" t="s">
        <v>274</v>
      </c>
      <c r="AG225" s="14" t="s">
        <v>274</v>
      </c>
      <c r="AH225" t="s">
        <v>274</v>
      </c>
      <c r="AI225" t="s">
        <v>274</v>
      </c>
      <c r="AJ225" t="s">
        <v>274</v>
      </c>
      <c r="AK225" t="s">
        <v>274</v>
      </c>
      <c r="AL225" t="s">
        <v>274</v>
      </c>
      <c r="AM225" t="s">
        <v>274</v>
      </c>
      <c r="AN225" t="s">
        <v>274</v>
      </c>
      <c r="AO225" t="s">
        <v>274</v>
      </c>
      <c r="AP225" t="s">
        <v>274</v>
      </c>
      <c r="AQ225" t="s">
        <v>274</v>
      </c>
      <c r="AR225" t="s">
        <v>274</v>
      </c>
      <c r="AS225" t="s">
        <v>274</v>
      </c>
      <c r="AT225" t="s">
        <v>274</v>
      </c>
      <c r="AU225" t="s">
        <v>274</v>
      </c>
      <c r="AV225" t="s">
        <v>274</v>
      </c>
      <c r="AW225" t="s">
        <v>274</v>
      </c>
      <c r="AX225" t="s">
        <v>274</v>
      </c>
      <c r="AY225" t="s">
        <v>274</v>
      </c>
      <c r="AZ225" t="s">
        <v>274</v>
      </c>
      <c r="BA225" t="s">
        <v>274</v>
      </c>
      <c r="BB225" t="s">
        <v>274</v>
      </c>
      <c r="BC225" t="s">
        <v>274</v>
      </c>
      <c r="BD225" t="s">
        <v>274</v>
      </c>
      <c r="BE225" t="s">
        <v>274</v>
      </c>
      <c r="BF225" t="s">
        <v>274</v>
      </c>
      <c r="BG225" t="s">
        <v>274</v>
      </c>
      <c r="BH225" t="s">
        <v>274</v>
      </c>
      <c r="BI225" t="s">
        <v>274</v>
      </c>
      <c r="BJ225" t="s">
        <v>274</v>
      </c>
      <c r="BK225" t="s">
        <v>274</v>
      </c>
      <c r="BL225" t="s">
        <v>274</v>
      </c>
      <c r="BM225" t="s">
        <v>274</v>
      </c>
      <c r="BN225" t="s">
        <v>274</v>
      </c>
      <c r="BO225" t="s">
        <v>274</v>
      </c>
      <c r="BP225" t="s">
        <v>274</v>
      </c>
      <c r="BQ225" t="s">
        <v>274</v>
      </c>
      <c r="BR225" t="s">
        <v>274</v>
      </c>
    </row>
    <row r="226" spans="1:70" x14ac:dyDescent="0.3">
      <c r="A226" t="s">
        <v>166</v>
      </c>
      <c r="B226" t="s">
        <v>3864</v>
      </c>
      <c r="C226" t="s">
        <v>578</v>
      </c>
      <c r="D226" t="s">
        <v>579</v>
      </c>
      <c r="E226" t="s">
        <v>274</v>
      </c>
      <c r="F226" t="s">
        <v>274</v>
      </c>
      <c r="G226" t="s">
        <v>274</v>
      </c>
      <c r="H226" t="s">
        <v>274</v>
      </c>
      <c r="I226" t="s">
        <v>274</v>
      </c>
      <c r="J226" t="s">
        <v>274</v>
      </c>
      <c r="K226" t="s">
        <v>274</v>
      </c>
      <c r="L226" t="s">
        <v>274</v>
      </c>
      <c r="M226" t="s">
        <v>274</v>
      </c>
      <c r="N226" t="s">
        <v>274</v>
      </c>
      <c r="O226" t="s">
        <v>274</v>
      </c>
      <c r="P226" t="s">
        <v>274</v>
      </c>
      <c r="Q226" t="s">
        <v>274</v>
      </c>
      <c r="R226" t="s">
        <v>274</v>
      </c>
      <c r="S226" t="s">
        <v>274</v>
      </c>
      <c r="T226" t="s">
        <v>274</v>
      </c>
      <c r="U226" t="s">
        <v>274</v>
      </c>
      <c r="V226" t="s">
        <v>274</v>
      </c>
      <c r="W226" t="s">
        <v>274</v>
      </c>
      <c r="X226" t="s">
        <v>274</v>
      </c>
      <c r="Y226" t="s">
        <v>274</v>
      </c>
      <c r="Z226" t="s">
        <v>274</v>
      </c>
      <c r="AA226" t="s">
        <v>274</v>
      </c>
      <c r="AB226" t="s">
        <v>274</v>
      </c>
      <c r="AC226" t="s">
        <v>274</v>
      </c>
      <c r="AD226" t="s">
        <v>274</v>
      </c>
      <c r="AE226" t="s">
        <v>274</v>
      </c>
      <c r="AF226" t="s">
        <v>274</v>
      </c>
      <c r="AG226" s="14" t="s">
        <v>274</v>
      </c>
      <c r="AH226" t="s">
        <v>274</v>
      </c>
      <c r="AI226" t="s">
        <v>274</v>
      </c>
      <c r="AJ226" t="s">
        <v>274</v>
      </c>
      <c r="AK226" t="s">
        <v>274</v>
      </c>
      <c r="AL226" t="s">
        <v>274</v>
      </c>
      <c r="AM226" t="s">
        <v>274</v>
      </c>
      <c r="AN226" t="s">
        <v>274</v>
      </c>
      <c r="AO226" t="s">
        <v>274</v>
      </c>
      <c r="AP226" t="s">
        <v>274</v>
      </c>
      <c r="AQ226" t="s">
        <v>274</v>
      </c>
      <c r="AR226" t="s">
        <v>274</v>
      </c>
      <c r="AS226" t="s">
        <v>274</v>
      </c>
      <c r="AT226" t="s">
        <v>3865</v>
      </c>
      <c r="AU226" t="s">
        <v>3866</v>
      </c>
      <c r="AV226" t="s">
        <v>3867</v>
      </c>
      <c r="AW226" t="s">
        <v>3868</v>
      </c>
      <c r="AX226" t="s">
        <v>3869</v>
      </c>
      <c r="AY226" t="s">
        <v>3870</v>
      </c>
      <c r="AZ226" t="s">
        <v>3871</v>
      </c>
      <c r="BA226" t="s">
        <v>3871</v>
      </c>
      <c r="BB226" t="s">
        <v>3872</v>
      </c>
      <c r="BC226" t="s">
        <v>3873</v>
      </c>
      <c r="BD226" t="s">
        <v>3874</v>
      </c>
      <c r="BE226" t="s">
        <v>3875</v>
      </c>
      <c r="BF226" t="s">
        <v>3876</v>
      </c>
      <c r="BG226" t="s">
        <v>3877</v>
      </c>
      <c r="BH226" t="s">
        <v>3878</v>
      </c>
      <c r="BI226" t="s">
        <v>3879</v>
      </c>
      <c r="BJ226" t="s">
        <v>3880</v>
      </c>
      <c r="BK226" t="s">
        <v>3881</v>
      </c>
      <c r="BL226" t="s">
        <v>3882</v>
      </c>
      <c r="BM226" t="s">
        <v>3883</v>
      </c>
      <c r="BN226" t="s">
        <v>3884</v>
      </c>
      <c r="BO226" t="s">
        <v>3885</v>
      </c>
      <c r="BP226" t="s">
        <v>3886</v>
      </c>
      <c r="BQ226" t="s">
        <v>274</v>
      </c>
      <c r="BR226" t="s">
        <v>274</v>
      </c>
    </row>
    <row r="227" spans="1:70" x14ac:dyDescent="0.3">
      <c r="A227" t="s">
        <v>167</v>
      </c>
      <c r="B227" t="s">
        <v>3887</v>
      </c>
      <c r="C227" t="s">
        <v>578</v>
      </c>
      <c r="D227" t="s">
        <v>579</v>
      </c>
      <c r="E227" t="s">
        <v>274</v>
      </c>
      <c r="F227" t="s">
        <v>274</v>
      </c>
      <c r="G227" t="s">
        <v>274</v>
      </c>
      <c r="H227" t="s">
        <v>274</v>
      </c>
      <c r="I227" t="s">
        <v>274</v>
      </c>
      <c r="J227" t="s">
        <v>274</v>
      </c>
      <c r="K227" t="s">
        <v>274</v>
      </c>
      <c r="L227" t="s">
        <v>274</v>
      </c>
      <c r="M227" t="s">
        <v>274</v>
      </c>
      <c r="N227" t="s">
        <v>274</v>
      </c>
      <c r="O227" t="s">
        <v>274</v>
      </c>
      <c r="P227" t="s">
        <v>274</v>
      </c>
      <c r="Q227" t="s">
        <v>274</v>
      </c>
      <c r="R227" t="s">
        <v>274</v>
      </c>
      <c r="S227" t="s">
        <v>274</v>
      </c>
      <c r="T227" t="s">
        <v>274</v>
      </c>
      <c r="U227" t="s">
        <v>274</v>
      </c>
      <c r="V227" t="s">
        <v>274</v>
      </c>
      <c r="W227" t="s">
        <v>274</v>
      </c>
      <c r="X227" t="s">
        <v>274</v>
      </c>
      <c r="Y227" t="s">
        <v>274</v>
      </c>
      <c r="Z227" t="s">
        <v>274</v>
      </c>
      <c r="AA227" t="s">
        <v>274</v>
      </c>
      <c r="AB227" t="s">
        <v>274</v>
      </c>
      <c r="AC227" t="s">
        <v>274</v>
      </c>
      <c r="AD227" t="s">
        <v>274</v>
      </c>
      <c r="AE227" t="s">
        <v>274</v>
      </c>
      <c r="AF227" t="s">
        <v>274</v>
      </c>
      <c r="AG227" s="14" t="s">
        <v>274</v>
      </c>
      <c r="AH227" t="s">
        <v>274</v>
      </c>
      <c r="AI227" t="s">
        <v>1224</v>
      </c>
      <c r="AJ227" t="s">
        <v>3888</v>
      </c>
      <c r="AK227" t="s">
        <v>3889</v>
      </c>
      <c r="AL227" t="s">
        <v>3353</v>
      </c>
      <c r="AM227" t="s">
        <v>1754</v>
      </c>
      <c r="AN227" t="s">
        <v>3890</v>
      </c>
      <c r="AO227" t="s">
        <v>3891</v>
      </c>
      <c r="AP227" t="s">
        <v>3892</v>
      </c>
      <c r="AQ227" t="s">
        <v>3893</v>
      </c>
      <c r="AR227" t="s">
        <v>3894</v>
      </c>
      <c r="AS227" t="s">
        <v>1861</v>
      </c>
      <c r="AT227" t="s">
        <v>3895</v>
      </c>
      <c r="AU227" t="s">
        <v>3896</v>
      </c>
      <c r="AV227" t="s">
        <v>3083</v>
      </c>
      <c r="AW227" t="s">
        <v>3226</v>
      </c>
      <c r="AX227" t="s">
        <v>3897</v>
      </c>
      <c r="AY227" t="s">
        <v>3898</v>
      </c>
      <c r="AZ227" t="s">
        <v>872</v>
      </c>
      <c r="BA227" t="s">
        <v>3899</v>
      </c>
      <c r="BB227" t="s">
        <v>3900</v>
      </c>
      <c r="BC227" t="s">
        <v>3901</v>
      </c>
      <c r="BD227" t="s">
        <v>3902</v>
      </c>
      <c r="BE227" t="s">
        <v>3903</v>
      </c>
      <c r="BF227" t="s">
        <v>3904</v>
      </c>
      <c r="BG227" t="s">
        <v>3905</v>
      </c>
      <c r="BH227" t="s">
        <v>3906</v>
      </c>
      <c r="BI227" t="s">
        <v>3907</v>
      </c>
      <c r="BJ227" t="s">
        <v>3908</v>
      </c>
      <c r="BK227" t="s">
        <v>3909</v>
      </c>
      <c r="BL227" t="s">
        <v>3910</v>
      </c>
      <c r="BM227" t="s">
        <v>3911</v>
      </c>
      <c r="BN227" t="s">
        <v>3912</v>
      </c>
      <c r="BO227" t="s">
        <v>3913</v>
      </c>
      <c r="BP227" t="s">
        <v>3914</v>
      </c>
      <c r="BQ227" t="s">
        <v>3915</v>
      </c>
      <c r="BR227" t="s">
        <v>274</v>
      </c>
    </row>
    <row r="228" spans="1:70" x14ac:dyDescent="0.3">
      <c r="A228" t="s">
        <v>230</v>
      </c>
      <c r="B228" t="s">
        <v>3916</v>
      </c>
      <c r="C228" t="s">
        <v>578</v>
      </c>
      <c r="D228" t="s">
        <v>579</v>
      </c>
      <c r="E228" t="s">
        <v>274</v>
      </c>
      <c r="F228" t="s">
        <v>274</v>
      </c>
      <c r="G228" t="s">
        <v>274</v>
      </c>
      <c r="H228" t="s">
        <v>274</v>
      </c>
      <c r="I228" t="s">
        <v>274</v>
      </c>
      <c r="J228" t="s">
        <v>274</v>
      </c>
      <c r="K228" t="s">
        <v>274</v>
      </c>
      <c r="L228" t="s">
        <v>274</v>
      </c>
      <c r="M228" t="s">
        <v>274</v>
      </c>
      <c r="N228" t="s">
        <v>274</v>
      </c>
      <c r="O228" t="s">
        <v>274</v>
      </c>
      <c r="P228" t="s">
        <v>274</v>
      </c>
      <c r="Q228" t="s">
        <v>274</v>
      </c>
      <c r="R228" t="s">
        <v>274</v>
      </c>
      <c r="S228" t="s">
        <v>274</v>
      </c>
      <c r="T228" t="s">
        <v>274</v>
      </c>
      <c r="U228" t="s">
        <v>274</v>
      </c>
      <c r="V228" t="s">
        <v>274</v>
      </c>
      <c r="W228" t="s">
        <v>274</v>
      </c>
      <c r="X228" t="s">
        <v>274</v>
      </c>
      <c r="Y228" t="s">
        <v>274</v>
      </c>
      <c r="Z228" t="s">
        <v>274</v>
      </c>
      <c r="AA228" t="s">
        <v>274</v>
      </c>
      <c r="AB228" t="s">
        <v>274</v>
      </c>
      <c r="AC228" t="s">
        <v>274</v>
      </c>
      <c r="AD228" t="s">
        <v>274</v>
      </c>
      <c r="AE228" t="s">
        <v>274</v>
      </c>
      <c r="AF228" t="s">
        <v>274</v>
      </c>
      <c r="AG228" s="14" t="s">
        <v>274</v>
      </c>
      <c r="AH228" t="s">
        <v>274</v>
      </c>
      <c r="AI228" t="s">
        <v>274</v>
      </c>
      <c r="AJ228" t="s">
        <v>274</v>
      </c>
      <c r="AK228" t="s">
        <v>274</v>
      </c>
      <c r="AL228" t="s">
        <v>274</v>
      </c>
      <c r="AM228" t="s">
        <v>274</v>
      </c>
      <c r="AN228" t="s">
        <v>274</v>
      </c>
      <c r="AO228" t="s">
        <v>274</v>
      </c>
      <c r="AP228" t="s">
        <v>274</v>
      </c>
      <c r="AQ228" t="s">
        <v>274</v>
      </c>
      <c r="AR228" t="s">
        <v>274</v>
      </c>
      <c r="AS228" t="s">
        <v>274</v>
      </c>
      <c r="AT228" t="s">
        <v>274</v>
      </c>
      <c r="AU228" t="s">
        <v>274</v>
      </c>
      <c r="AV228" t="s">
        <v>274</v>
      </c>
      <c r="AW228" t="s">
        <v>274</v>
      </c>
      <c r="AX228" t="s">
        <v>274</v>
      </c>
      <c r="AY228" t="s">
        <v>274</v>
      </c>
      <c r="AZ228" t="s">
        <v>274</v>
      </c>
      <c r="BA228" t="s">
        <v>274</v>
      </c>
      <c r="BB228" t="s">
        <v>274</v>
      </c>
      <c r="BC228" t="s">
        <v>274</v>
      </c>
      <c r="BD228" t="s">
        <v>274</v>
      </c>
      <c r="BE228" t="s">
        <v>274</v>
      </c>
      <c r="BF228" t="s">
        <v>274</v>
      </c>
      <c r="BG228" t="s">
        <v>274</v>
      </c>
      <c r="BH228" t="s">
        <v>274</v>
      </c>
      <c r="BI228" t="s">
        <v>274</v>
      </c>
      <c r="BJ228" t="s">
        <v>274</v>
      </c>
      <c r="BK228" t="s">
        <v>274</v>
      </c>
      <c r="BL228" t="s">
        <v>274</v>
      </c>
      <c r="BM228" t="s">
        <v>274</v>
      </c>
      <c r="BN228" t="s">
        <v>274</v>
      </c>
      <c r="BO228" t="s">
        <v>274</v>
      </c>
      <c r="BP228" t="s">
        <v>274</v>
      </c>
      <c r="BQ228" t="s">
        <v>274</v>
      </c>
      <c r="BR228" t="s">
        <v>274</v>
      </c>
    </row>
    <row r="229" spans="1:70" x14ac:dyDescent="0.3">
      <c r="A229" t="s">
        <v>231</v>
      </c>
      <c r="B229" t="s">
        <v>3917</v>
      </c>
      <c r="C229" t="s">
        <v>578</v>
      </c>
      <c r="D229" t="s">
        <v>579</v>
      </c>
      <c r="E229" t="s">
        <v>274</v>
      </c>
      <c r="F229" t="s">
        <v>274</v>
      </c>
      <c r="G229" t="s">
        <v>274</v>
      </c>
      <c r="H229" t="s">
        <v>274</v>
      </c>
      <c r="I229" t="s">
        <v>274</v>
      </c>
      <c r="J229" t="s">
        <v>274</v>
      </c>
      <c r="K229" t="s">
        <v>274</v>
      </c>
      <c r="L229" t="s">
        <v>274</v>
      </c>
      <c r="M229" t="s">
        <v>274</v>
      </c>
      <c r="N229" t="s">
        <v>274</v>
      </c>
      <c r="O229" t="s">
        <v>274</v>
      </c>
      <c r="P229" t="s">
        <v>274</v>
      </c>
      <c r="Q229" t="s">
        <v>274</v>
      </c>
      <c r="R229" t="s">
        <v>274</v>
      </c>
      <c r="S229" t="s">
        <v>274</v>
      </c>
      <c r="T229" t="s">
        <v>274</v>
      </c>
      <c r="U229" t="s">
        <v>274</v>
      </c>
      <c r="V229" t="s">
        <v>274</v>
      </c>
      <c r="W229" t="s">
        <v>274</v>
      </c>
      <c r="X229" t="s">
        <v>274</v>
      </c>
      <c r="Y229" t="s">
        <v>274</v>
      </c>
      <c r="Z229" t="s">
        <v>274</v>
      </c>
      <c r="AA229" t="s">
        <v>274</v>
      </c>
      <c r="AB229" t="s">
        <v>274</v>
      </c>
      <c r="AC229" t="s">
        <v>274</v>
      </c>
      <c r="AD229" t="s">
        <v>274</v>
      </c>
      <c r="AE229" t="s">
        <v>274</v>
      </c>
      <c r="AF229" t="s">
        <v>274</v>
      </c>
      <c r="AG229" s="14" t="s">
        <v>274</v>
      </c>
      <c r="AH229" t="s">
        <v>274</v>
      </c>
      <c r="AI229" t="s">
        <v>274</v>
      </c>
      <c r="AJ229" t="s">
        <v>274</v>
      </c>
      <c r="AK229" t="s">
        <v>274</v>
      </c>
      <c r="AL229" t="s">
        <v>274</v>
      </c>
      <c r="AM229" t="s">
        <v>274</v>
      </c>
      <c r="AN229" t="s">
        <v>274</v>
      </c>
      <c r="AO229" t="s">
        <v>274</v>
      </c>
      <c r="AP229" t="s">
        <v>274</v>
      </c>
      <c r="AQ229" t="s">
        <v>274</v>
      </c>
      <c r="AR229" t="s">
        <v>274</v>
      </c>
      <c r="AS229" t="s">
        <v>274</v>
      </c>
      <c r="AT229" t="s">
        <v>274</v>
      </c>
      <c r="AU229" t="s">
        <v>274</v>
      </c>
      <c r="AV229" t="s">
        <v>274</v>
      </c>
      <c r="AW229" t="s">
        <v>274</v>
      </c>
      <c r="AX229" t="s">
        <v>274</v>
      </c>
      <c r="AY229" t="s">
        <v>274</v>
      </c>
      <c r="AZ229" t="s">
        <v>274</v>
      </c>
      <c r="BA229" t="s">
        <v>274</v>
      </c>
      <c r="BB229" t="s">
        <v>274</v>
      </c>
      <c r="BC229" t="s">
        <v>274</v>
      </c>
      <c r="BD229" t="s">
        <v>274</v>
      </c>
      <c r="BE229" t="s">
        <v>274</v>
      </c>
      <c r="BF229" t="s">
        <v>274</v>
      </c>
      <c r="BG229" t="s">
        <v>274</v>
      </c>
      <c r="BH229" t="s">
        <v>274</v>
      </c>
      <c r="BI229" t="s">
        <v>274</v>
      </c>
      <c r="BJ229" t="s">
        <v>274</v>
      </c>
      <c r="BK229" t="s">
        <v>274</v>
      </c>
      <c r="BL229" t="s">
        <v>274</v>
      </c>
      <c r="BM229" t="s">
        <v>274</v>
      </c>
      <c r="BN229" t="s">
        <v>274</v>
      </c>
      <c r="BO229" t="s">
        <v>274</v>
      </c>
      <c r="BP229" t="s">
        <v>274</v>
      </c>
      <c r="BQ229" t="s">
        <v>274</v>
      </c>
      <c r="BR229" t="s">
        <v>274</v>
      </c>
    </row>
    <row r="230" spans="1:70" x14ac:dyDescent="0.3">
      <c r="A230" t="s">
        <v>168</v>
      </c>
      <c r="B230" t="s">
        <v>3918</v>
      </c>
      <c r="C230" t="s">
        <v>578</v>
      </c>
      <c r="D230" t="s">
        <v>579</v>
      </c>
      <c r="E230" t="s">
        <v>274</v>
      </c>
      <c r="F230" t="s">
        <v>274</v>
      </c>
      <c r="G230" t="s">
        <v>274</v>
      </c>
      <c r="H230" t="s">
        <v>274</v>
      </c>
      <c r="I230" t="s">
        <v>274</v>
      </c>
      <c r="J230" t="s">
        <v>274</v>
      </c>
      <c r="K230" t="s">
        <v>274</v>
      </c>
      <c r="L230" t="s">
        <v>274</v>
      </c>
      <c r="M230" t="s">
        <v>274</v>
      </c>
      <c r="N230" t="s">
        <v>274</v>
      </c>
      <c r="O230" t="s">
        <v>274</v>
      </c>
      <c r="P230" t="s">
        <v>274</v>
      </c>
      <c r="Q230" t="s">
        <v>274</v>
      </c>
      <c r="R230" t="s">
        <v>274</v>
      </c>
      <c r="S230" t="s">
        <v>274</v>
      </c>
      <c r="T230" t="s">
        <v>274</v>
      </c>
      <c r="U230" t="s">
        <v>274</v>
      </c>
      <c r="V230" t="s">
        <v>274</v>
      </c>
      <c r="W230" t="s">
        <v>274</v>
      </c>
      <c r="X230" t="s">
        <v>274</v>
      </c>
      <c r="Y230" t="s">
        <v>274</v>
      </c>
      <c r="Z230" t="s">
        <v>274</v>
      </c>
      <c r="AA230" t="s">
        <v>274</v>
      </c>
      <c r="AB230" t="s">
        <v>274</v>
      </c>
      <c r="AC230" t="s">
        <v>274</v>
      </c>
      <c r="AD230" t="s">
        <v>274</v>
      </c>
      <c r="AE230" t="s">
        <v>274</v>
      </c>
      <c r="AF230" t="s">
        <v>274</v>
      </c>
      <c r="AG230" s="14" t="s">
        <v>274</v>
      </c>
      <c r="AH230" t="s">
        <v>274</v>
      </c>
      <c r="AI230" t="s">
        <v>274</v>
      </c>
      <c r="AJ230" t="s">
        <v>274</v>
      </c>
      <c r="AK230" t="s">
        <v>3919</v>
      </c>
      <c r="AL230" t="s">
        <v>3920</v>
      </c>
      <c r="AM230" t="s">
        <v>296</v>
      </c>
      <c r="AN230" t="s">
        <v>3921</v>
      </c>
      <c r="AO230" t="s">
        <v>3922</v>
      </c>
      <c r="AP230" t="s">
        <v>3923</v>
      </c>
      <c r="AQ230" t="s">
        <v>3924</v>
      </c>
      <c r="AR230" t="s">
        <v>789</v>
      </c>
      <c r="AS230" t="s">
        <v>3925</v>
      </c>
      <c r="AT230" t="s">
        <v>3926</v>
      </c>
      <c r="AU230" t="s">
        <v>3927</v>
      </c>
      <c r="AV230" t="s">
        <v>3928</v>
      </c>
      <c r="AW230" t="s">
        <v>3929</v>
      </c>
      <c r="AX230" t="s">
        <v>3930</v>
      </c>
      <c r="AY230" t="s">
        <v>3931</v>
      </c>
      <c r="AZ230" t="s">
        <v>274</v>
      </c>
      <c r="BA230" t="s">
        <v>274</v>
      </c>
      <c r="BB230" t="s">
        <v>274</v>
      </c>
      <c r="BC230" t="s">
        <v>274</v>
      </c>
      <c r="BD230" t="s">
        <v>274</v>
      </c>
      <c r="BE230" t="s">
        <v>274</v>
      </c>
      <c r="BF230" t="s">
        <v>274</v>
      </c>
      <c r="BG230" t="s">
        <v>274</v>
      </c>
      <c r="BH230" t="s">
        <v>274</v>
      </c>
      <c r="BI230" t="s">
        <v>274</v>
      </c>
      <c r="BJ230" t="s">
        <v>274</v>
      </c>
      <c r="BK230" t="s">
        <v>274</v>
      </c>
      <c r="BL230" t="s">
        <v>274</v>
      </c>
      <c r="BM230" t="s">
        <v>274</v>
      </c>
      <c r="BN230" t="s">
        <v>274</v>
      </c>
      <c r="BO230" t="s">
        <v>274</v>
      </c>
      <c r="BP230" t="s">
        <v>274</v>
      </c>
      <c r="BQ230" t="s">
        <v>274</v>
      </c>
      <c r="BR230" t="s">
        <v>274</v>
      </c>
    </row>
    <row r="231" spans="1:70" x14ac:dyDescent="0.3">
      <c r="A231" t="s">
        <v>232</v>
      </c>
      <c r="B231" t="s">
        <v>3932</v>
      </c>
      <c r="C231" t="s">
        <v>578</v>
      </c>
      <c r="D231" t="s">
        <v>579</v>
      </c>
      <c r="E231" t="s">
        <v>274</v>
      </c>
      <c r="F231" t="s">
        <v>274</v>
      </c>
      <c r="G231" t="s">
        <v>274</v>
      </c>
      <c r="H231" t="s">
        <v>274</v>
      </c>
      <c r="I231" t="s">
        <v>274</v>
      </c>
      <c r="J231" t="s">
        <v>274</v>
      </c>
      <c r="K231" t="s">
        <v>274</v>
      </c>
      <c r="L231" t="s">
        <v>274</v>
      </c>
      <c r="M231" t="s">
        <v>274</v>
      </c>
      <c r="N231" t="s">
        <v>274</v>
      </c>
      <c r="O231" t="s">
        <v>274</v>
      </c>
      <c r="P231" t="s">
        <v>274</v>
      </c>
      <c r="Q231" t="s">
        <v>274</v>
      </c>
      <c r="R231" t="s">
        <v>274</v>
      </c>
      <c r="S231" t="s">
        <v>274</v>
      </c>
      <c r="T231" t="s">
        <v>1288</v>
      </c>
      <c r="U231" t="s">
        <v>596</v>
      </c>
      <c r="V231" t="s">
        <v>596</v>
      </c>
      <c r="W231" t="s">
        <v>1970</v>
      </c>
      <c r="X231" t="s">
        <v>1214</v>
      </c>
      <c r="Y231" t="s">
        <v>594</v>
      </c>
      <c r="Z231" t="s">
        <v>3933</v>
      </c>
      <c r="AA231" t="s">
        <v>3934</v>
      </c>
      <c r="AB231" t="s">
        <v>1105</v>
      </c>
      <c r="AC231" t="s">
        <v>2086</v>
      </c>
      <c r="AD231" t="s">
        <v>3935</v>
      </c>
      <c r="AE231" t="s">
        <v>3936</v>
      </c>
      <c r="AF231" t="s">
        <v>3937</v>
      </c>
      <c r="AG231" s="14" t="s">
        <v>3938</v>
      </c>
      <c r="AH231" t="s">
        <v>3939</v>
      </c>
      <c r="AI231" t="s">
        <v>1239</v>
      </c>
      <c r="AJ231" t="s">
        <v>3720</v>
      </c>
      <c r="AK231" t="s">
        <v>3940</v>
      </c>
      <c r="AL231" t="s">
        <v>2208</v>
      </c>
      <c r="AM231" t="s">
        <v>1248</v>
      </c>
      <c r="AN231" t="s">
        <v>3941</v>
      </c>
      <c r="AO231" t="s">
        <v>3942</v>
      </c>
      <c r="AP231" t="s">
        <v>1862</v>
      </c>
      <c r="AQ231" t="s">
        <v>1862</v>
      </c>
      <c r="AR231" t="s">
        <v>3943</v>
      </c>
      <c r="AS231" t="s">
        <v>1240</v>
      </c>
      <c r="AT231" t="s">
        <v>3072</v>
      </c>
      <c r="AU231" t="s">
        <v>3944</v>
      </c>
      <c r="AV231" t="s">
        <v>3945</v>
      </c>
      <c r="AW231" t="s">
        <v>3946</v>
      </c>
      <c r="AX231" t="s">
        <v>3947</v>
      </c>
      <c r="AY231" t="s">
        <v>1294</v>
      </c>
      <c r="AZ231" t="s">
        <v>3948</v>
      </c>
      <c r="BA231" t="s">
        <v>2989</v>
      </c>
      <c r="BB231" t="s">
        <v>3949</v>
      </c>
      <c r="BC231" t="s">
        <v>1214</v>
      </c>
      <c r="BD231" t="s">
        <v>597</v>
      </c>
      <c r="BE231" t="s">
        <v>1206</v>
      </c>
      <c r="BF231" t="s">
        <v>599</v>
      </c>
      <c r="BG231" t="s">
        <v>3950</v>
      </c>
      <c r="BH231" t="s">
        <v>3951</v>
      </c>
      <c r="BI231" t="s">
        <v>587</v>
      </c>
      <c r="BJ231" t="s">
        <v>1288</v>
      </c>
      <c r="BK231" t="s">
        <v>3952</v>
      </c>
      <c r="BL231" t="s">
        <v>3953</v>
      </c>
      <c r="BM231" t="s">
        <v>1284</v>
      </c>
      <c r="BN231" t="s">
        <v>793</v>
      </c>
      <c r="BO231" t="s">
        <v>599</v>
      </c>
      <c r="BP231" t="s">
        <v>1024</v>
      </c>
      <c r="BQ231" t="s">
        <v>3954</v>
      </c>
      <c r="BR231" t="s">
        <v>274</v>
      </c>
    </row>
    <row r="232" spans="1:70" x14ac:dyDescent="0.3">
      <c r="A232" t="s">
        <v>3955</v>
      </c>
      <c r="B232" t="s">
        <v>3956</v>
      </c>
      <c r="C232" t="s">
        <v>578</v>
      </c>
      <c r="D232" t="s">
        <v>579</v>
      </c>
      <c r="E232" t="s">
        <v>274</v>
      </c>
      <c r="F232" t="s">
        <v>274</v>
      </c>
      <c r="G232" t="s">
        <v>274</v>
      </c>
      <c r="H232" t="s">
        <v>274</v>
      </c>
      <c r="I232" t="s">
        <v>274</v>
      </c>
      <c r="J232" t="s">
        <v>274</v>
      </c>
      <c r="K232" t="s">
        <v>274</v>
      </c>
      <c r="L232" t="s">
        <v>274</v>
      </c>
      <c r="M232" t="s">
        <v>274</v>
      </c>
      <c r="N232" t="s">
        <v>274</v>
      </c>
      <c r="O232" t="s">
        <v>274</v>
      </c>
      <c r="P232" t="s">
        <v>274</v>
      </c>
      <c r="Q232" t="s">
        <v>274</v>
      </c>
      <c r="R232" t="s">
        <v>274</v>
      </c>
      <c r="S232" t="s">
        <v>274</v>
      </c>
      <c r="T232" t="s">
        <v>274</v>
      </c>
      <c r="U232" t="s">
        <v>274</v>
      </c>
      <c r="V232" t="s">
        <v>274</v>
      </c>
      <c r="W232" t="s">
        <v>274</v>
      </c>
      <c r="X232" t="s">
        <v>274</v>
      </c>
      <c r="Y232" t="s">
        <v>274</v>
      </c>
      <c r="Z232" t="s">
        <v>274</v>
      </c>
      <c r="AA232" t="s">
        <v>274</v>
      </c>
      <c r="AB232" t="s">
        <v>274</v>
      </c>
      <c r="AC232" t="s">
        <v>274</v>
      </c>
      <c r="AD232" t="s">
        <v>274</v>
      </c>
      <c r="AE232" t="s">
        <v>274</v>
      </c>
      <c r="AF232" t="s">
        <v>274</v>
      </c>
      <c r="AG232" s="14" t="s">
        <v>274</v>
      </c>
      <c r="AH232" t="s">
        <v>274</v>
      </c>
      <c r="AI232" t="s">
        <v>274</v>
      </c>
      <c r="AJ232" t="s">
        <v>274</v>
      </c>
      <c r="AK232" t="s">
        <v>274</v>
      </c>
      <c r="AL232" t="s">
        <v>274</v>
      </c>
      <c r="AM232" t="s">
        <v>274</v>
      </c>
      <c r="AN232" t="s">
        <v>274</v>
      </c>
      <c r="AO232" t="s">
        <v>274</v>
      </c>
      <c r="AP232" t="s">
        <v>274</v>
      </c>
      <c r="AQ232" t="s">
        <v>274</v>
      </c>
      <c r="AR232" t="s">
        <v>274</v>
      </c>
      <c r="AS232" t="s">
        <v>274</v>
      </c>
      <c r="AT232" t="s">
        <v>274</v>
      </c>
      <c r="AU232" t="s">
        <v>274</v>
      </c>
      <c r="AV232" t="s">
        <v>274</v>
      </c>
      <c r="AW232" t="s">
        <v>274</v>
      </c>
      <c r="AX232" t="s">
        <v>274</v>
      </c>
      <c r="AY232" t="s">
        <v>274</v>
      </c>
      <c r="AZ232" t="s">
        <v>274</v>
      </c>
      <c r="BA232" t="s">
        <v>274</v>
      </c>
      <c r="BB232" t="s">
        <v>274</v>
      </c>
      <c r="BC232" t="s">
        <v>274</v>
      </c>
      <c r="BD232" t="s">
        <v>274</v>
      </c>
      <c r="BE232" t="s">
        <v>274</v>
      </c>
      <c r="BF232" t="s">
        <v>274</v>
      </c>
      <c r="BG232" t="s">
        <v>274</v>
      </c>
      <c r="BH232" t="s">
        <v>274</v>
      </c>
      <c r="BI232" t="s">
        <v>274</v>
      </c>
      <c r="BJ232" t="s">
        <v>274</v>
      </c>
      <c r="BK232" t="s">
        <v>274</v>
      </c>
      <c r="BL232" t="s">
        <v>274</v>
      </c>
      <c r="BM232" t="s">
        <v>274</v>
      </c>
      <c r="BN232" t="s">
        <v>274</v>
      </c>
      <c r="BO232" t="s">
        <v>274</v>
      </c>
      <c r="BP232" t="s">
        <v>274</v>
      </c>
      <c r="BQ232" t="s">
        <v>274</v>
      </c>
      <c r="BR232" t="s">
        <v>274</v>
      </c>
    </row>
    <row r="233" spans="1:70" x14ac:dyDescent="0.3">
      <c r="A233" t="s">
        <v>169</v>
      </c>
      <c r="B233" t="s">
        <v>3957</v>
      </c>
      <c r="C233" t="s">
        <v>578</v>
      </c>
      <c r="D233" t="s">
        <v>579</v>
      </c>
      <c r="E233" t="s">
        <v>274</v>
      </c>
      <c r="F233" t="s">
        <v>274</v>
      </c>
      <c r="G233" t="s">
        <v>274</v>
      </c>
      <c r="H233" t="s">
        <v>274</v>
      </c>
      <c r="I233" t="s">
        <v>274</v>
      </c>
      <c r="J233" t="s">
        <v>274</v>
      </c>
      <c r="K233" t="s">
        <v>274</v>
      </c>
      <c r="L233" t="s">
        <v>274</v>
      </c>
      <c r="M233" t="s">
        <v>274</v>
      </c>
      <c r="N233" t="s">
        <v>274</v>
      </c>
      <c r="O233" t="s">
        <v>274</v>
      </c>
      <c r="P233" t="s">
        <v>274</v>
      </c>
      <c r="Q233" t="s">
        <v>274</v>
      </c>
      <c r="R233" t="s">
        <v>274</v>
      </c>
      <c r="S233" t="s">
        <v>274</v>
      </c>
      <c r="T233" t="s">
        <v>274</v>
      </c>
      <c r="U233" t="s">
        <v>274</v>
      </c>
      <c r="V233" t="s">
        <v>274</v>
      </c>
      <c r="W233" t="s">
        <v>274</v>
      </c>
      <c r="X233" t="s">
        <v>274</v>
      </c>
      <c r="Y233" t="s">
        <v>274</v>
      </c>
      <c r="Z233" t="s">
        <v>274</v>
      </c>
      <c r="AA233" t="s">
        <v>274</v>
      </c>
      <c r="AB233" t="s">
        <v>274</v>
      </c>
      <c r="AC233" t="s">
        <v>274</v>
      </c>
      <c r="AD233" t="s">
        <v>274</v>
      </c>
      <c r="AE233" t="s">
        <v>274</v>
      </c>
      <c r="AF233" t="s">
        <v>274</v>
      </c>
      <c r="AG233" s="14" t="s">
        <v>274</v>
      </c>
      <c r="AH233" t="s">
        <v>3958</v>
      </c>
      <c r="AI233" t="s">
        <v>3959</v>
      </c>
      <c r="AJ233" t="s">
        <v>3960</v>
      </c>
      <c r="AK233" t="s">
        <v>3961</v>
      </c>
      <c r="AL233" t="s">
        <v>3962</v>
      </c>
      <c r="AM233" t="s">
        <v>3687</v>
      </c>
      <c r="AN233" t="s">
        <v>3963</v>
      </c>
      <c r="AO233" t="s">
        <v>3964</v>
      </c>
      <c r="AP233" t="s">
        <v>3965</v>
      </c>
      <c r="AQ233" t="s">
        <v>3966</v>
      </c>
      <c r="AR233" t="s">
        <v>3967</v>
      </c>
      <c r="AS233" t="s">
        <v>3968</v>
      </c>
      <c r="AT233" t="s">
        <v>3969</v>
      </c>
      <c r="AU233" t="s">
        <v>3970</v>
      </c>
      <c r="AV233" t="s">
        <v>3971</v>
      </c>
      <c r="AW233" t="s">
        <v>3972</v>
      </c>
      <c r="AX233" t="s">
        <v>3973</v>
      </c>
      <c r="AY233" t="s">
        <v>3974</v>
      </c>
      <c r="AZ233" t="s">
        <v>3975</v>
      </c>
      <c r="BA233" t="s">
        <v>3976</v>
      </c>
      <c r="BB233" t="s">
        <v>3977</v>
      </c>
      <c r="BC233" t="s">
        <v>3978</v>
      </c>
      <c r="BD233" t="s">
        <v>3979</v>
      </c>
      <c r="BE233" t="s">
        <v>3980</v>
      </c>
      <c r="BF233" t="s">
        <v>3981</v>
      </c>
      <c r="BG233" t="s">
        <v>3982</v>
      </c>
      <c r="BH233" t="s">
        <v>3983</v>
      </c>
      <c r="BI233" t="s">
        <v>3984</v>
      </c>
      <c r="BJ233" t="s">
        <v>3985</v>
      </c>
      <c r="BK233" t="s">
        <v>3986</v>
      </c>
      <c r="BL233" t="s">
        <v>3987</v>
      </c>
      <c r="BM233" t="s">
        <v>3988</v>
      </c>
      <c r="BN233" t="s">
        <v>3989</v>
      </c>
      <c r="BO233" t="s">
        <v>3990</v>
      </c>
      <c r="BP233" t="s">
        <v>3991</v>
      </c>
      <c r="BQ233" t="s">
        <v>3992</v>
      </c>
      <c r="BR233" t="s">
        <v>274</v>
      </c>
    </row>
    <row r="234" spans="1:70" x14ac:dyDescent="0.3">
      <c r="A234" t="s">
        <v>170</v>
      </c>
      <c r="B234" t="s">
        <v>3993</v>
      </c>
      <c r="C234" t="s">
        <v>578</v>
      </c>
      <c r="D234" t="s">
        <v>579</v>
      </c>
      <c r="E234" t="s">
        <v>274</v>
      </c>
      <c r="F234" t="s">
        <v>274</v>
      </c>
      <c r="G234" t="s">
        <v>274</v>
      </c>
      <c r="H234" t="s">
        <v>274</v>
      </c>
      <c r="I234" t="s">
        <v>274</v>
      </c>
      <c r="J234" t="s">
        <v>274</v>
      </c>
      <c r="K234" t="s">
        <v>274</v>
      </c>
      <c r="L234" t="s">
        <v>274</v>
      </c>
      <c r="M234" t="s">
        <v>274</v>
      </c>
      <c r="N234" t="s">
        <v>274</v>
      </c>
      <c r="O234" t="s">
        <v>274</v>
      </c>
      <c r="P234" t="s">
        <v>274</v>
      </c>
      <c r="Q234" t="s">
        <v>274</v>
      </c>
      <c r="R234" t="s">
        <v>274</v>
      </c>
      <c r="S234" t="s">
        <v>274</v>
      </c>
      <c r="T234" t="s">
        <v>274</v>
      </c>
      <c r="U234" t="s">
        <v>274</v>
      </c>
      <c r="V234" t="s">
        <v>274</v>
      </c>
      <c r="W234" t="s">
        <v>274</v>
      </c>
      <c r="X234" t="s">
        <v>274</v>
      </c>
      <c r="Y234" t="s">
        <v>274</v>
      </c>
      <c r="Z234" t="s">
        <v>274</v>
      </c>
      <c r="AA234" t="s">
        <v>274</v>
      </c>
      <c r="AB234" t="s">
        <v>274</v>
      </c>
      <c r="AC234" t="s">
        <v>274</v>
      </c>
      <c r="AD234" t="s">
        <v>274</v>
      </c>
      <c r="AE234" t="s">
        <v>274</v>
      </c>
      <c r="AF234" t="s">
        <v>274</v>
      </c>
      <c r="AG234" s="14" t="s">
        <v>274</v>
      </c>
      <c r="AH234" t="s">
        <v>274</v>
      </c>
      <c r="AI234" t="s">
        <v>274</v>
      </c>
      <c r="AJ234" t="s">
        <v>274</v>
      </c>
      <c r="AK234" t="s">
        <v>274</v>
      </c>
      <c r="AL234" t="s">
        <v>274</v>
      </c>
      <c r="AM234" t="s">
        <v>274</v>
      </c>
      <c r="AN234" t="s">
        <v>274</v>
      </c>
      <c r="AO234" t="s">
        <v>274</v>
      </c>
      <c r="AP234" t="s">
        <v>274</v>
      </c>
      <c r="AQ234" t="s">
        <v>274</v>
      </c>
      <c r="AR234" t="s">
        <v>274</v>
      </c>
      <c r="AS234" t="s">
        <v>274</v>
      </c>
      <c r="AT234" t="s">
        <v>274</v>
      </c>
      <c r="AU234" t="s">
        <v>274</v>
      </c>
      <c r="AV234" t="s">
        <v>274</v>
      </c>
      <c r="AW234" t="s">
        <v>274</v>
      </c>
      <c r="AX234" t="s">
        <v>274</v>
      </c>
      <c r="AY234" t="s">
        <v>274</v>
      </c>
      <c r="AZ234" t="s">
        <v>274</v>
      </c>
      <c r="BA234" t="s">
        <v>274</v>
      </c>
      <c r="BB234" t="s">
        <v>274</v>
      </c>
      <c r="BC234" t="s">
        <v>274</v>
      </c>
      <c r="BD234" t="s">
        <v>274</v>
      </c>
      <c r="BE234" t="s">
        <v>274</v>
      </c>
      <c r="BF234" t="s">
        <v>274</v>
      </c>
      <c r="BG234" t="s">
        <v>274</v>
      </c>
      <c r="BH234" t="s">
        <v>274</v>
      </c>
      <c r="BI234" t="s">
        <v>274</v>
      </c>
      <c r="BJ234" t="s">
        <v>274</v>
      </c>
      <c r="BK234" t="s">
        <v>274</v>
      </c>
      <c r="BL234" t="s">
        <v>274</v>
      </c>
      <c r="BM234" t="s">
        <v>274</v>
      </c>
      <c r="BN234" t="s">
        <v>274</v>
      </c>
      <c r="BO234" t="s">
        <v>274</v>
      </c>
      <c r="BP234" t="s">
        <v>274</v>
      </c>
      <c r="BQ234" t="s">
        <v>274</v>
      </c>
      <c r="BR234" t="s">
        <v>274</v>
      </c>
    </row>
    <row r="235" spans="1:70" x14ac:dyDescent="0.3">
      <c r="A235" t="s">
        <v>3994</v>
      </c>
      <c r="B235" t="s">
        <v>3995</v>
      </c>
      <c r="C235" t="s">
        <v>578</v>
      </c>
      <c r="D235" t="s">
        <v>579</v>
      </c>
      <c r="E235" t="s">
        <v>274</v>
      </c>
      <c r="F235" t="s">
        <v>274</v>
      </c>
      <c r="G235" t="s">
        <v>274</v>
      </c>
      <c r="H235" t="s">
        <v>274</v>
      </c>
      <c r="I235" t="s">
        <v>274</v>
      </c>
      <c r="J235" t="s">
        <v>274</v>
      </c>
      <c r="K235" t="s">
        <v>274</v>
      </c>
      <c r="L235" t="s">
        <v>274</v>
      </c>
      <c r="M235" t="s">
        <v>274</v>
      </c>
      <c r="N235" t="s">
        <v>274</v>
      </c>
      <c r="O235" t="s">
        <v>274</v>
      </c>
      <c r="P235" t="s">
        <v>274</v>
      </c>
      <c r="Q235" t="s">
        <v>274</v>
      </c>
      <c r="R235" t="s">
        <v>274</v>
      </c>
      <c r="S235" t="s">
        <v>274</v>
      </c>
      <c r="T235" t="s">
        <v>274</v>
      </c>
      <c r="U235" t="s">
        <v>274</v>
      </c>
      <c r="V235" t="s">
        <v>274</v>
      </c>
      <c r="W235" t="s">
        <v>274</v>
      </c>
      <c r="X235" t="s">
        <v>274</v>
      </c>
      <c r="Y235" t="s">
        <v>274</v>
      </c>
      <c r="Z235" t="s">
        <v>274</v>
      </c>
      <c r="AA235" t="s">
        <v>274</v>
      </c>
      <c r="AB235" t="s">
        <v>274</v>
      </c>
      <c r="AC235" t="s">
        <v>274</v>
      </c>
      <c r="AD235" t="s">
        <v>274</v>
      </c>
      <c r="AE235" t="s">
        <v>274</v>
      </c>
      <c r="AF235" t="s">
        <v>274</v>
      </c>
      <c r="AG235" s="14" t="s">
        <v>274</v>
      </c>
      <c r="AH235" t="s">
        <v>274</v>
      </c>
      <c r="AI235" t="s">
        <v>274</v>
      </c>
      <c r="AJ235" t="s">
        <v>274</v>
      </c>
      <c r="AK235" t="s">
        <v>274</v>
      </c>
      <c r="AL235" t="s">
        <v>274</v>
      </c>
      <c r="AM235" t="s">
        <v>274</v>
      </c>
      <c r="AN235" t="s">
        <v>274</v>
      </c>
      <c r="AO235" t="s">
        <v>274</v>
      </c>
      <c r="AP235" t="s">
        <v>274</v>
      </c>
      <c r="AQ235" t="s">
        <v>274</v>
      </c>
      <c r="AR235" t="s">
        <v>274</v>
      </c>
      <c r="AS235" t="s">
        <v>274</v>
      </c>
      <c r="AT235" t="s">
        <v>274</v>
      </c>
      <c r="AU235" t="s">
        <v>274</v>
      </c>
      <c r="AV235" t="s">
        <v>274</v>
      </c>
      <c r="AW235" t="s">
        <v>274</v>
      </c>
      <c r="AX235" t="s">
        <v>274</v>
      </c>
      <c r="AY235" t="s">
        <v>274</v>
      </c>
      <c r="AZ235" t="s">
        <v>274</v>
      </c>
      <c r="BA235" t="s">
        <v>274</v>
      </c>
      <c r="BB235" t="s">
        <v>274</v>
      </c>
      <c r="BC235" t="s">
        <v>274</v>
      </c>
      <c r="BD235" t="s">
        <v>274</v>
      </c>
      <c r="BE235" t="s">
        <v>274</v>
      </c>
      <c r="BF235" t="s">
        <v>274</v>
      </c>
      <c r="BG235" t="s">
        <v>274</v>
      </c>
      <c r="BH235" t="s">
        <v>274</v>
      </c>
      <c r="BI235" t="s">
        <v>274</v>
      </c>
      <c r="BJ235" t="s">
        <v>274</v>
      </c>
      <c r="BK235" t="s">
        <v>274</v>
      </c>
      <c r="BL235" t="s">
        <v>274</v>
      </c>
      <c r="BM235" t="s">
        <v>274</v>
      </c>
      <c r="BN235" t="s">
        <v>274</v>
      </c>
      <c r="BO235" t="s">
        <v>274</v>
      </c>
      <c r="BP235" t="s">
        <v>274</v>
      </c>
      <c r="BQ235" t="s">
        <v>274</v>
      </c>
      <c r="BR235" t="s">
        <v>274</v>
      </c>
    </row>
    <row r="236" spans="1:70" x14ac:dyDescent="0.3">
      <c r="A236" t="s">
        <v>233</v>
      </c>
      <c r="B236" t="s">
        <v>3996</v>
      </c>
      <c r="C236" t="s">
        <v>578</v>
      </c>
      <c r="D236" t="s">
        <v>579</v>
      </c>
      <c r="E236" t="s">
        <v>274</v>
      </c>
      <c r="F236" t="s">
        <v>274</v>
      </c>
      <c r="G236" t="s">
        <v>274</v>
      </c>
      <c r="H236" t="s">
        <v>274</v>
      </c>
      <c r="I236" t="s">
        <v>274</v>
      </c>
      <c r="J236" t="s">
        <v>274</v>
      </c>
      <c r="K236" t="s">
        <v>274</v>
      </c>
      <c r="L236" t="s">
        <v>274</v>
      </c>
      <c r="M236" t="s">
        <v>274</v>
      </c>
      <c r="N236" t="s">
        <v>274</v>
      </c>
      <c r="O236" t="s">
        <v>274</v>
      </c>
      <c r="P236" t="s">
        <v>274</v>
      </c>
      <c r="Q236" t="s">
        <v>274</v>
      </c>
      <c r="R236" t="s">
        <v>274</v>
      </c>
      <c r="S236" t="s">
        <v>274</v>
      </c>
      <c r="T236" t="s">
        <v>274</v>
      </c>
      <c r="U236" t="s">
        <v>274</v>
      </c>
      <c r="V236" t="s">
        <v>274</v>
      </c>
      <c r="W236" t="s">
        <v>274</v>
      </c>
      <c r="X236" t="s">
        <v>274</v>
      </c>
      <c r="Y236" t="s">
        <v>274</v>
      </c>
      <c r="Z236" t="s">
        <v>274</v>
      </c>
      <c r="AA236" t="s">
        <v>274</v>
      </c>
      <c r="AB236" t="s">
        <v>274</v>
      </c>
      <c r="AC236" t="s">
        <v>274</v>
      </c>
      <c r="AD236" t="s">
        <v>274</v>
      </c>
      <c r="AE236" t="s">
        <v>274</v>
      </c>
      <c r="AF236" t="s">
        <v>274</v>
      </c>
      <c r="AG236" s="14" t="s">
        <v>274</v>
      </c>
      <c r="AH236" t="s">
        <v>274</v>
      </c>
      <c r="AI236" t="s">
        <v>274</v>
      </c>
      <c r="AJ236" t="s">
        <v>274</v>
      </c>
      <c r="AK236" t="s">
        <v>274</v>
      </c>
      <c r="AL236" t="s">
        <v>274</v>
      </c>
      <c r="AM236" t="s">
        <v>274</v>
      </c>
      <c r="AN236" t="s">
        <v>274</v>
      </c>
      <c r="AO236" t="s">
        <v>274</v>
      </c>
      <c r="AP236" t="s">
        <v>274</v>
      </c>
      <c r="AQ236" t="s">
        <v>274</v>
      </c>
      <c r="AR236" t="s">
        <v>274</v>
      </c>
      <c r="AS236" t="s">
        <v>274</v>
      </c>
      <c r="AT236" t="s">
        <v>274</v>
      </c>
      <c r="AU236" t="s">
        <v>274</v>
      </c>
      <c r="AV236" t="s">
        <v>274</v>
      </c>
      <c r="AW236" t="s">
        <v>274</v>
      </c>
      <c r="AX236" t="s">
        <v>274</v>
      </c>
      <c r="AY236" t="s">
        <v>274</v>
      </c>
      <c r="AZ236" t="s">
        <v>274</v>
      </c>
      <c r="BA236" t="s">
        <v>274</v>
      </c>
      <c r="BB236" t="s">
        <v>274</v>
      </c>
      <c r="BC236" t="s">
        <v>274</v>
      </c>
      <c r="BD236" t="s">
        <v>274</v>
      </c>
      <c r="BE236" t="s">
        <v>274</v>
      </c>
      <c r="BF236" t="s">
        <v>274</v>
      </c>
      <c r="BG236" t="s">
        <v>274</v>
      </c>
      <c r="BH236" t="s">
        <v>274</v>
      </c>
      <c r="BI236" t="s">
        <v>274</v>
      </c>
      <c r="BJ236" t="s">
        <v>274</v>
      </c>
      <c r="BK236" t="s">
        <v>274</v>
      </c>
      <c r="BL236" t="s">
        <v>274</v>
      </c>
      <c r="BM236" t="s">
        <v>274</v>
      </c>
      <c r="BN236" t="s">
        <v>274</v>
      </c>
      <c r="BO236" t="s">
        <v>274</v>
      </c>
      <c r="BP236" t="s">
        <v>274</v>
      </c>
      <c r="BQ236" t="s">
        <v>274</v>
      </c>
      <c r="BR236" t="s">
        <v>274</v>
      </c>
    </row>
    <row r="237" spans="1:70" x14ac:dyDescent="0.3">
      <c r="A237" t="s">
        <v>3997</v>
      </c>
      <c r="B237" t="s">
        <v>3998</v>
      </c>
      <c r="C237" t="s">
        <v>578</v>
      </c>
      <c r="D237" t="s">
        <v>579</v>
      </c>
      <c r="E237" t="s">
        <v>274</v>
      </c>
      <c r="F237" t="s">
        <v>274</v>
      </c>
      <c r="G237" t="s">
        <v>274</v>
      </c>
      <c r="H237" t="s">
        <v>274</v>
      </c>
      <c r="I237" t="s">
        <v>274</v>
      </c>
      <c r="J237" t="s">
        <v>274</v>
      </c>
      <c r="K237" t="s">
        <v>274</v>
      </c>
      <c r="L237" t="s">
        <v>274</v>
      </c>
      <c r="M237" t="s">
        <v>274</v>
      </c>
      <c r="N237" t="s">
        <v>274</v>
      </c>
      <c r="O237" t="s">
        <v>274</v>
      </c>
      <c r="P237" t="s">
        <v>274</v>
      </c>
      <c r="Q237" t="s">
        <v>274</v>
      </c>
      <c r="R237" t="s">
        <v>274</v>
      </c>
      <c r="S237" t="s">
        <v>274</v>
      </c>
      <c r="T237" t="s">
        <v>274</v>
      </c>
      <c r="U237" t="s">
        <v>274</v>
      </c>
      <c r="V237" t="s">
        <v>274</v>
      </c>
      <c r="W237" t="s">
        <v>274</v>
      </c>
      <c r="X237" t="s">
        <v>274</v>
      </c>
      <c r="Y237" t="s">
        <v>274</v>
      </c>
      <c r="Z237" t="s">
        <v>274</v>
      </c>
      <c r="AA237" t="s">
        <v>274</v>
      </c>
      <c r="AB237" t="s">
        <v>274</v>
      </c>
      <c r="AC237" t="s">
        <v>274</v>
      </c>
      <c r="AD237" t="s">
        <v>274</v>
      </c>
      <c r="AE237" t="s">
        <v>274</v>
      </c>
      <c r="AF237" t="s">
        <v>274</v>
      </c>
      <c r="AG237" s="14" t="s">
        <v>274</v>
      </c>
      <c r="AH237" t="s">
        <v>274</v>
      </c>
      <c r="AI237" t="s">
        <v>274</v>
      </c>
      <c r="AJ237" t="s">
        <v>274</v>
      </c>
      <c r="AK237" t="s">
        <v>274</v>
      </c>
      <c r="AL237" t="s">
        <v>274</v>
      </c>
      <c r="AM237" t="s">
        <v>274</v>
      </c>
      <c r="AN237" t="s">
        <v>274</v>
      </c>
      <c r="AO237" t="s">
        <v>274</v>
      </c>
      <c r="AP237" t="s">
        <v>274</v>
      </c>
      <c r="AQ237" t="s">
        <v>274</v>
      </c>
      <c r="AR237" t="s">
        <v>274</v>
      </c>
      <c r="AS237" t="s">
        <v>274</v>
      </c>
      <c r="AT237" t="s">
        <v>274</v>
      </c>
      <c r="AU237" t="s">
        <v>274</v>
      </c>
      <c r="AV237" t="s">
        <v>274</v>
      </c>
      <c r="AW237" t="s">
        <v>274</v>
      </c>
      <c r="AX237" t="s">
        <v>274</v>
      </c>
      <c r="AY237" t="s">
        <v>274</v>
      </c>
      <c r="AZ237" t="s">
        <v>274</v>
      </c>
      <c r="BA237" t="s">
        <v>274</v>
      </c>
      <c r="BB237" t="s">
        <v>274</v>
      </c>
      <c r="BC237" t="s">
        <v>274</v>
      </c>
      <c r="BD237" t="s">
        <v>274</v>
      </c>
      <c r="BE237" t="s">
        <v>274</v>
      </c>
      <c r="BF237" t="s">
        <v>274</v>
      </c>
      <c r="BG237" t="s">
        <v>274</v>
      </c>
      <c r="BH237" t="s">
        <v>274</v>
      </c>
      <c r="BI237" t="s">
        <v>274</v>
      </c>
      <c r="BJ237" t="s">
        <v>274</v>
      </c>
      <c r="BK237" t="s">
        <v>274</v>
      </c>
      <c r="BL237" t="s">
        <v>274</v>
      </c>
      <c r="BM237" t="s">
        <v>274</v>
      </c>
      <c r="BN237" t="s">
        <v>274</v>
      </c>
      <c r="BO237" t="s">
        <v>274</v>
      </c>
      <c r="BP237" t="s">
        <v>274</v>
      </c>
      <c r="BQ237" t="s">
        <v>274</v>
      </c>
      <c r="BR237" t="s">
        <v>274</v>
      </c>
    </row>
    <row r="238" spans="1:70" x14ac:dyDescent="0.3">
      <c r="A238" t="s">
        <v>3999</v>
      </c>
      <c r="B238" t="s">
        <v>4000</v>
      </c>
      <c r="C238" t="s">
        <v>578</v>
      </c>
      <c r="D238" t="s">
        <v>579</v>
      </c>
      <c r="E238" t="s">
        <v>274</v>
      </c>
      <c r="F238" t="s">
        <v>274</v>
      </c>
      <c r="G238" t="s">
        <v>274</v>
      </c>
      <c r="H238" t="s">
        <v>274</v>
      </c>
      <c r="I238" t="s">
        <v>274</v>
      </c>
      <c r="J238" t="s">
        <v>274</v>
      </c>
      <c r="K238" t="s">
        <v>274</v>
      </c>
      <c r="L238" t="s">
        <v>274</v>
      </c>
      <c r="M238" t="s">
        <v>274</v>
      </c>
      <c r="N238" t="s">
        <v>274</v>
      </c>
      <c r="O238" t="s">
        <v>274</v>
      </c>
      <c r="P238" t="s">
        <v>274</v>
      </c>
      <c r="Q238" t="s">
        <v>274</v>
      </c>
      <c r="R238" t="s">
        <v>274</v>
      </c>
      <c r="S238" t="s">
        <v>274</v>
      </c>
      <c r="T238" t="s">
        <v>274</v>
      </c>
      <c r="U238" t="s">
        <v>274</v>
      </c>
      <c r="V238" t="s">
        <v>274</v>
      </c>
      <c r="W238" t="s">
        <v>274</v>
      </c>
      <c r="X238" t="s">
        <v>274</v>
      </c>
      <c r="Y238" t="s">
        <v>274</v>
      </c>
      <c r="Z238" t="s">
        <v>274</v>
      </c>
      <c r="AA238" t="s">
        <v>274</v>
      </c>
      <c r="AB238" t="s">
        <v>274</v>
      </c>
      <c r="AC238" t="s">
        <v>274</v>
      </c>
      <c r="AD238" t="s">
        <v>274</v>
      </c>
      <c r="AE238" t="s">
        <v>274</v>
      </c>
      <c r="AF238" t="s">
        <v>274</v>
      </c>
      <c r="AG238" s="14" t="s">
        <v>274</v>
      </c>
      <c r="AH238" t="s">
        <v>274</v>
      </c>
      <c r="AI238" t="s">
        <v>274</v>
      </c>
      <c r="AJ238" t="s">
        <v>274</v>
      </c>
      <c r="AK238" t="s">
        <v>274</v>
      </c>
      <c r="AL238" t="s">
        <v>274</v>
      </c>
      <c r="AM238" t="s">
        <v>274</v>
      </c>
      <c r="AN238" t="s">
        <v>274</v>
      </c>
      <c r="AO238" t="s">
        <v>274</v>
      </c>
      <c r="AP238" t="s">
        <v>274</v>
      </c>
      <c r="AQ238" t="s">
        <v>274</v>
      </c>
      <c r="AR238" t="s">
        <v>274</v>
      </c>
      <c r="AS238" t="s">
        <v>274</v>
      </c>
      <c r="AT238" t="s">
        <v>274</v>
      </c>
      <c r="AU238" t="s">
        <v>274</v>
      </c>
      <c r="AV238" t="s">
        <v>274</v>
      </c>
      <c r="AW238" t="s">
        <v>274</v>
      </c>
      <c r="AX238" t="s">
        <v>274</v>
      </c>
      <c r="AY238" t="s">
        <v>274</v>
      </c>
      <c r="AZ238" t="s">
        <v>274</v>
      </c>
      <c r="BA238" t="s">
        <v>274</v>
      </c>
      <c r="BB238" t="s">
        <v>274</v>
      </c>
      <c r="BC238" t="s">
        <v>274</v>
      </c>
      <c r="BD238" t="s">
        <v>274</v>
      </c>
      <c r="BE238" t="s">
        <v>274</v>
      </c>
      <c r="BF238" t="s">
        <v>274</v>
      </c>
      <c r="BG238" t="s">
        <v>274</v>
      </c>
      <c r="BH238" t="s">
        <v>274</v>
      </c>
      <c r="BI238" t="s">
        <v>274</v>
      </c>
      <c r="BJ238" t="s">
        <v>274</v>
      </c>
      <c r="BK238" t="s">
        <v>274</v>
      </c>
      <c r="BL238" t="s">
        <v>274</v>
      </c>
      <c r="BM238" t="s">
        <v>274</v>
      </c>
      <c r="BN238" t="s">
        <v>274</v>
      </c>
      <c r="BO238" t="s">
        <v>274</v>
      </c>
      <c r="BP238" t="s">
        <v>274</v>
      </c>
      <c r="BQ238" t="s">
        <v>274</v>
      </c>
      <c r="BR238" t="s">
        <v>274</v>
      </c>
    </row>
    <row r="239" spans="1:70" x14ac:dyDescent="0.3">
      <c r="A239" t="s">
        <v>4001</v>
      </c>
      <c r="B239" t="s">
        <v>4002</v>
      </c>
      <c r="C239" t="s">
        <v>578</v>
      </c>
      <c r="D239" t="s">
        <v>579</v>
      </c>
      <c r="E239" t="s">
        <v>274</v>
      </c>
      <c r="F239" t="s">
        <v>274</v>
      </c>
      <c r="G239" t="s">
        <v>274</v>
      </c>
      <c r="H239" t="s">
        <v>274</v>
      </c>
      <c r="I239" t="s">
        <v>274</v>
      </c>
      <c r="J239" t="s">
        <v>274</v>
      </c>
      <c r="K239" t="s">
        <v>274</v>
      </c>
      <c r="L239" t="s">
        <v>274</v>
      </c>
      <c r="M239" t="s">
        <v>274</v>
      </c>
      <c r="N239" t="s">
        <v>274</v>
      </c>
      <c r="O239" t="s">
        <v>274</v>
      </c>
      <c r="P239" t="s">
        <v>274</v>
      </c>
      <c r="Q239" t="s">
        <v>274</v>
      </c>
      <c r="R239" t="s">
        <v>274</v>
      </c>
      <c r="S239" t="s">
        <v>274</v>
      </c>
      <c r="T239" t="s">
        <v>274</v>
      </c>
      <c r="U239" t="s">
        <v>274</v>
      </c>
      <c r="V239" t="s">
        <v>274</v>
      </c>
      <c r="W239" t="s">
        <v>274</v>
      </c>
      <c r="X239" t="s">
        <v>274</v>
      </c>
      <c r="Y239" t="s">
        <v>274</v>
      </c>
      <c r="Z239" t="s">
        <v>274</v>
      </c>
      <c r="AA239" t="s">
        <v>274</v>
      </c>
      <c r="AB239" t="s">
        <v>274</v>
      </c>
      <c r="AC239" t="s">
        <v>274</v>
      </c>
      <c r="AD239" t="s">
        <v>274</v>
      </c>
      <c r="AE239" t="s">
        <v>274</v>
      </c>
      <c r="AF239" t="s">
        <v>274</v>
      </c>
      <c r="AG239" s="14" t="s">
        <v>274</v>
      </c>
      <c r="AH239" t="s">
        <v>274</v>
      </c>
      <c r="AI239" t="s">
        <v>274</v>
      </c>
      <c r="AJ239" t="s">
        <v>274</v>
      </c>
      <c r="AK239" t="s">
        <v>274</v>
      </c>
      <c r="AL239" t="s">
        <v>274</v>
      </c>
      <c r="AM239" t="s">
        <v>274</v>
      </c>
      <c r="AN239" t="s">
        <v>274</v>
      </c>
      <c r="AO239" t="s">
        <v>274</v>
      </c>
      <c r="AP239" t="s">
        <v>274</v>
      </c>
      <c r="AQ239" t="s">
        <v>274</v>
      </c>
      <c r="AR239" t="s">
        <v>274</v>
      </c>
      <c r="AS239" t="s">
        <v>274</v>
      </c>
      <c r="AT239" t="s">
        <v>274</v>
      </c>
      <c r="AU239" t="s">
        <v>274</v>
      </c>
      <c r="AV239" t="s">
        <v>274</v>
      </c>
      <c r="AW239" t="s">
        <v>274</v>
      </c>
      <c r="AX239" t="s">
        <v>4003</v>
      </c>
      <c r="AY239" t="s">
        <v>904</v>
      </c>
      <c r="AZ239" t="s">
        <v>905</v>
      </c>
      <c r="BA239" t="s">
        <v>906</v>
      </c>
      <c r="BB239" t="s">
        <v>907</v>
      </c>
      <c r="BC239" t="s">
        <v>908</v>
      </c>
      <c r="BD239" t="s">
        <v>909</v>
      </c>
      <c r="BE239" t="s">
        <v>910</v>
      </c>
      <c r="BF239" t="s">
        <v>911</v>
      </c>
      <c r="BG239" t="s">
        <v>912</v>
      </c>
      <c r="BH239" t="s">
        <v>913</v>
      </c>
      <c r="BI239" t="s">
        <v>914</v>
      </c>
      <c r="BJ239" t="s">
        <v>1400</v>
      </c>
      <c r="BK239" t="s">
        <v>274</v>
      </c>
      <c r="BL239" t="s">
        <v>274</v>
      </c>
      <c r="BM239" t="s">
        <v>274</v>
      </c>
      <c r="BN239" t="s">
        <v>274</v>
      </c>
      <c r="BO239" t="s">
        <v>274</v>
      </c>
      <c r="BP239" t="s">
        <v>274</v>
      </c>
      <c r="BQ239" t="s">
        <v>274</v>
      </c>
      <c r="BR239" t="s">
        <v>274</v>
      </c>
    </row>
    <row r="240" spans="1:70" x14ac:dyDescent="0.3">
      <c r="A240" t="s">
        <v>171</v>
      </c>
      <c r="B240" t="s">
        <v>4004</v>
      </c>
      <c r="C240" t="s">
        <v>578</v>
      </c>
      <c r="D240" t="s">
        <v>579</v>
      </c>
      <c r="E240" t="s">
        <v>274</v>
      </c>
      <c r="F240" t="s">
        <v>274</v>
      </c>
      <c r="G240" t="s">
        <v>274</v>
      </c>
      <c r="H240" t="s">
        <v>274</v>
      </c>
      <c r="I240" t="s">
        <v>274</v>
      </c>
      <c r="J240" t="s">
        <v>274</v>
      </c>
      <c r="K240" t="s">
        <v>274</v>
      </c>
      <c r="L240" t="s">
        <v>274</v>
      </c>
      <c r="M240" t="s">
        <v>274</v>
      </c>
      <c r="N240" t="s">
        <v>274</v>
      </c>
      <c r="O240" t="s">
        <v>274</v>
      </c>
      <c r="P240" t="s">
        <v>274</v>
      </c>
      <c r="Q240" t="s">
        <v>274</v>
      </c>
      <c r="R240" t="s">
        <v>274</v>
      </c>
      <c r="S240" t="s">
        <v>274</v>
      </c>
      <c r="T240" t="s">
        <v>274</v>
      </c>
      <c r="U240" t="s">
        <v>588</v>
      </c>
      <c r="V240" t="s">
        <v>4005</v>
      </c>
      <c r="W240" t="s">
        <v>4006</v>
      </c>
      <c r="X240" t="s">
        <v>4007</v>
      </c>
      <c r="Y240" t="s">
        <v>1515</v>
      </c>
      <c r="Z240" t="s">
        <v>4008</v>
      </c>
      <c r="AA240" t="s">
        <v>4009</v>
      </c>
      <c r="AB240" t="s">
        <v>4010</v>
      </c>
      <c r="AC240" t="s">
        <v>3248</v>
      </c>
      <c r="AD240" t="s">
        <v>4011</v>
      </c>
      <c r="AE240" t="s">
        <v>1202</v>
      </c>
      <c r="AF240" t="s">
        <v>3086</v>
      </c>
      <c r="AG240" s="14" t="s">
        <v>2228</v>
      </c>
      <c r="AH240" t="s">
        <v>4012</v>
      </c>
      <c r="AI240" t="s">
        <v>1258</v>
      </c>
      <c r="AJ240" t="s">
        <v>4013</v>
      </c>
      <c r="AK240" t="s">
        <v>4014</v>
      </c>
      <c r="AL240" t="s">
        <v>1294</v>
      </c>
      <c r="AM240" t="s">
        <v>4005</v>
      </c>
      <c r="AN240" t="s">
        <v>3072</v>
      </c>
      <c r="AO240" t="s">
        <v>4015</v>
      </c>
      <c r="AP240" t="s">
        <v>4016</v>
      </c>
      <c r="AQ240" t="s">
        <v>1258</v>
      </c>
      <c r="AR240" t="s">
        <v>4017</v>
      </c>
      <c r="AS240" t="s">
        <v>1254</v>
      </c>
      <c r="AT240" t="s">
        <v>1308</v>
      </c>
      <c r="AU240" t="s">
        <v>274</v>
      </c>
      <c r="AV240" t="s">
        <v>274</v>
      </c>
      <c r="AW240" t="s">
        <v>4018</v>
      </c>
      <c r="AX240" t="s">
        <v>4019</v>
      </c>
      <c r="AY240" t="s">
        <v>4020</v>
      </c>
      <c r="AZ240" t="s">
        <v>4021</v>
      </c>
      <c r="BA240" t="s">
        <v>4022</v>
      </c>
      <c r="BB240" t="s">
        <v>4023</v>
      </c>
      <c r="BC240" t="s">
        <v>4024</v>
      </c>
      <c r="BD240" t="s">
        <v>4025</v>
      </c>
      <c r="BE240" t="s">
        <v>4026</v>
      </c>
      <c r="BF240" t="s">
        <v>4027</v>
      </c>
      <c r="BG240" t="s">
        <v>4028</v>
      </c>
      <c r="BH240" t="s">
        <v>4029</v>
      </c>
      <c r="BI240" t="s">
        <v>4030</v>
      </c>
      <c r="BJ240" t="s">
        <v>4031</v>
      </c>
      <c r="BK240" t="s">
        <v>4032</v>
      </c>
      <c r="BL240" t="s">
        <v>4033</v>
      </c>
      <c r="BM240" t="s">
        <v>4034</v>
      </c>
      <c r="BN240" t="s">
        <v>4035</v>
      </c>
      <c r="BO240" t="s">
        <v>4036</v>
      </c>
      <c r="BP240" t="s">
        <v>4037</v>
      </c>
      <c r="BQ240" t="s">
        <v>4038</v>
      </c>
      <c r="BR240" t="s">
        <v>274</v>
      </c>
    </row>
    <row r="241" spans="1:70" x14ac:dyDescent="0.3">
      <c r="A241" t="s">
        <v>234</v>
      </c>
      <c r="B241" t="s">
        <v>4039</v>
      </c>
      <c r="C241" t="s">
        <v>578</v>
      </c>
      <c r="D241" t="s">
        <v>579</v>
      </c>
      <c r="E241" t="s">
        <v>274</v>
      </c>
      <c r="F241" t="s">
        <v>274</v>
      </c>
      <c r="G241" t="s">
        <v>274</v>
      </c>
      <c r="H241" t="s">
        <v>274</v>
      </c>
      <c r="I241" t="s">
        <v>274</v>
      </c>
      <c r="J241" t="s">
        <v>274</v>
      </c>
      <c r="K241" t="s">
        <v>274</v>
      </c>
      <c r="L241" t="s">
        <v>274</v>
      </c>
      <c r="M241" t="s">
        <v>274</v>
      </c>
      <c r="N241" t="s">
        <v>274</v>
      </c>
      <c r="O241" t="s">
        <v>274</v>
      </c>
      <c r="P241" t="s">
        <v>274</v>
      </c>
      <c r="Q241" t="s">
        <v>274</v>
      </c>
      <c r="R241" t="s">
        <v>274</v>
      </c>
      <c r="S241" t="s">
        <v>274</v>
      </c>
      <c r="T241" t="s">
        <v>274</v>
      </c>
      <c r="U241" t="s">
        <v>274</v>
      </c>
      <c r="V241" t="s">
        <v>274</v>
      </c>
      <c r="W241" t="s">
        <v>274</v>
      </c>
      <c r="X241" t="s">
        <v>274</v>
      </c>
      <c r="Y241" t="s">
        <v>274</v>
      </c>
      <c r="Z241" t="s">
        <v>274</v>
      </c>
      <c r="AA241" t="s">
        <v>274</v>
      </c>
      <c r="AB241" t="s">
        <v>274</v>
      </c>
      <c r="AC241" t="s">
        <v>274</v>
      </c>
      <c r="AD241" t="s">
        <v>274</v>
      </c>
      <c r="AE241" t="s">
        <v>274</v>
      </c>
      <c r="AF241" t="s">
        <v>274</v>
      </c>
      <c r="AG241" s="14" t="s">
        <v>274</v>
      </c>
      <c r="AH241" t="s">
        <v>274</v>
      </c>
      <c r="AI241" t="s">
        <v>274</v>
      </c>
      <c r="AJ241" t="s">
        <v>274</v>
      </c>
      <c r="AK241" t="s">
        <v>274</v>
      </c>
      <c r="AL241" t="s">
        <v>274</v>
      </c>
      <c r="AM241" t="s">
        <v>274</v>
      </c>
      <c r="AN241" t="s">
        <v>274</v>
      </c>
      <c r="AO241" t="s">
        <v>274</v>
      </c>
      <c r="AP241" t="s">
        <v>274</v>
      </c>
      <c r="AQ241" t="s">
        <v>274</v>
      </c>
      <c r="AR241" t="s">
        <v>274</v>
      </c>
      <c r="AS241" t="s">
        <v>274</v>
      </c>
      <c r="AT241" t="s">
        <v>274</v>
      </c>
      <c r="AU241" t="s">
        <v>4040</v>
      </c>
      <c r="AV241" t="s">
        <v>4041</v>
      </c>
      <c r="AW241" t="s">
        <v>4042</v>
      </c>
      <c r="AX241" t="s">
        <v>4043</v>
      </c>
      <c r="AY241" t="s">
        <v>4044</v>
      </c>
      <c r="AZ241" t="s">
        <v>4045</v>
      </c>
      <c r="BA241" t="s">
        <v>4046</v>
      </c>
      <c r="BB241" t="s">
        <v>4047</v>
      </c>
      <c r="BC241" t="s">
        <v>4048</v>
      </c>
      <c r="BD241" t="s">
        <v>4049</v>
      </c>
      <c r="BE241" t="s">
        <v>4050</v>
      </c>
      <c r="BF241" t="s">
        <v>4051</v>
      </c>
      <c r="BG241" t="s">
        <v>4052</v>
      </c>
      <c r="BH241" t="s">
        <v>4053</v>
      </c>
      <c r="BI241" t="s">
        <v>4054</v>
      </c>
      <c r="BJ241" t="s">
        <v>4055</v>
      </c>
      <c r="BK241" t="s">
        <v>4056</v>
      </c>
      <c r="BL241" t="s">
        <v>4057</v>
      </c>
      <c r="BM241" t="s">
        <v>274</v>
      </c>
      <c r="BN241" t="s">
        <v>274</v>
      </c>
      <c r="BO241" t="s">
        <v>274</v>
      </c>
      <c r="BP241" t="s">
        <v>274</v>
      </c>
      <c r="BQ241" t="s">
        <v>274</v>
      </c>
      <c r="BR241" t="s">
        <v>274</v>
      </c>
    </row>
    <row r="242" spans="1:70" x14ac:dyDescent="0.3">
      <c r="A242" t="s">
        <v>235</v>
      </c>
      <c r="B242" t="s">
        <v>4058</v>
      </c>
      <c r="C242" t="s">
        <v>578</v>
      </c>
      <c r="D242" t="s">
        <v>579</v>
      </c>
      <c r="E242" t="s">
        <v>274</v>
      </c>
      <c r="F242" t="s">
        <v>274</v>
      </c>
      <c r="G242" t="s">
        <v>274</v>
      </c>
      <c r="H242" t="s">
        <v>274</v>
      </c>
      <c r="I242" t="s">
        <v>274</v>
      </c>
      <c r="J242" t="s">
        <v>274</v>
      </c>
      <c r="K242" t="s">
        <v>274</v>
      </c>
      <c r="L242" t="s">
        <v>274</v>
      </c>
      <c r="M242" t="s">
        <v>274</v>
      </c>
      <c r="N242" t="s">
        <v>274</v>
      </c>
      <c r="O242" t="s">
        <v>274</v>
      </c>
      <c r="P242" t="s">
        <v>274</v>
      </c>
      <c r="Q242" t="s">
        <v>274</v>
      </c>
      <c r="R242" t="s">
        <v>274</v>
      </c>
      <c r="S242" t="s">
        <v>274</v>
      </c>
      <c r="T242" t="s">
        <v>274</v>
      </c>
      <c r="U242" t="s">
        <v>274</v>
      </c>
      <c r="V242" t="s">
        <v>274</v>
      </c>
      <c r="W242" t="s">
        <v>274</v>
      </c>
      <c r="X242" t="s">
        <v>274</v>
      </c>
      <c r="Y242" t="s">
        <v>274</v>
      </c>
      <c r="Z242" t="s">
        <v>274</v>
      </c>
      <c r="AA242" t="s">
        <v>274</v>
      </c>
      <c r="AB242" t="s">
        <v>274</v>
      </c>
      <c r="AC242" t="s">
        <v>274</v>
      </c>
      <c r="AD242" t="s">
        <v>274</v>
      </c>
      <c r="AE242" t="s">
        <v>274</v>
      </c>
      <c r="AF242" t="s">
        <v>274</v>
      </c>
      <c r="AG242" s="14" t="s">
        <v>274</v>
      </c>
      <c r="AH242" t="s">
        <v>274</v>
      </c>
      <c r="AI242" t="s">
        <v>274</v>
      </c>
      <c r="AJ242" t="s">
        <v>274</v>
      </c>
      <c r="AK242" t="s">
        <v>274</v>
      </c>
      <c r="AL242" t="s">
        <v>274</v>
      </c>
      <c r="AM242" t="s">
        <v>274</v>
      </c>
      <c r="AN242" t="s">
        <v>274</v>
      </c>
      <c r="AO242" t="s">
        <v>274</v>
      </c>
      <c r="AP242" t="s">
        <v>274</v>
      </c>
      <c r="AQ242" t="s">
        <v>274</v>
      </c>
      <c r="AR242" t="s">
        <v>274</v>
      </c>
      <c r="AS242" t="s">
        <v>274</v>
      </c>
      <c r="AT242" t="s">
        <v>274</v>
      </c>
      <c r="AU242" t="s">
        <v>274</v>
      </c>
      <c r="AV242" t="s">
        <v>274</v>
      </c>
      <c r="AW242" t="s">
        <v>274</v>
      </c>
      <c r="AX242" t="s">
        <v>274</v>
      </c>
      <c r="AY242" t="s">
        <v>274</v>
      </c>
      <c r="AZ242" t="s">
        <v>274</v>
      </c>
      <c r="BA242" t="s">
        <v>274</v>
      </c>
      <c r="BB242" t="s">
        <v>274</v>
      </c>
      <c r="BC242" t="s">
        <v>274</v>
      </c>
      <c r="BD242" t="s">
        <v>274</v>
      </c>
      <c r="BE242" t="s">
        <v>274</v>
      </c>
      <c r="BF242" t="s">
        <v>274</v>
      </c>
      <c r="BG242" t="s">
        <v>274</v>
      </c>
      <c r="BH242" t="s">
        <v>274</v>
      </c>
      <c r="BI242" t="s">
        <v>274</v>
      </c>
      <c r="BJ242" t="s">
        <v>274</v>
      </c>
      <c r="BK242" t="s">
        <v>274</v>
      </c>
      <c r="BL242" t="s">
        <v>274</v>
      </c>
      <c r="BM242" t="s">
        <v>274</v>
      </c>
      <c r="BN242" t="s">
        <v>274</v>
      </c>
      <c r="BO242" t="s">
        <v>274</v>
      </c>
      <c r="BP242" t="s">
        <v>274</v>
      </c>
      <c r="BQ242" t="s">
        <v>274</v>
      </c>
      <c r="BR242" t="s">
        <v>274</v>
      </c>
    </row>
    <row r="243" spans="1:70" x14ac:dyDescent="0.3">
      <c r="A243" t="s">
        <v>4059</v>
      </c>
      <c r="B243" t="s">
        <v>4060</v>
      </c>
      <c r="C243" t="s">
        <v>578</v>
      </c>
      <c r="D243" t="s">
        <v>579</v>
      </c>
      <c r="E243" t="s">
        <v>274</v>
      </c>
      <c r="F243" t="s">
        <v>274</v>
      </c>
      <c r="G243" t="s">
        <v>274</v>
      </c>
      <c r="H243" t="s">
        <v>274</v>
      </c>
      <c r="I243" t="s">
        <v>274</v>
      </c>
      <c r="J243" t="s">
        <v>274</v>
      </c>
      <c r="K243" t="s">
        <v>274</v>
      </c>
      <c r="L243" t="s">
        <v>274</v>
      </c>
      <c r="M243" t="s">
        <v>274</v>
      </c>
      <c r="N243" t="s">
        <v>274</v>
      </c>
      <c r="O243" t="s">
        <v>274</v>
      </c>
      <c r="P243" t="s">
        <v>274</v>
      </c>
      <c r="Q243" t="s">
        <v>274</v>
      </c>
      <c r="R243" t="s">
        <v>274</v>
      </c>
      <c r="S243" t="s">
        <v>274</v>
      </c>
      <c r="T243" t="s">
        <v>274</v>
      </c>
      <c r="U243" t="s">
        <v>274</v>
      </c>
      <c r="V243" t="s">
        <v>274</v>
      </c>
      <c r="W243" t="s">
        <v>274</v>
      </c>
      <c r="X243" t="s">
        <v>274</v>
      </c>
      <c r="Y243" t="s">
        <v>274</v>
      </c>
      <c r="Z243" t="s">
        <v>274</v>
      </c>
      <c r="AA243" t="s">
        <v>274</v>
      </c>
      <c r="AB243" t="s">
        <v>274</v>
      </c>
      <c r="AC243" t="s">
        <v>274</v>
      </c>
      <c r="AD243" t="s">
        <v>274</v>
      </c>
      <c r="AE243" t="s">
        <v>274</v>
      </c>
      <c r="AF243" t="s">
        <v>274</v>
      </c>
      <c r="AG243" s="14" t="s">
        <v>274</v>
      </c>
      <c r="AH243" t="s">
        <v>274</v>
      </c>
      <c r="AI243" t="s">
        <v>274</v>
      </c>
      <c r="AJ243" t="s">
        <v>274</v>
      </c>
      <c r="AK243" t="s">
        <v>274</v>
      </c>
      <c r="AL243" t="s">
        <v>274</v>
      </c>
      <c r="AM243" t="s">
        <v>274</v>
      </c>
      <c r="AN243" t="s">
        <v>274</v>
      </c>
      <c r="AO243" t="s">
        <v>274</v>
      </c>
      <c r="AP243" t="s">
        <v>274</v>
      </c>
      <c r="AQ243" t="s">
        <v>274</v>
      </c>
      <c r="AR243" t="s">
        <v>274</v>
      </c>
      <c r="AS243" t="s">
        <v>274</v>
      </c>
      <c r="AT243" t="s">
        <v>274</v>
      </c>
      <c r="AU243" t="s">
        <v>274</v>
      </c>
      <c r="AV243" t="s">
        <v>274</v>
      </c>
      <c r="AW243" t="s">
        <v>274</v>
      </c>
      <c r="AX243" t="s">
        <v>274</v>
      </c>
      <c r="AY243" t="s">
        <v>274</v>
      </c>
      <c r="AZ243" t="s">
        <v>274</v>
      </c>
      <c r="BA243" t="s">
        <v>274</v>
      </c>
      <c r="BB243" t="s">
        <v>274</v>
      </c>
      <c r="BC243" t="s">
        <v>274</v>
      </c>
      <c r="BD243" t="s">
        <v>274</v>
      </c>
      <c r="BE243" t="s">
        <v>274</v>
      </c>
      <c r="BF243" t="s">
        <v>274</v>
      </c>
      <c r="BG243" t="s">
        <v>274</v>
      </c>
      <c r="BH243" t="s">
        <v>274</v>
      </c>
      <c r="BI243" t="s">
        <v>274</v>
      </c>
      <c r="BJ243" t="s">
        <v>274</v>
      </c>
      <c r="BK243" t="s">
        <v>274</v>
      </c>
      <c r="BL243" t="s">
        <v>274</v>
      </c>
      <c r="BM243" t="s">
        <v>274</v>
      </c>
      <c r="BN243" t="s">
        <v>274</v>
      </c>
      <c r="BO243" t="s">
        <v>274</v>
      </c>
      <c r="BP243" t="s">
        <v>274</v>
      </c>
      <c r="BQ243" t="s">
        <v>274</v>
      </c>
      <c r="BR243" t="s">
        <v>274</v>
      </c>
    </row>
    <row r="244" spans="1:70" x14ac:dyDescent="0.3">
      <c r="A244" t="s">
        <v>4061</v>
      </c>
      <c r="B244" t="s">
        <v>4062</v>
      </c>
      <c r="C244" t="s">
        <v>578</v>
      </c>
      <c r="D244" t="s">
        <v>579</v>
      </c>
      <c r="E244" t="s">
        <v>274</v>
      </c>
      <c r="F244" t="s">
        <v>274</v>
      </c>
      <c r="G244" t="s">
        <v>274</v>
      </c>
      <c r="H244" t="s">
        <v>274</v>
      </c>
      <c r="I244" t="s">
        <v>274</v>
      </c>
      <c r="J244" t="s">
        <v>274</v>
      </c>
      <c r="K244" t="s">
        <v>274</v>
      </c>
      <c r="L244" t="s">
        <v>274</v>
      </c>
      <c r="M244" t="s">
        <v>274</v>
      </c>
      <c r="N244" t="s">
        <v>274</v>
      </c>
      <c r="O244" t="s">
        <v>274</v>
      </c>
      <c r="P244" t="s">
        <v>274</v>
      </c>
      <c r="Q244" t="s">
        <v>274</v>
      </c>
      <c r="R244" t="s">
        <v>274</v>
      </c>
      <c r="S244" t="s">
        <v>274</v>
      </c>
      <c r="T244" t="s">
        <v>274</v>
      </c>
      <c r="U244" t="s">
        <v>274</v>
      </c>
      <c r="V244" t="s">
        <v>274</v>
      </c>
      <c r="W244" t="s">
        <v>274</v>
      </c>
      <c r="X244" t="s">
        <v>274</v>
      </c>
      <c r="Y244" t="s">
        <v>274</v>
      </c>
      <c r="Z244" t="s">
        <v>274</v>
      </c>
      <c r="AA244" t="s">
        <v>274</v>
      </c>
      <c r="AB244" t="s">
        <v>274</v>
      </c>
      <c r="AC244" t="s">
        <v>274</v>
      </c>
      <c r="AD244" t="s">
        <v>274</v>
      </c>
      <c r="AE244" t="s">
        <v>274</v>
      </c>
      <c r="AF244" t="s">
        <v>274</v>
      </c>
      <c r="AG244" s="14" t="s">
        <v>274</v>
      </c>
      <c r="AH244" t="s">
        <v>274</v>
      </c>
      <c r="AI244" t="s">
        <v>274</v>
      </c>
      <c r="AJ244" t="s">
        <v>274</v>
      </c>
      <c r="AK244" t="s">
        <v>274</v>
      </c>
      <c r="AL244" t="s">
        <v>274</v>
      </c>
      <c r="AM244" t="s">
        <v>274</v>
      </c>
      <c r="AN244" t="s">
        <v>274</v>
      </c>
      <c r="AO244" t="s">
        <v>274</v>
      </c>
      <c r="AP244" t="s">
        <v>274</v>
      </c>
      <c r="AQ244" t="s">
        <v>274</v>
      </c>
      <c r="AR244" t="s">
        <v>274</v>
      </c>
      <c r="AS244" t="s">
        <v>274</v>
      </c>
      <c r="AT244" t="s">
        <v>274</v>
      </c>
      <c r="AU244" t="s">
        <v>274</v>
      </c>
      <c r="AV244" t="s">
        <v>274</v>
      </c>
      <c r="AW244" t="s">
        <v>274</v>
      </c>
      <c r="AX244" t="s">
        <v>274</v>
      </c>
      <c r="AY244" t="s">
        <v>274</v>
      </c>
      <c r="AZ244" t="s">
        <v>274</v>
      </c>
      <c r="BA244" t="s">
        <v>274</v>
      </c>
      <c r="BB244" t="s">
        <v>274</v>
      </c>
      <c r="BC244" t="s">
        <v>274</v>
      </c>
      <c r="BD244" t="s">
        <v>4063</v>
      </c>
      <c r="BE244" t="s">
        <v>4064</v>
      </c>
      <c r="BF244" t="s">
        <v>4065</v>
      </c>
      <c r="BG244" t="s">
        <v>4066</v>
      </c>
      <c r="BH244" t="s">
        <v>4067</v>
      </c>
      <c r="BI244" t="s">
        <v>4068</v>
      </c>
      <c r="BJ244" t="s">
        <v>4069</v>
      </c>
      <c r="BK244" t="s">
        <v>4070</v>
      </c>
      <c r="BL244" t="s">
        <v>4071</v>
      </c>
      <c r="BM244" t="s">
        <v>4072</v>
      </c>
      <c r="BN244" t="s">
        <v>4073</v>
      </c>
      <c r="BO244" t="s">
        <v>4074</v>
      </c>
      <c r="BP244" t="s">
        <v>4075</v>
      </c>
      <c r="BQ244" t="s">
        <v>274</v>
      </c>
      <c r="BR244" t="s">
        <v>274</v>
      </c>
    </row>
    <row r="245" spans="1:70" x14ac:dyDescent="0.3">
      <c r="A245" t="s">
        <v>4076</v>
      </c>
      <c r="B245" t="s">
        <v>4077</v>
      </c>
      <c r="C245" t="s">
        <v>578</v>
      </c>
      <c r="D245" t="s">
        <v>579</v>
      </c>
      <c r="E245" t="s">
        <v>274</v>
      </c>
      <c r="F245" t="s">
        <v>274</v>
      </c>
      <c r="G245" t="s">
        <v>274</v>
      </c>
      <c r="H245" t="s">
        <v>274</v>
      </c>
      <c r="I245" t="s">
        <v>274</v>
      </c>
      <c r="J245" t="s">
        <v>274</v>
      </c>
      <c r="K245" t="s">
        <v>274</v>
      </c>
      <c r="L245" t="s">
        <v>274</v>
      </c>
      <c r="M245" t="s">
        <v>274</v>
      </c>
      <c r="N245" t="s">
        <v>274</v>
      </c>
      <c r="O245" t="s">
        <v>274</v>
      </c>
      <c r="P245" t="s">
        <v>274</v>
      </c>
      <c r="Q245" t="s">
        <v>274</v>
      </c>
      <c r="R245" t="s">
        <v>274</v>
      </c>
      <c r="S245" t="s">
        <v>274</v>
      </c>
      <c r="T245" t="s">
        <v>274</v>
      </c>
      <c r="U245" t="s">
        <v>274</v>
      </c>
      <c r="V245" t="s">
        <v>274</v>
      </c>
      <c r="W245" t="s">
        <v>274</v>
      </c>
      <c r="X245" t="s">
        <v>274</v>
      </c>
      <c r="Y245" t="s">
        <v>274</v>
      </c>
      <c r="Z245" t="s">
        <v>274</v>
      </c>
      <c r="AA245" t="s">
        <v>274</v>
      </c>
      <c r="AB245" t="s">
        <v>274</v>
      </c>
      <c r="AC245" t="s">
        <v>274</v>
      </c>
      <c r="AD245" t="s">
        <v>274</v>
      </c>
      <c r="AE245" t="s">
        <v>274</v>
      </c>
      <c r="AF245" t="s">
        <v>274</v>
      </c>
      <c r="AG245" s="14" t="s">
        <v>274</v>
      </c>
      <c r="AH245" t="s">
        <v>274</v>
      </c>
      <c r="AI245" t="s">
        <v>274</v>
      </c>
      <c r="AJ245" t="s">
        <v>274</v>
      </c>
      <c r="AK245" t="s">
        <v>274</v>
      </c>
      <c r="AL245" t="s">
        <v>274</v>
      </c>
      <c r="AM245" t="s">
        <v>274</v>
      </c>
      <c r="AN245" t="s">
        <v>274</v>
      </c>
      <c r="AO245" t="s">
        <v>274</v>
      </c>
      <c r="AP245" t="s">
        <v>274</v>
      </c>
      <c r="AQ245" t="s">
        <v>274</v>
      </c>
      <c r="AR245" t="s">
        <v>274</v>
      </c>
      <c r="AS245" t="s">
        <v>274</v>
      </c>
      <c r="AT245" t="s">
        <v>274</v>
      </c>
      <c r="AU245" t="s">
        <v>274</v>
      </c>
      <c r="AV245" t="s">
        <v>274</v>
      </c>
      <c r="AW245" t="s">
        <v>274</v>
      </c>
      <c r="AX245" t="s">
        <v>274</v>
      </c>
      <c r="AY245" t="s">
        <v>274</v>
      </c>
      <c r="AZ245" t="s">
        <v>274</v>
      </c>
      <c r="BA245" t="s">
        <v>274</v>
      </c>
      <c r="BB245" t="s">
        <v>274</v>
      </c>
      <c r="BC245" t="s">
        <v>274</v>
      </c>
      <c r="BD245" t="s">
        <v>274</v>
      </c>
      <c r="BE245" t="s">
        <v>274</v>
      </c>
      <c r="BF245" t="s">
        <v>274</v>
      </c>
      <c r="BG245" t="s">
        <v>274</v>
      </c>
      <c r="BH245" t="s">
        <v>274</v>
      </c>
      <c r="BI245" t="s">
        <v>274</v>
      </c>
      <c r="BJ245" t="s">
        <v>274</v>
      </c>
      <c r="BK245" t="s">
        <v>274</v>
      </c>
      <c r="BL245" t="s">
        <v>274</v>
      </c>
      <c r="BM245" t="s">
        <v>274</v>
      </c>
      <c r="BN245" t="s">
        <v>274</v>
      </c>
      <c r="BO245" t="s">
        <v>274</v>
      </c>
      <c r="BP245" t="s">
        <v>274</v>
      </c>
      <c r="BQ245" t="s">
        <v>274</v>
      </c>
      <c r="BR245" t="s">
        <v>274</v>
      </c>
    </row>
    <row r="246" spans="1:70" x14ac:dyDescent="0.3">
      <c r="A246" t="s">
        <v>236</v>
      </c>
      <c r="B246" t="s">
        <v>4078</v>
      </c>
      <c r="C246" t="s">
        <v>578</v>
      </c>
      <c r="D246" t="s">
        <v>579</v>
      </c>
      <c r="E246" t="s">
        <v>274</v>
      </c>
      <c r="F246" t="s">
        <v>274</v>
      </c>
      <c r="G246" t="s">
        <v>274</v>
      </c>
      <c r="H246" t="s">
        <v>274</v>
      </c>
      <c r="I246" t="s">
        <v>274</v>
      </c>
      <c r="J246" t="s">
        <v>274</v>
      </c>
      <c r="K246" t="s">
        <v>274</v>
      </c>
      <c r="L246" t="s">
        <v>274</v>
      </c>
      <c r="M246" t="s">
        <v>274</v>
      </c>
      <c r="N246" t="s">
        <v>274</v>
      </c>
      <c r="O246" t="s">
        <v>274</v>
      </c>
      <c r="P246" t="s">
        <v>274</v>
      </c>
      <c r="Q246" t="s">
        <v>274</v>
      </c>
      <c r="R246" t="s">
        <v>274</v>
      </c>
      <c r="S246" t="s">
        <v>274</v>
      </c>
      <c r="T246" t="s">
        <v>274</v>
      </c>
      <c r="U246" t="s">
        <v>274</v>
      </c>
      <c r="V246" t="s">
        <v>274</v>
      </c>
      <c r="W246" t="s">
        <v>274</v>
      </c>
      <c r="X246" t="s">
        <v>274</v>
      </c>
      <c r="Y246" t="s">
        <v>274</v>
      </c>
      <c r="Z246" t="s">
        <v>274</v>
      </c>
      <c r="AA246" t="s">
        <v>274</v>
      </c>
      <c r="AB246" t="s">
        <v>274</v>
      </c>
      <c r="AC246" t="s">
        <v>274</v>
      </c>
      <c r="AD246" t="s">
        <v>274</v>
      </c>
      <c r="AE246" t="s">
        <v>274</v>
      </c>
      <c r="AF246" t="s">
        <v>274</v>
      </c>
      <c r="AG246" s="14" t="s">
        <v>274</v>
      </c>
      <c r="AH246" t="s">
        <v>274</v>
      </c>
      <c r="AI246" t="s">
        <v>274</v>
      </c>
      <c r="AJ246" t="s">
        <v>274</v>
      </c>
      <c r="AK246" t="s">
        <v>274</v>
      </c>
      <c r="AL246" t="s">
        <v>274</v>
      </c>
      <c r="AM246" t="s">
        <v>274</v>
      </c>
      <c r="AN246" t="s">
        <v>274</v>
      </c>
      <c r="AO246" t="s">
        <v>274</v>
      </c>
      <c r="AP246" t="s">
        <v>274</v>
      </c>
      <c r="AQ246" t="s">
        <v>274</v>
      </c>
      <c r="AR246" t="s">
        <v>274</v>
      </c>
      <c r="AS246" t="s">
        <v>274</v>
      </c>
      <c r="AT246" t="s">
        <v>274</v>
      </c>
      <c r="AU246" t="s">
        <v>274</v>
      </c>
      <c r="AV246" t="s">
        <v>274</v>
      </c>
      <c r="AW246" t="s">
        <v>274</v>
      </c>
      <c r="AX246" t="s">
        <v>274</v>
      </c>
      <c r="AY246" t="s">
        <v>274</v>
      </c>
      <c r="AZ246" t="s">
        <v>274</v>
      </c>
      <c r="BA246" t="s">
        <v>274</v>
      </c>
      <c r="BB246" t="s">
        <v>274</v>
      </c>
      <c r="BC246" t="s">
        <v>274</v>
      </c>
      <c r="BD246" t="s">
        <v>274</v>
      </c>
      <c r="BE246" t="s">
        <v>4079</v>
      </c>
      <c r="BF246" t="s">
        <v>4080</v>
      </c>
      <c r="BG246" t="s">
        <v>4081</v>
      </c>
      <c r="BH246" t="s">
        <v>4082</v>
      </c>
      <c r="BI246" t="s">
        <v>4083</v>
      </c>
      <c r="BJ246" t="s">
        <v>4084</v>
      </c>
      <c r="BK246" t="s">
        <v>4085</v>
      </c>
      <c r="BL246" t="s">
        <v>4086</v>
      </c>
      <c r="BM246" t="s">
        <v>4087</v>
      </c>
      <c r="BN246" t="s">
        <v>4088</v>
      </c>
      <c r="BO246" t="s">
        <v>4089</v>
      </c>
      <c r="BP246" t="s">
        <v>4090</v>
      </c>
      <c r="BQ246" t="s">
        <v>4091</v>
      </c>
      <c r="BR246" t="s">
        <v>274</v>
      </c>
    </row>
    <row r="247" spans="1:70" x14ac:dyDescent="0.3">
      <c r="A247" t="s">
        <v>4092</v>
      </c>
      <c r="B247" t="s">
        <v>4093</v>
      </c>
      <c r="C247" t="s">
        <v>578</v>
      </c>
      <c r="D247" t="s">
        <v>579</v>
      </c>
      <c r="E247" t="s">
        <v>274</v>
      </c>
      <c r="F247" t="s">
        <v>274</v>
      </c>
      <c r="G247" t="s">
        <v>274</v>
      </c>
      <c r="H247" t="s">
        <v>274</v>
      </c>
      <c r="I247" t="s">
        <v>274</v>
      </c>
      <c r="J247" t="s">
        <v>274</v>
      </c>
      <c r="K247" t="s">
        <v>274</v>
      </c>
      <c r="L247" t="s">
        <v>274</v>
      </c>
      <c r="M247" t="s">
        <v>274</v>
      </c>
      <c r="N247" t="s">
        <v>274</v>
      </c>
      <c r="O247" t="s">
        <v>274</v>
      </c>
      <c r="P247" t="s">
        <v>274</v>
      </c>
      <c r="Q247" t="s">
        <v>274</v>
      </c>
      <c r="R247" t="s">
        <v>274</v>
      </c>
      <c r="S247" t="s">
        <v>274</v>
      </c>
      <c r="T247" t="s">
        <v>274</v>
      </c>
      <c r="U247" t="s">
        <v>274</v>
      </c>
      <c r="V247" t="s">
        <v>274</v>
      </c>
      <c r="W247" t="s">
        <v>274</v>
      </c>
      <c r="X247" t="s">
        <v>274</v>
      </c>
      <c r="Y247" t="s">
        <v>274</v>
      </c>
      <c r="Z247" t="s">
        <v>274</v>
      </c>
      <c r="AA247" t="s">
        <v>274</v>
      </c>
      <c r="AB247" t="s">
        <v>274</v>
      </c>
      <c r="AC247" t="s">
        <v>274</v>
      </c>
      <c r="AD247" t="s">
        <v>274</v>
      </c>
      <c r="AE247" t="s">
        <v>274</v>
      </c>
      <c r="AF247" t="s">
        <v>274</v>
      </c>
      <c r="AG247" s="14" t="s">
        <v>274</v>
      </c>
      <c r="AH247" t="s">
        <v>274</v>
      </c>
      <c r="AI247" t="s">
        <v>274</v>
      </c>
      <c r="AJ247" t="s">
        <v>274</v>
      </c>
      <c r="AK247" t="s">
        <v>274</v>
      </c>
      <c r="AL247" t="s">
        <v>274</v>
      </c>
      <c r="AM247" t="s">
        <v>274</v>
      </c>
      <c r="AN247" t="s">
        <v>274</v>
      </c>
      <c r="AO247" t="s">
        <v>274</v>
      </c>
      <c r="AP247" t="s">
        <v>274</v>
      </c>
      <c r="AQ247" t="s">
        <v>274</v>
      </c>
      <c r="AR247" t="s">
        <v>274</v>
      </c>
      <c r="AS247" t="s">
        <v>274</v>
      </c>
      <c r="AT247" t="s">
        <v>274</v>
      </c>
      <c r="AU247" t="s">
        <v>274</v>
      </c>
      <c r="AV247" t="s">
        <v>274</v>
      </c>
      <c r="AW247" t="s">
        <v>274</v>
      </c>
      <c r="AX247" t="s">
        <v>274</v>
      </c>
      <c r="AY247" t="s">
        <v>274</v>
      </c>
      <c r="AZ247" t="s">
        <v>274</v>
      </c>
      <c r="BA247" t="s">
        <v>274</v>
      </c>
      <c r="BB247" t="s">
        <v>274</v>
      </c>
      <c r="BC247" t="s">
        <v>274</v>
      </c>
      <c r="BD247" t="s">
        <v>274</v>
      </c>
      <c r="BE247" t="s">
        <v>274</v>
      </c>
      <c r="BF247" t="s">
        <v>274</v>
      </c>
      <c r="BG247" t="s">
        <v>274</v>
      </c>
      <c r="BH247" t="s">
        <v>274</v>
      </c>
      <c r="BI247" t="s">
        <v>274</v>
      </c>
      <c r="BJ247" t="s">
        <v>274</v>
      </c>
      <c r="BK247" t="s">
        <v>274</v>
      </c>
      <c r="BL247" t="s">
        <v>274</v>
      </c>
      <c r="BM247" t="s">
        <v>274</v>
      </c>
      <c r="BN247" t="s">
        <v>274</v>
      </c>
      <c r="BO247" t="s">
        <v>274</v>
      </c>
      <c r="BP247" t="s">
        <v>274</v>
      </c>
      <c r="BQ247" t="s">
        <v>274</v>
      </c>
      <c r="BR247" t="s">
        <v>274</v>
      </c>
    </row>
    <row r="248" spans="1:70" x14ac:dyDescent="0.3">
      <c r="A248" t="s">
        <v>4094</v>
      </c>
      <c r="B248" t="s">
        <v>4095</v>
      </c>
      <c r="C248" t="s">
        <v>578</v>
      </c>
      <c r="D248" t="s">
        <v>579</v>
      </c>
      <c r="E248" t="s">
        <v>274</v>
      </c>
      <c r="F248" t="s">
        <v>274</v>
      </c>
      <c r="G248" t="s">
        <v>274</v>
      </c>
      <c r="H248" t="s">
        <v>274</v>
      </c>
      <c r="I248" t="s">
        <v>274</v>
      </c>
      <c r="J248" t="s">
        <v>274</v>
      </c>
      <c r="K248" t="s">
        <v>274</v>
      </c>
      <c r="L248" t="s">
        <v>274</v>
      </c>
      <c r="M248" t="s">
        <v>274</v>
      </c>
      <c r="N248" t="s">
        <v>274</v>
      </c>
      <c r="O248" t="s">
        <v>274</v>
      </c>
      <c r="P248" t="s">
        <v>274</v>
      </c>
      <c r="Q248" t="s">
        <v>274</v>
      </c>
      <c r="R248" t="s">
        <v>274</v>
      </c>
      <c r="S248" t="s">
        <v>274</v>
      </c>
      <c r="T248" t="s">
        <v>274</v>
      </c>
      <c r="U248" t="s">
        <v>274</v>
      </c>
      <c r="V248" t="s">
        <v>274</v>
      </c>
      <c r="W248" t="s">
        <v>274</v>
      </c>
      <c r="X248" t="s">
        <v>274</v>
      </c>
      <c r="Y248" t="s">
        <v>274</v>
      </c>
      <c r="Z248" t="s">
        <v>274</v>
      </c>
      <c r="AA248" t="s">
        <v>274</v>
      </c>
      <c r="AB248" t="s">
        <v>274</v>
      </c>
      <c r="AC248" t="s">
        <v>274</v>
      </c>
      <c r="AD248" t="s">
        <v>274</v>
      </c>
      <c r="AE248" t="s">
        <v>274</v>
      </c>
      <c r="AF248" t="s">
        <v>274</v>
      </c>
      <c r="AG248" s="14" t="s">
        <v>274</v>
      </c>
      <c r="AH248" t="s">
        <v>274</v>
      </c>
      <c r="AI248" t="s">
        <v>274</v>
      </c>
      <c r="AJ248" t="s">
        <v>274</v>
      </c>
      <c r="AK248" t="s">
        <v>274</v>
      </c>
      <c r="AL248" t="s">
        <v>274</v>
      </c>
      <c r="AM248" t="s">
        <v>274</v>
      </c>
      <c r="AN248" t="s">
        <v>274</v>
      </c>
      <c r="AO248" t="s">
        <v>274</v>
      </c>
      <c r="AP248" t="s">
        <v>274</v>
      </c>
      <c r="AQ248" t="s">
        <v>274</v>
      </c>
      <c r="AR248" t="s">
        <v>274</v>
      </c>
      <c r="AS248" t="s">
        <v>274</v>
      </c>
      <c r="AT248" t="s">
        <v>274</v>
      </c>
      <c r="AU248" t="s">
        <v>274</v>
      </c>
      <c r="AV248" t="s">
        <v>274</v>
      </c>
      <c r="AW248" t="s">
        <v>274</v>
      </c>
      <c r="AX248" t="s">
        <v>274</v>
      </c>
      <c r="AY248" t="s">
        <v>274</v>
      </c>
      <c r="AZ248" t="s">
        <v>274</v>
      </c>
      <c r="BA248" t="s">
        <v>274</v>
      </c>
      <c r="BB248" t="s">
        <v>274</v>
      </c>
      <c r="BC248" t="s">
        <v>274</v>
      </c>
      <c r="BD248" t="s">
        <v>274</v>
      </c>
      <c r="BE248" t="s">
        <v>274</v>
      </c>
      <c r="BF248" t="s">
        <v>274</v>
      </c>
      <c r="BG248" t="s">
        <v>274</v>
      </c>
      <c r="BH248" t="s">
        <v>274</v>
      </c>
      <c r="BI248" t="s">
        <v>274</v>
      </c>
      <c r="BJ248" t="s">
        <v>274</v>
      </c>
      <c r="BK248" t="s">
        <v>274</v>
      </c>
      <c r="BL248" t="s">
        <v>274</v>
      </c>
      <c r="BM248" t="s">
        <v>274</v>
      </c>
      <c r="BN248" t="s">
        <v>274</v>
      </c>
      <c r="BO248" t="s">
        <v>274</v>
      </c>
      <c r="BP248" t="s">
        <v>274</v>
      </c>
      <c r="BQ248" t="s">
        <v>274</v>
      </c>
      <c r="BR248" t="s">
        <v>274</v>
      </c>
    </row>
    <row r="249" spans="1:70" x14ac:dyDescent="0.3">
      <c r="A249" t="s">
        <v>172</v>
      </c>
      <c r="B249" t="s">
        <v>4096</v>
      </c>
      <c r="C249" t="s">
        <v>578</v>
      </c>
      <c r="D249" t="s">
        <v>579</v>
      </c>
      <c r="E249" t="s">
        <v>274</v>
      </c>
      <c r="F249" t="s">
        <v>274</v>
      </c>
      <c r="G249" t="s">
        <v>274</v>
      </c>
      <c r="H249" t="s">
        <v>274</v>
      </c>
      <c r="I249" t="s">
        <v>274</v>
      </c>
      <c r="J249" t="s">
        <v>274</v>
      </c>
      <c r="K249" t="s">
        <v>274</v>
      </c>
      <c r="L249" t="s">
        <v>274</v>
      </c>
      <c r="M249" t="s">
        <v>274</v>
      </c>
      <c r="N249" t="s">
        <v>274</v>
      </c>
      <c r="O249" t="s">
        <v>274</v>
      </c>
      <c r="P249" t="s">
        <v>274</v>
      </c>
      <c r="Q249" t="s">
        <v>274</v>
      </c>
      <c r="R249" t="s">
        <v>274</v>
      </c>
      <c r="S249" t="s">
        <v>274</v>
      </c>
      <c r="T249" t="s">
        <v>274</v>
      </c>
      <c r="U249" t="s">
        <v>274</v>
      </c>
      <c r="V249" t="s">
        <v>274</v>
      </c>
      <c r="W249" t="s">
        <v>274</v>
      </c>
      <c r="X249" t="s">
        <v>597</v>
      </c>
      <c r="Y249" t="s">
        <v>1212</v>
      </c>
      <c r="Z249" t="s">
        <v>4097</v>
      </c>
      <c r="AA249" t="s">
        <v>805</v>
      </c>
      <c r="AB249" t="s">
        <v>1686</v>
      </c>
      <c r="AC249" t="s">
        <v>4098</v>
      </c>
      <c r="AD249" t="s">
        <v>4099</v>
      </c>
      <c r="AE249" t="s">
        <v>868</v>
      </c>
      <c r="AF249" t="s">
        <v>805</v>
      </c>
      <c r="AG249" s="14" t="s">
        <v>4100</v>
      </c>
      <c r="AH249" t="s">
        <v>2186</v>
      </c>
      <c r="AI249" t="s">
        <v>4101</v>
      </c>
      <c r="AJ249" t="s">
        <v>4102</v>
      </c>
      <c r="AK249" t="s">
        <v>2639</v>
      </c>
      <c r="AL249" t="s">
        <v>4103</v>
      </c>
      <c r="AM249" t="s">
        <v>2150</v>
      </c>
      <c r="AN249" t="s">
        <v>4104</v>
      </c>
      <c r="AO249" t="s">
        <v>3758</v>
      </c>
      <c r="AP249" t="s">
        <v>2639</v>
      </c>
      <c r="AQ249" t="s">
        <v>3711</v>
      </c>
      <c r="AR249" t="s">
        <v>4105</v>
      </c>
      <c r="AS249" t="s">
        <v>1105</v>
      </c>
      <c r="AT249" t="s">
        <v>4106</v>
      </c>
      <c r="AU249" t="s">
        <v>4107</v>
      </c>
      <c r="AV249" t="s">
        <v>1294</v>
      </c>
      <c r="AW249" t="s">
        <v>4108</v>
      </c>
      <c r="AX249" t="s">
        <v>4109</v>
      </c>
      <c r="AY249" t="s">
        <v>4110</v>
      </c>
      <c r="AZ249" t="s">
        <v>3071</v>
      </c>
      <c r="BA249" t="s">
        <v>4111</v>
      </c>
      <c r="BB249" t="s">
        <v>4112</v>
      </c>
      <c r="BC249" t="s">
        <v>4113</v>
      </c>
      <c r="BD249" t="s">
        <v>4114</v>
      </c>
      <c r="BE249" t="s">
        <v>2517</v>
      </c>
      <c r="BF249" t="s">
        <v>995</v>
      </c>
      <c r="BG249" t="s">
        <v>995</v>
      </c>
      <c r="BH249" t="s">
        <v>4115</v>
      </c>
      <c r="BI249" t="s">
        <v>597</v>
      </c>
      <c r="BJ249" t="s">
        <v>597</v>
      </c>
      <c r="BK249" t="s">
        <v>4116</v>
      </c>
      <c r="BL249" t="s">
        <v>309</v>
      </c>
      <c r="BM249" t="s">
        <v>4117</v>
      </c>
      <c r="BN249" t="s">
        <v>4118</v>
      </c>
      <c r="BO249" t="s">
        <v>4119</v>
      </c>
      <c r="BP249" t="s">
        <v>4120</v>
      </c>
      <c r="BQ249" t="s">
        <v>995</v>
      </c>
      <c r="BR249" t="s">
        <v>274</v>
      </c>
    </row>
    <row r="250" spans="1:70" x14ac:dyDescent="0.3">
      <c r="A250" t="s">
        <v>173</v>
      </c>
      <c r="B250" t="s">
        <v>4121</v>
      </c>
      <c r="C250" t="s">
        <v>578</v>
      </c>
      <c r="D250" t="s">
        <v>579</v>
      </c>
      <c r="E250" t="s">
        <v>274</v>
      </c>
      <c r="F250" t="s">
        <v>274</v>
      </c>
      <c r="G250" t="s">
        <v>274</v>
      </c>
      <c r="H250" t="s">
        <v>274</v>
      </c>
      <c r="I250" t="s">
        <v>274</v>
      </c>
      <c r="J250" t="s">
        <v>274</v>
      </c>
      <c r="K250" t="s">
        <v>274</v>
      </c>
      <c r="L250" t="s">
        <v>274</v>
      </c>
      <c r="M250" t="s">
        <v>274</v>
      </c>
      <c r="N250" t="s">
        <v>274</v>
      </c>
      <c r="O250" t="s">
        <v>274</v>
      </c>
      <c r="P250" t="s">
        <v>274</v>
      </c>
      <c r="Q250" t="s">
        <v>274</v>
      </c>
      <c r="R250" t="s">
        <v>274</v>
      </c>
      <c r="S250" t="s">
        <v>274</v>
      </c>
      <c r="T250" t="s">
        <v>274</v>
      </c>
      <c r="U250" t="s">
        <v>274</v>
      </c>
      <c r="V250" t="s">
        <v>274</v>
      </c>
      <c r="W250" t="s">
        <v>274</v>
      </c>
      <c r="X250" t="s">
        <v>274</v>
      </c>
      <c r="Y250" t="s">
        <v>274</v>
      </c>
      <c r="Z250" t="s">
        <v>274</v>
      </c>
      <c r="AA250" t="s">
        <v>274</v>
      </c>
      <c r="AB250" t="s">
        <v>274</v>
      </c>
      <c r="AC250" t="s">
        <v>274</v>
      </c>
      <c r="AD250" t="s">
        <v>274</v>
      </c>
      <c r="AE250" t="s">
        <v>274</v>
      </c>
      <c r="AF250" t="s">
        <v>274</v>
      </c>
      <c r="AG250" s="14" t="s">
        <v>274</v>
      </c>
      <c r="AH250" t="s">
        <v>274</v>
      </c>
      <c r="AI250" t="s">
        <v>274</v>
      </c>
      <c r="AJ250" t="s">
        <v>274</v>
      </c>
      <c r="AK250" t="s">
        <v>274</v>
      </c>
      <c r="AL250" t="s">
        <v>274</v>
      </c>
      <c r="AM250" t="s">
        <v>274</v>
      </c>
      <c r="AN250" t="s">
        <v>274</v>
      </c>
      <c r="AO250" t="s">
        <v>274</v>
      </c>
      <c r="AP250" t="s">
        <v>274</v>
      </c>
      <c r="AQ250" t="s">
        <v>274</v>
      </c>
      <c r="AR250" t="s">
        <v>274</v>
      </c>
      <c r="AS250" t="s">
        <v>274</v>
      </c>
      <c r="AT250" t="s">
        <v>274</v>
      </c>
      <c r="AU250" t="s">
        <v>274</v>
      </c>
      <c r="AV250" t="s">
        <v>274</v>
      </c>
      <c r="AW250" t="s">
        <v>274</v>
      </c>
      <c r="AX250" t="s">
        <v>274</v>
      </c>
      <c r="AY250" t="s">
        <v>274</v>
      </c>
      <c r="AZ250" t="s">
        <v>274</v>
      </c>
      <c r="BA250" t="s">
        <v>274</v>
      </c>
      <c r="BB250" t="s">
        <v>274</v>
      </c>
      <c r="BC250" t="s">
        <v>274</v>
      </c>
      <c r="BD250" t="s">
        <v>274</v>
      </c>
      <c r="BE250" t="s">
        <v>274</v>
      </c>
      <c r="BF250" t="s">
        <v>274</v>
      </c>
      <c r="BG250" t="s">
        <v>274</v>
      </c>
      <c r="BH250" t="s">
        <v>274</v>
      </c>
      <c r="BI250" t="s">
        <v>274</v>
      </c>
      <c r="BJ250" t="s">
        <v>274</v>
      </c>
      <c r="BK250" t="s">
        <v>274</v>
      </c>
      <c r="BL250" t="s">
        <v>274</v>
      </c>
      <c r="BM250" t="s">
        <v>274</v>
      </c>
      <c r="BN250" t="s">
        <v>274</v>
      </c>
      <c r="BO250" t="s">
        <v>274</v>
      </c>
      <c r="BP250" t="s">
        <v>274</v>
      </c>
      <c r="BQ250" t="s">
        <v>274</v>
      </c>
      <c r="BR250" t="s">
        <v>274</v>
      </c>
    </row>
    <row r="251" spans="1:70" x14ac:dyDescent="0.3">
      <c r="A251" t="s">
        <v>4122</v>
      </c>
      <c r="B251" t="s">
        <v>4123</v>
      </c>
      <c r="C251" t="s">
        <v>578</v>
      </c>
      <c r="D251" t="s">
        <v>579</v>
      </c>
      <c r="E251" t="s">
        <v>274</v>
      </c>
      <c r="F251" t="s">
        <v>274</v>
      </c>
      <c r="G251" t="s">
        <v>274</v>
      </c>
      <c r="H251" t="s">
        <v>274</v>
      </c>
      <c r="I251" t="s">
        <v>274</v>
      </c>
      <c r="J251" t="s">
        <v>274</v>
      </c>
      <c r="K251" t="s">
        <v>274</v>
      </c>
      <c r="L251" t="s">
        <v>274</v>
      </c>
      <c r="M251" t="s">
        <v>274</v>
      </c>
      <c r="N251" t="s">
        <v>274</v>
      </c>
      <c r="O251" t="s">
        <v>274</v>
      </c>
      <c r="P251" t="s">
        <v>274</v>
      </c>
      <c r="Q251" t="s">
        <v>274</v>
      </c>
      <c r="R251" t="s">
        <v>274</v>
      </c>
      <c r="S251" t="s">
        <v>274</v>
      </c>
      <c r="T251" t="s">
        <v>274</v>
      </c>
      <c r="U251" t="s">
        <v>274</v>
      </c>
      <c r="V251" t="s">
        <v>274</v>
      </c>
      <c r="W251" t="s">
        <v>274</v>
      </c>
      <c r="X251" t="s">
        <v>274</v>
      </c>
      <c r="Y251" t="s">
        <v>274</v>
      </c>
      <c r="Z251" t="s">
        <v>274</v>
      </c>
      <c r="AA251" t="s">
        <v>274</v>
      </c>
      <c r="AB251" t="s">
        <v>274</v>
      </c>
      <c r="AC251" t="s">
        <v>274</v>
      </c>
      <c r="AD251" t="s">
        <v>274</v>
      </c>
      <c r="AE251" t="s">
        <v>274</v>
      </c>
      <c r="AF251" t="s">
        <v>274</v>
      </c>
      <c r="AG251" s="14" t="s">
        <v>274</v>
      </c>
      <c r="AH251" t="s">
        <v>274</v>
      </c>
      <c r="AI251" t="s">
        <v>274</v>
      </c>
      <c r="AJ251" t="s">
        <v>274</v>
      </c>
      <c r="AK251" t="s">
        <v>274</v>
      </c>
      <c r="AL251" t="s">
        <v>274</v>
      </c>
      <c r="AM251" t="s">
        <v>274</v>
      </c>
      <c r="AN251" t="s">
        <v>274</v>
      </c>
      <c r="AO251" t="s">
        <v>274</v>
      </c>
      <c r="AP251" t="s">
        <v>274</v>
      </c>
      <c r="AQ251" t="s">
        <v>274</v>
      </c>
      <c r="AR251" t="s">
        <v>274</v>
      </c>
      <c r="AS251" t="s">
        <v>274</v>
      </c>
      <c r="AT251" t="s">
        <v>274</v>
      </c>
      <c r="AU251" t="s">
        <v>274</v>
      </c>
      <c r="AV251" t="s">
        <v>274</v>
      </c>
      <c r="AW251" t="s">
        <v>274</v>
      </c>
      <c r="AX251" t="s">
        <v>274</v>
      </c>
      <c r="AY251" t="s">
        <v>274</v>
      </c>
      <c r="AZ251" t="s">
        <v>274</v>
      </c>
      <c r="BA251" t="s">
        <v>274</v>
      </c>
      <c r="BB251" t="s">
        <v>274</v>
      </c>
      <c r="BC251" t="s">
        <v>274</v>
      </c>
      <c r="BD251" t="s">
        <v>274</v>
      </c>
      <c r="BE251" t="s">
        <v>274</v>
      </c>
      <c r="BF251" t="s">
        <v>274</v>
      </c>
      <c r="BG251" t="s">
        <v>274</v>
      </c>
      <c r="BH251" t="s">
        <v>274</v>
      </c>
      <c r="BI251" t="s">
        <v>274</v>
      </c>
      <c r="BJ251" t="s">
        <v>274</v>
      </c>
      <c r="BK251" t="s">
        <v>274</v>
      </c>
      <c r="BL251" t="s">
        <v>274</v>
      </c>
      <c r="BM251" t="s">
        <v>274</v>
      </c>
      <c r="BN251" t="s">
        <v>274</v>
      </c>
      <c r="BO251" t="s">
        <v>274</v>
      </c>
      <c r="BP251" t="s">
        <v>274</v>
      </c>
      <c r="BQ251" t="s">
        <v>274</v>
      </c>
      <c r="BR251" t="s">
        <v>274</v>
      </c>
    </row>
    <row r="252" spans="1:70" x14ac:dyDescent="0.3">
      <c r="A252" t="s">
        <v>237</v>
      </c>
      <c r="B252" t="s">
        <v>4124</v>
      </c>
      <c r="C252" t="s">
        <v>578</v>
      </c>
      <c r="D252" t="s">
        <v>579</v>
      </c>
      <c r="E252" t="s">
        <v>274</v>
      </c>
      <c r="F252" t="s">
        <v>274</v>
      </c>
      <c r="G252" t="s">
        <v>274</v>
      </c>
      <c r="H252" t="s">
        <v>274</v>
      </c>
      <c r="I252" t="s">
        <v>274</v>
      </c>
      <c r="J252" t="s">
        <v>274</v>
      </c>
      <c r="K252" t="s">
        <v>274</v>
      </c>
      <c r="L252" t="s">
        <v>274</v>
      </c>
      <c r="M252" t="s">
        <v>274</v>
      </c>
      <c r="N252" t="s">
        <v>274</v>
      </c>
      <c r="O252" t="s">
        <v>274</v>
      </c>
      <c r="P252" t="s">
        <v>274</v>
      </c>
      <c r="Q252" t="s">
        <v>274</v>
      </c>
      <c r="R252" t="s">
        <v>274</v>
      </c>
      <c r="S252" t="s">
        <v>274</v>
      </c>
      <c r="T252" t="s">
        <v>274</v>
      </c>
      <c r="U252" t="s">
        <v>274</v>
      </c>
      <c r="V252" t="s">
        <v>274</v>
      </c>
      <c r="W252" t="s">
        <v>274</v>
      </c>
      <c r="X252" t="s">
        <v>274</v>
      </c>
      <c r="Y252" t="s">
        <v>274</v>
      </c>
      <c r="Z252" t="s">
        <v>274</v>
      </c>
      <c r="AA252" t="s">
        <v>274</v>
      </c>
      <c r="AB252" t="s">
        <v>274</v>
      </c>
      <c r="AC252" t="s">
        <v>274</v>
      </c>
      <c r="AD252" t="s">
        <v>274</v>
      </c>
      <c r="AE252" t="s">
        <v>274</v>
      </c>
      <c r="AF252" t="s">
        <v>274</v>
      </c>
      <c r="AG252" s="14" t="s">
        <v>274</v>
      </c>
      <c r="AH252" t="s">
        <v>274</v>
      </c>
      <c r="AI252" t="s">
        <v>274</v>
      </c>
      <c r="AJ252" t="s">
        <v>274</v>
      </c>
      <c r="AK252" t="s">
        <v>274</v>
      </c>
      <c r="AL252" t="s">
        <v>274</v>
      </c>
      <c r="AM252" t="s">
        <v>274</v>
      </c>
      <c r="AN252" t="s">
        <v>274</v>
      </c>
      <c r="AO252" t="s">
        <v>274</v>
      </c>
      <c r="AP252" t="s">
        <v>274</v>
      </c>
      <c r="AQ252" t="s">
        <v>274</v>
      </c>
      <c r="AR252" t="s">
        <v>274</v>
      </c>
      <c r="AS252" t="s">
        <v>274</v>
      </c>
      <c r="AT252" t="s">
        <v>274</v>
      </c>
      <c r="AU252" t="s">
        <v>274</v>
      </c>
      <c r="AV252" t="s">
        <v>274</v>
      </c>
      <c r="AW252" t="s">
        <v>274</v>
      </c>
      <c r="AX252" t="s">
        <v>274</v>
      </c>
      <c r="AY252" t="s">
        <v>274</v>
      </c>
      <c r="AZ252" t="s">
        <v>274</v>
      </c>
      <c r="BA252" t="s">
        <v>274</v>
      </c>
      <c r="BB252" t="s">
        <v>274</v>
      </c>
      <c r="BC252" t="s">
        <v>274</v>
      </c>
      <c r="BD252" t="s">
        <v>274</v>
      </c>
      <c r="BE252" t="s">
        <v>274</v>
      </c>
      <c r="BF252" t="s">
        <v>274</v>
      </c>
      <c r="BG252" t="s">
        <v>274</v>
      </c>
      <c r="BH252" t="s">
        <v>274</v>
      </c>
      <c r="BI252" t="s">
        <v>274</v>
      </c>
      <c r="BJ252" t="s">
        <v>274</v>
      </c>
      <c r="BK252" t="s">
        <v>274</v>
      </c>
      <c r="BL252" t="s">
        <v>274</v>
      </c>
      <c r="BM252" t="s">
        <v>274</v>
      </c>
      <c r="BN252" t="s">
        <v>274</v>
      </c>
      <c r="BO252" t="s">
        <v>274</v>
      </c>
      <c r="BP252" t="s">
        <v>274</v>
      </c>
      <c r="BQ252" t="s">
        <v>274</v>
      </c>
      <c r="BR252" t="s">
        <v>274</v>
      </c>
    </row>
    <row r="253" spans="1:70" x14ac:dyDescent="0.3">
      <c r="A253" t="s">
        <v>175</v>
      </c>
      <c r="B253" t="s">
        <v>4125</v>
      </c>
      <c r="C253" t="s">
        <v>578</v>
      </c>
      <c r="D253" t="s">
        <v>579</v>
      </c>
      <c r="E253" t="s">
        <v>274</v>
      </c>
      <c r="F253" t="s">
        <v>274</v>
      </c>
      <c r="G253" t="s">
        <v>274</v>
      </c>
      <c r="H253" t="s">
        <v>274</v>
      </c>
      <c r="I253" t="s">
        <v>274</v>
      </c>
      <c r="J253" t="s">
        <v>274</v>
      </c>
      <c r="K253" t="s">
        <v>274</v>
      </c>
      <c r="L253" t="s">
        <v>274</v>
      </c>
      <c r="M253" t="s">
        <v>274</v>
      </c>
      <c r="N253" t="s">
        <v>274</v>
      </c>
      <c r="O253" t="s">
        <v>274</v>
      </c>
      <c r="P253" t="s">
        <v>274</v>
      </c>
      <c r="Q253" t="s">
        <v>274</v>
      </c>
      <c r="R253" t="s">
        <v>274</v>
      </c>
      <c r="S253" t="s">
        <v>274</v>
      </c>
      <c r="T253" t="s">
        <v>274</v>
      </c>
      <c r="U253" t="s">
        <v>274</v>
      </c>
      <c r="V253" t="s">
        <v>274</v>
      </c>
      <c r="W253" t="s">
        <v>274</v>
      </c>
      <c r="X253" t="s">
        <v>274</v>
      </c>
      <c r="Y253" t="s">
        <v>274</v>
      </c>
      <c r="Z253" t="s">
        <v>274</v>
      </c>
      <c r="AA253" t="s">
        <v>274</v>
      </c>
      <c r="AB253" t="s">
        <v>274</v>
      </c>
      <c r="AC253" t="s">
        <v>274</v>
      </c>
      <c r="AD253" t="s">
        <v>274</v>
      </c>
      <c r="AE253" t="s">
        <v>274</v>
      </c>
      <c r="AF253" t="s">
        <v>274</v>
      </c>
      <c r="AG253" s="14" t="s">
        <v>274</v>
      </c>
      <c r="AH253" t="s">
        <v>274</v>
      </c>
      <c r="AI253" t="s">
        <v>274</v>
      </c>
      <c r="AJ253" t="s">
        <v>274</v>
      </c>
      <c r="AK253" t="s">
        <v>4126</v>
      </c>
      <c r="AL253" t="s">
        <v>4126</v>
      </c>
      <c r="AM253" t="s">
        <v>4127</v>
      </c>
      <c r="AN253" t="s">
        <v>4128</v>
      </c>
      <c r="AO253" t="s">
        <v>4129</v>
      </c>
      <c r="AP253" t="s">
        <v>4130</v>
      </c>
      <c r="AQ253" t="s">
        <v>4131</v>
      </c>
      <c r="AR253" t="s">
        <v>4132</v>
      </c>
      <c r="AS253" t="s">
        <v>4133</v>
      </c>
      <c r="AT253" t="s">
        <v>4134</v>
      </c>
      <c r="AU253" t="s">
        <v>4135</v>
      </c>
      <c r="AV253" t="s">
        <v>4136</v>
      </c>
      <c r="AW253" t="s">
        <v>4137</v>
      </c>
      <c r="AX253" t="s">
        <v>4138</v>
      </c>
      <c r="AY253" t="s">
        <v>4139</v>
      </c>
      <c r="AZ253" t="s">
        <v>4140</v>
      </c>
      <c r="BA253" t="s">
        <v>4141</v>
      </c>
      <c r="BB253" t="s">
        <v>4142</v>
      </c>
      <c r="BC253" t="s">
        <v>4143</v>
      </c>
      <c r="BD253" t="s">
        <v>4144</v>
      </c>
      <c r="BE253" t="s">
        <v>4145</v>
      </c>
      <c r="BF253" t="s">
        <v>4146</v>
      </c>
      <c r="BG253" t="s">
        <v>4147</v>
      </c>
      <c r="BH253" t="s">
        <v>4148</v>
      </c>
      <c r="BI253" t="s">
        <v>2178</v>
      </c>
      <c r="BJ253" t="s">
        <v>4149</v>
      </c>
      <c r="BK253" t="s">
        <v>4150</v>
      </c>
      <c r="BL253" t="s">
        <v>4151</v>
      </c>
      <c r="BM253" t="s">
        <v>4152</v>
      </c>
      <c r="BN253" t="s">
        <v>274</v>
      </c>
      <c r="BO253" t="s">
        <v>274</v>
      </c>
      <c r="BP253" t="s">
        <v>274</v>
      </c>
      <c r="BQ253" t="s">
        <v>274</v>
      </c>
      <c r="BR253" t="s">
        <v>274</v>
      </c>
    </row>
    <row r="254" spans="1:70" x14ac:dyDescent="0.3">
      <c r="A254" t="s">
        <v>176</v>
      </c>
      <c r="B254" t="s">
        <v>4153</v>
      </c>
      <c r="C254" t="s">
        <v>578</v>
      </c>
      <c r="D254" t="s">
        <v>579</v>
      </c>
      <c r="E254" t="s">
        <v>274</v>
      </c>
      <c r="F254" t="s">
        <v>274</v>
      </c>
      <c r="G254" t="s">
        <v>274</v>
      </c>
      <c r="H254" t="s">
        <v>274</v>
      </c>
      <c r="I254" t="s">
        <v>274</v>
      </c>
      <c r="J254" t="s">
        <v>274</v>
      </c>
      <c r="K254" t="s">
        <v>274</v>
      </c>
      <c r="L254" t="s">
        <v>274</v>
      </c>
      <c r="M254" t="s">
        <v>274</v>
      </c>
      <c r="N254" t="s">
        <v>274</v>
      </c>
      <c r="O254" t="s">
        <v>274</v>
      </c>
      <c r="P254" t="s">
        <v>274</v>
      </c>
      <c r="Q254" t="s">
        <v>274</v>
      </c>
      <c r="R254" t="s">
        <v>274</v>
      </c>
      <c r="S254" t="s">
        <v>274</v>
      </c>
      <c r="T254" t="s">
        <v>274</v>
      </c>
      <c r="U254" t="s">
        <v>274</v>
      </c>
      <c r="V254" t="s">
        <v>274</v>
      </c>
      <c r="W254" t="s">
        <v>274</v>
      </c>
      <c r="X254" t="s">
        <v>274</v>
      </c>
      <c r="Y254" t="s">
        <v>868</v>
      </c>
      <c r="Z254" t="s">
        <v>4154</v>
      </c>
      <c r="AA254" t="s">
        <v>1239</v>
      </c>
      <c r="AB254" t="s">
        <v>4155</v>
      </c>
      <c r="AC254" t="s">
        <v>4156</v>
      </c>
      <c r="AD254" t="s">
        <v>1855</v>
      </c>
      <c r="AE254" t="s">
        <v>4157</v>
      </c>
      <c r="AF254" t="s">
        <v>4158</v>
      </c>
      <c r="AG254" s="14" t="s">
        <v>4159</v>
      </c>
      <c r="AH254" t="s">
        <v>4160</v>
      </c>
      <c r="AI254" t="s">
        <v>4161</v>
      </c>
      <c r="AJ254" t="s">
        <v>4162</v>
      </c>
      <c r="AK254" t="s">
        <v>4163</v>
      </c>
      <c r="AL254" t="s">
        <v>274</v>
      </c>
      <c r="AM254" t="s">
        <v>4164</v>
      </c>
      <c r="AN254" t="s">
        <v>4165</v>
      </c>
      <c r="AO254" t="s">
        <v>4166</v>
      </c>
      <c r="AP254" t="s">
        <v>4167</v>
      </c>
      <c r="AQ254" t="s">
        <v>4168</v>
      </c>
      <c r="AR254" t="s">
        <v>4169</v>
      </c>
      <c r="AS254" t="s">
        <v>4170</v>
      </c>
      <c r="AT254" t="s">
        <v>4171</v>
      </c>
      <c r="AU254" t="s">
        <v>4172</v>
      </c>
      <c r="AV254" t="s">
        <v>4173</v>
      </c>
      <c r="AW254" t="s">
        <v>4174</v>
      </c>
      <c r="AX254" t="s">
        <v>4175</v>
      </c>
      <c r="AY254" t="s">
        <v>4176</v>
      </c>
      <c r="AZ254" t="s">
        <v>4177</v>
      </c>
      <c r="BA254" t="s">
        <v>4178</v>
      </c>
      <c r="BB254" t="s">
        <v>4179</v>
      </c>
      <c r="BC254" t="s">
        <v>4180</v>
      </c>
      <c r="BD254" t="s">
        <v>4181</v>
      </c>
      <c r="BE254" t="s">
        <v>4182</v>
      </c>
      <c r="BF254" t="s">
        <v>4183</v>
      </c>
      <c r="BG254" t="s">
        <v>4184</v>
      </c>
      <c r="BH254" t="s">
        <v>4185</v>
      </c>
      <c r="BI254" t="s">
        <v>4186</v>
      </c>
      <c r="BJ254" t="s">
        <v>4187</v>
      </c>
      <c r="BK254" t="s">
        <v>4188</v>
      </c>
      <c r="BL254" t="s">
        <v>274</v>
      </c>
      <c r="BM254" t="s">
        <v>274</v>
      </c>
      <c r="BN254" t="s">
        <v>274</v>
      </c>
      <c r="BO254" t="s">
        <v>274</v>
      </c>
      <c r="BP254" t="s">
        <v>274</v>
      </c>
      <c r="BQ254" t="s">
        <v>274</v>
      </c>
      <c r="BR254" t="s">
        <v>274</v>
      </c>
    </row>
    <row r="255" spans="1:70" x14ac:dyDescent="0.3">
      <c r="A255" t="s">
        <v>238</v>
      </c>
      <c r="B255" t="s">
        <v>4189</v>
      </c>
      <c r="C255" t="s">
        <v>578</v>
      </c>
      <c r="D255" t="s">
        <v>579</v>
      </c>
      <c r="E255" t="s">
        <v>274</v>
      </c>
      <c r="F255" t="s">
        <v>274</v>
      </c>
      <c r="G255" t="s">
        <v>274</v>
      </c>
      <c r="H255" t="s">
        <v>274</v>
      </c>
      <c r="I255" t="s">
        <v>274</v>
      </c>
      <c r="J255" t="s">
        <v>274</v>
      </c>
      <c r="K255" t="s">
        <v>274</v>
      </c>
      <c r="L255" t="s">
        <v>274</v>
      </c>
      <c r="M255" t="s">
        <v>274</v>
      </c>
      <c r="N255" t="s">
        <v>274</v>
      </c>
      <c r="O255" t="s">
        <v>274</v>
      </c>
      <c r="P255" t="s">
        <v>274</v>
      </c>
      <c r="Q255" t="s">
        <v>274</v>
      </c>
      <c r="R255" t="s">
        <v>274</v>
      </c>
      <c r="S255" t="s">
        <v>274</v>
      </c>
      <c r="T255" t="s">
        <v>274</v>
      </c>
      <c r="U255" t="s">
        <v>274</v>
      </c>
      <c r="V255" t="s">
        <v>274</v>
      </c>
      <c r="W255" t="s">
        <v>274</v>
      </c>
      <c r="X255" t="s">
        <v>274</v>
      </c>
      <c r="Y255" t="s">
        <v>274</v>
      </c>
      <c r="Z255" t="s">
        <v>274</v>
      </c>
      <c r="AA255" t="s">
        <v>274</v>
      </c>
      <c r="AB255" t="s">
        <v>274</v>
      </c>
      <c r="AC255" t="s">
        <v>274</v>
      </c>
      <c r="AD255" t="s">
        <v>274</v>
      </c>
      <c r="AE255" t="s">
        <v>274</v>
      </c>
      <c r="AF255" t="s">
        <v>274</v>
      </c>
      <c r="AG255" s="14" t="s">
        <v>274</v>
      </c>
      <c r="AH255" t="s">
        <v>274</v>
      </c>
      <c r="AI255" t="s">
        <v>274</v>
      </c>
      <c r="AJ255" t="s">
        <v>274</v>
      </c>
      <c r="AK255" t="s">
        <v>4190</v>
      </c>
      <c r="AL255" t="s">
        <v>4191</v>
      </c>
      <c r="AM255" t="s">
        <v>4192</v>
      </c>
      <c r="AN255" t="s">
        <v>4193</v>
      </c>
      <c r="AO255" t="s">
        <v>4194</v>
      </c>
      <c r="AP255" t="s">
        <v>4195</v>
      </c>
      <c r="AQ255" t="s">
        <v>4196</v>
      </c>
      <c r="AR255" t="s">
        <v>4197</v>
      </c>
      <c r="AS255" t="s">
        <v>4198</v>
      </c>
      <c r="AT255" t="s">
        <v>4199</v>
      </c>
      <c r="AU255" t="s">
        <v>4200</v>
      </c>
      <c r="AV255" t="s">
        <v>4201</v>
      </c>
      <c r="AW255" t="s">
        <v>4202</v>
      </c>
      <c r="AX255" t="s">
        <v>4203</v>
      </c>
      <c r="AY255" t="s">
        <v>4204</v>
      </c>
      <c r="AZ255" t="s">
        <v>4205</v>
      </c>
      <c r="BA255" t="s">
        <v>4206</v>
      </c>
      <c r="BB255" t="s">
        <v>4207</v>
      </c>
      <c r="BC255" t="s">
        <v>4208</v>
      </c>
      <c r="BD255" t="s">
        <v>4209</v>
      </c>
      <c r="BE255" t="s">
        <v>4210</v>
      </c>
      <c r="BF255" t="s">
        <v>4211</v>
      </c>
      <c r="BG255" t="s">
        <v>4212</v>
      </c>
      <c r="BH255" t="s">
        <v>4213</v>
      </c>
      <c r="BI255" t="s">
        <v>4214</v>
      </c>
      <c r="BJ255" t="s">
        <v>4215</v>
      </c>
      <c r="BK255" t="s">
        <v>4216</v>
      </c>
      <c r="BL255" t="s">
        <v>4217</v>
      </c>
      <c r="BM255" t="s">
        <v>4218</v>
      </c>
      <c r="BN255" t="s">
        <v>4219</v>
      </c>
      <c r="BO255" t="s">
        <v>4220</v>
      </c>
      <c r="BP255" t="s">
        <v>4221</v>
      </c>
      <c r="BQ255" t="s">
        <v>4222</v>
      </c>
      <c r="BR255" t="s">
        <v>274</v>
      </c>
    </row>
    <row r="256" spans="1:70" x14ac:dyDescent="0.3">
      <c r="A256" t="s">
        <v>4223</v>
      </c>
      <c r="B256" t="s">
        <v>4224</v>
      </c>
      <c r="C256" t="s">
        <v>578</v>
      </c>
      <c r="D256" t="s">
        <v>579</v>
      </c>
      <c r="E256" t="s">
        <v>274</v>
      </c>
      <c r="F256" t="s">
        <v>274</v>
      </c>
      <c r="G256" t="s">
        <v>274</v>
      </c>
      <c r="H256" t="s">
        <v>274</v>
      </c>
      <c r="I256" t="s">
        <v>274</v>
      </c>
      <c r="J256" t="s">
        <v>274</v>
      </c>
      <c r="K256" t="s">
        <v>274</v>
      </c>
      <c r="L256" t="s">
        <v>274</v>
      </c>
      <c r="M256" t="s">
        <v>274</v>
      </c>
      <c r="N256" t="s">
        <v>274</v>
      </c>
      <c r="O256" t="s">
        <v>274</v>
      </c>
      <c r="P256" t="s">
        <v>274</v>
      </c>
      <c r="Q256" t="s">
        <v>274</v>
      </c>
      <c r="R256" t="s">
        <v>274</v>
      </c>
      <c r="S256" t="s">
        <v>274</v>
      </c>
      <c r="T256" t="s">
        <v>274</v>
      </c>
      <c r="U256" t="s">
        <v>274</v>
      </c>
      <c r="V256" t="s">
        <v>274</v>
      </c>
      <c r="W256" t="s">
        <v>274</v>
      </c>
      <c r="X256" t="s">
        <v>274</v>
      </c>
      <c r="Y256" t="s">
        <v>274</v>
      </c>
      <c r="Z256" t="s">
        <v>274</v>
      </c>
      <c r="AA256" t="s">
        <v>274</v>
      </c>
      <c r="AB256" t="s">
        <v>274</v>
      </c>
      <c r="AC256" t="s">
        <v>274</v>
      </c>
      <c r="AD256" t="s">
        <v>274</v>
      </c>
      <c r="AE256" t="s">
        <v>274</v>
      </c>
      <c r="AF256" t="s">
        <v>274</v>
      </c>
      <c r="AG256" s="14" t="s">
        <v>274</v>
      </c>
      <c r="AH256" t="s">
        <v>274</v>
      </c>
      <c r="AI256" t="s">
        <v>274</v>
      </c>
      <c r="AJ256" t="s">
        <v>274</v>
      </c>
      <c r="AK256" t="s">
        <v>274</v>
      </c>
      <c r="AL256" t="s">
        <v>274</v>
      </c>
      <c r="AM256" t="s">
        <v>274</v>
      </c>
      <c r="AN256" t="s">
        <v>274</v>
      </c>
      <c r="AO256" t="s">
        <v>274</v>
      </c>
      <c r="AP256" t="s">
        <v>274</v>
      </c>
      <c r="AQ256" t="s">
        <v>274</v>
      </c>
      <c r="AR256" t="s">
        <v>274</v>
      </c>
      <c r="AS256" t="s">
        <v>274</v>
      </c>
      <c r="AT256" t="s">
        <v>274</v>
      </c>
      <c r="AU256" t="s">
        <v>274</v>
      </c>
      <c r="AV256" t="s">
        <v>274</v>
      </c>
      <c r="AW256" t="s">
        <v>274</v>
      </c>
      <c r="AX256" t="s">
        <v>274</v>
      </c>
      <c r="AY256" t="s">
        <v>274</v>
      </c>
      <c r="AZ256" t="s">
        <v>274</v>
      </c>
      <c r="BA256" t="s">
        <v>274</v>
      </c>
      <c r="BB256" t="s">
        <v>274</v>
      </c>
      <c r="BC256" t="s">
        <v>274</v>
      </c>
      <c r="BD256" t="s">
        <v>274</v>
      </c>
      <c r="BE256" t="s">
        <v>274</v>
      </c>
      <c r="BF256" t="s">
        <v>274</v>
      </c>
      <c r="BG256" t="s">
        <v>274</v>
      </c>
      <c r="BH256" t="s">
        <v>274</v>
      </c>
      <c r="BI256" t="s">
        <v>274</v>
      </c>
      <c r="BJ256" t="s">
        <v>274</v>
      </c>
      <c r="BK256" t="s">
        <v>274</v>
      </c>
      <c r="BL256" t="s">
        <v>274</v>
      </c>
      <c r="BM256" t="s">
        <v>274</v>
      </c>
      <c r="BN256" t="s">
        <v>274</v>
      </c>
      <c r="BO256" t="s">
        <v>274</v>
      </c>
      <c r="BP256" t="s">
        <v>274</v>
      </c>
      <c r="BQ256" t="s">
        <v>274</v>
      </c>
      <c r="BR256" t="s">
        <v>274</v>
      </c>
    </row>
    <row r="257" spans="1:70" x14ac:dyDescent="0.3">
      <c r="A257" t="s">
        <v>178</v>
      </c>
      <c r="B257" t="s">
        <v>4225</v>
      </c>
      <c r="C257" t="s">
        <v>578</v>
      </c>
      <c r="D257" t="s">
        <v>579</v>
      </c>
      <c r="E257" t="s">
        <v>274</v>
      </c>
      <c r="F257" t="s">
        <v>274</v>
      </c>
      <c r="G257" t="s">
        <v>274</v>
      </c>
      <c r="H257" t="s">
        <v>274</v>
      </c>
      <c r="I257" t="s">
        <v>274</v>
      </c>
      <c r="J257" t="s">
        <v>274</v>
      </c>
      <c r="K257" t="s">
        <v>274</v>
      </c>
      <c r="L257" t="s">
        <v>274</v>
      </c>
      <c r="M257" t="s">
        <v>274</v>
      </c>
      <c r="N257" t="s">
        <v>274</v>
      </c>
      <c r="O257" t="s">
        <v>274</v>
      </c>
      <c r="P257" t="s">
        <v>274</v>
      </c>
      <c r="Q257" t="s">
        <v>274</v>
      </c>
      <c r="R257" t="s">
        <v>274</v>
      </c>
      <c r="S257" t="s">
        <v>274</v>
      </c>
      <c r="T257" t="s">
        <v>274</v>
      </c>
      <c r="U257" t="s">
        <v>4226</v>
      </c>
      <c r="V257" t="s">
        <v>4227</v>
      </c>
      <c r="W257" t="s">
        <v>4228</v>
      </c>
      <c r="X257" t="s">
        <v>4229</v>
      </c>
      <c r="Y257" t="s">
        <v>4230</v>
      </c>
      <c r="Z257" t="s">
        <v>4231</v>
      </c>
      <c r="AA257" t="s">
        <v>4232</v>
      </c>
      <c r="AB257" t="s">
        <v>4233</v>
      </c>
      <c r="AC257" t="s">
        <v>4234</v>
      </c>
      <c r="AD257" t="s">
        <v>4235</v>
      </c>
      <c r="AE257" t="s">
        <v>4236</v>
      </c>
      <c r="AF257" t="s">
        <v>4237</v>
      </c>
      <c r="AG257" s="14" t="s">
        <v>4238</v>
      </c>
      <c r="AH257" t="s">
        <v>4239</v>
      </c>
      <c r="AI257" t="s">
        <v>4240</v>
      </c>
      <c r="AJ257" t="s">
        <v>4241</v>
      </c>
      <c r="AK257" t="s">
        <v>4242</v>
      </c>
      <c r="AL257" t="s">
        <v>4243</v>
      </c>
      <c r="AM257" t="s">
        <v>4244</v>
      </c>
      <c r="AN257" t="s">
        <v>4245</v>
      </c>
      <c r="AO257" t="s">
        <v>4246</v>
      </c>
      <c r="AP257" t="s">
        <v>4247</v>
      </c>
      <c r="AQ257" t="s">
        <v>4248</v>
      </c>
      <c r="AR257" t="s">
        <v>4249</v>
      </c>
      <c r="AS257" t="s">
        <v>4250</v>
      </c>
      <c r="AT257" t="s">
        <v>4251</v>
      </c>
      <c r="AU257" t="s">
        <v>4252</v>
      </c>
      <c r="AV257" t="s">
        <v>4253</v>
      </c>
      <c r="AW257" t="s">
        <v>4254</v>
      </c>
      <c r="AX257" t="s">
        <v>4255</v>
      </c>
      <c r="AY257" t="s">
        <v>4256</v>
      </c>
      <c r="AZ257" t="s">
        <v>4257</v>
      </c>
      <c r="BA257" t="s">
        <v>4258</v>
      </c>
      <c r="BB257" t="s">
        <v>4259</v>
      </c>
      <c r="BC257" t="s">
        <v>4260</v>
      </c>
      <c r="BD257" t="s">
        <v>4261</v>
      </c>
      <c r="BE257" t="s">
        <v>4262</v>
      </c>
      <c r="BF257" t="s">
        <v>4263</v>
      </c>
      <c r="BG257" t="s">
        <v>4264</v>
      </c>
      <c r="BH257" t="s">
        <v>4265</v>
      </c>
      <c r="BI257" t="s">
        <v>4266</v>
      </c>
      <c r="BJ257" t="s">
        <v>4267</v>
      </c>
      <c r="BK257" t="s">
        <v>4268</v>
      </c>
      <c r="BL257" t="s">
        <v>4269</v>
      </c>
      <c r="BM257" t="s">
        <v>4270</v>
      </c>
      <c r="BN257" t="s">
        <v>4271</v>
      </c>
      <c r="BO257" t="s">
        <v>4272</v>
      </c>
      <c r="BP257" t="s">
        <v>4273</v>
      </c>
      <c r="BQ257" t="s">
        <v>4274</v>
      </c>
      <c r="BR257" t="s">
        <v>274</v>
      </c>
    </row>
    <row r="258" spans="1:70" x14ac:dyDescent="0.3">
      <c r="A258" t="s">
        <v>179</v>
      </c>
      <c r="B258" t="s">
        <v>4275</v>
      </c>
      <c r="C258" t="s">
        <v>578</v>
      </c>
      <c r="D258" t="s">
        <v>579</v>
      </c>
      <c r="E258" t="s">
        <v>4276</v>
      </c>
      <c r="F258" t="s">
        <v>4277</v>
      </c>
      <c r="G258" t="s">
        <v>4277</v>
      </c>
      <c r="H258" t="s">
        <v>4277</v>
      </c>
      <c r="I258" t="s">
        <v>4277</v>
      </c>
      <c r="J258" t="s">
        <v>4278</v>
      </c>
      <c r="K258" t="s">
        <v>4279</v>
      </c>
      <c r="L258" t="s">
        <v>4280</v>
      </c>
      <c r="M258" t="s">
        <v>4281</v>
      </c>
      <c r="N258" t="s">
        <v>4282</v>
      </c>
      <c r="O258" t="s">
        <v>350</v>
      </c>
      <c r="P258" t="s">
        <v>4283</v>
      </c>
      <c r="Q258" t="s">
        <v>4284</v>
      </c>
      <c r="R258" t="s">
        <v>4285</v>
      </c>
      <c r="S258" t="s">
        <v>4286</v>
      </c>
      <c r="T258" t="s">
        <v>4287</v>
      </c>
      <c r="U258" t="s">
        <v>4288</v>
      </c>
      <c r="V258" t="s">
        <v>4289</v>
      </c>
      <c r="W258" t="s">
        <v>4290</v>
      </c>
      <c r="X258" t="s">
        <v>4291</v>
      </c>
      <c r="Y258" t="s">
        <v>4292</v>
      </c>
      <c r="Z258" t="s">
        <v>4293</v>
      </c>
      <c r="AA258" t="s">
        <v>4294</v>
      </c>
      <c r="AB258" t="s">
        <v>3214</v>
      </c>
      <c r="AC258" t="s">
        <v>937</v>
      </c>
      <c r="AD258" t="s">
        <v>2048</v>
      </c>
      <c r="AE258" t="s">
        <v>4295</v>
      </c>
      <c r="AF258" t="s">
        <v>4296</v>
      </c>
      <c r="AG258" s="14" t="s">
        <v>4297</v>
      </c>
      <c r="AH258" t="s">
        <v>4298</v>
      </c>
      <c r="AI258" t="s">
        <v>4299</v>
      </c>
      <c r="AJ258" t="s">
        <v>4300</v>
      </c>
      <c r="AK258" t="s">
        <v>4301</v>
      </c>
      <c r="AL258" t="s">
        <v>604</v>
      </c>
      <c r="AM258" t="s">
        <v>4302</v>
      </c>
      <c r="AN258" t="s">
        <v>4303</v>
      </c>
      <c r="AO258" t="s">
        <v>4304</v>
      </c>
      <c r="AP258" t="s">
        <v>4305</v>
      </c>
      <c r="AQ258" t="s">
        <v>4306</v>
      </c>
      <c r="AR258" t="s">
        <v>4307</v>
      </c>
      <c r="AS258" t="s">
        <v>4308</v>
      </c>
      <c r="AT258" t="s">
        <v>4309</v>
      </c>
      <c r="AU258" t="s">
        <v>4310</v>
      </c>
      <c r="AV258" t="s">
        <v>4311</v>
      </c>
      <c r="AW258" t="s">
        <v>4312</v>
      </c>
      <c r="AX258" t="s">
        <v>4313</v>
      </c>
      <c r="AY258" t="s">
        <v>4314</v>
      </c>
      <c r="AZ258" t="s">
        <v>1227</v>
      </c>
      <c r="BA258" t="s">
        <v>4315</v>
      </c>
      <c r="BB258" t="s">
        <v>4316</v>
      </c>
      <c r="BC258" t="s">
        <v>4316</v>
      </c>
      <c r="BD258" t="s">
        <v>4316</v>
      </c>
      <c r="BE258" t="s">
        <v>4316</v>
      </c>
      <c r="BF258" t="s">
        <v>4316</v>
      </c>
      <c r="BG258" t="s">
        <v>4316</v>
      </c>
      <c r="BH258" t="s">
        <v>4317</v>
      </c>
      <c r="BI258" t="s">
        <v>4318</v>
      </c>
      <c r="BJ258" t="s">
        <v>4319</v>
      </c>
      <c r="BK258" t="s">
        <v>4320</v>
      </c>
      <c r="BL258" t="s">
        <v>4321</v>
      </c>
      <c r="BM258" t="s">
        <v>4322</v>
      </c>
      <c r="BN258" t="s">
        <v>4316</v>
      </c>
      <c r="BO258" t="s">
        <v>274</v>
      </c>
      <c r="BP258" t="s">
        <v>274</v>
      </c>
      <c r="BQ258" t="s">
        <v>274</v>
      </c>
      <c r="BR258" t="s">
        <v>274</v>
      </c>
    </row>
    <row r="259" spans="1:70" x14ac:dyDescent="0.3">
      <c r="A259" t="s">
        <v>239</v>
      </c>
      <c r="B259" t="s">
        <v>4323</v>
      </c>
      <c r="C259" t="s">
        <v>578</v>
      </c>
      <c r="D259" t="s">
        <v>579</v>
      </c>
      <c r="E259" t="s">
        <v>274</v>
      </c>
      <c r="F259" t="s">
        <v>274</v>
      </c>
      <c r="G259" t="s">
        <v>274</v>
      </c>
      <c r="H259" t="s">
        <v>274</v>
      </c>
      <c r="I259" t="s">
        <v>274</v>
      </c>
      <c r="J259" t="s">
        <v>274</v>
      </c>
      <c r="K259" t="s">
        <v>274</v>
      </c>
      <c r="L259" t="s">
        <v>274</v>
      </c>
      <c r="M259" t="s">
        <v>274</v>
      </c>
      <c r="N259" t="s">
        <v>274</v>
      </c>
      <c r="O259" t="s">
        <v>274</v>
      </c>
      <c r="P259" t="s">
        <v>274</v>
      </c>
      <c r="Q259" t="s">
        <v>274</v>
      </c>
      <c r="R259" t="s">
        <v>274</v>
      </c>
      <c r="S259" t="s">
        <v>274</v>
      </c>
      <c r="T259" t="s">
        <v>274</v>
      </c>
      <c r="U259" t="s">
        <v>274</v>
      </c>
      <c r="V259" t="s">
        <v>274</v>
      </c>
      <c r="W259" t="s">
        <v>274</v>
      </c>
      <c r="X259" t="s">
        <v>274</v>
      </c>
      <c r="Y259" t="s">
        <v>274</v>
      </c>
      <c r="Z259" t="s">
        <v>274</v>
      </c>
      <c r="AA259" t="s">
        <v>274</v>
      </c>
      <c r="AB259" t="s">
        <v>274</v>
      </c>
      <c r="AC259" t="s">
        <v>274</v>
      </c>
      <c r="AD259" t="s">
        <v>274</v>
      </c>
      <c r="AE259" t="s">
        <v>274</v>
      </c>
      <c r="AF259" t="s">
        <v>274</v>
      </c>
      <c r="AG259" s="14" t="s">
        <v>274</v>
      </c>
      <c r="AH259" t="s">
        <v>274</v>
      </c>
      <c r="AI259" t="s">
        <v>274</v>
      </c>
      <c r="AJ259" t="s">
        <v>274</v>
      </c>
      <c r="AK259" t="s">
        <v>274</v>
      </c>
      <c r="AL259" t="s">
        <v>274</v>
      </c>
      <c r="AM259" t="s">
        <v>274</v>
      </c>
      <c r="AN259" t="s">
        <v>274</v>
      </c>
      <c r="AO259" t="s">
        <v>274</v>
      </c>
      <c r="AP259" t="s">
        <v>274</v>
      </c>
      <c r="AQ259" t="s">
        <v>274</v>
      </c>
      <c r="AR259" t="s">
        <v>274</v>
      </c>
      <c r="AS259" t="s">
        <v>274</v>
      </c>
      <c r="AT259" t="s">
        <v>274</v>
      </c>
      <c r="AU259" t="s">
        <v>274</v>
      </c>
      <c r="AV259" t="s">
        <v>274</v>
      </c>
      <c r="AW259" t="s">
        <v>274</v>
      </c>
      <c r="AX259" t="s">
        <v>274</v>
      </c>
      <c r="AY259" t="s">
        <v>274</v>
      </c>
      <c r="AZ259" t="s">
        <v>274</v>
      </c>
      <c r="BA259" t="s">
        <v>274</v>
      </c>
      <c r="BB259" t="s">
        <v>274</v>
      </c>
      <c r="BC259" t="s">
        <v>274</v>
      </c>
      <c r="BD259" t="s">
        <v>274</v>
      </c>
      <c r="BE259" t="s">
        <v>274</v>
      </c>
      <c r="BF259" t="s">
        <v>4324</v>
      </c>
      <c r="BG259" t="s">
        <v>4325</v>
      </c>
      <c r="BH259" t="s">
        <v>4326</v>
      </c>
      <c r="BI259" t="s">
        <v>4327</v>
      </c>
      <c r="BJ259" t="s">
        <v>4328</v>
      </c>
      <c r="BK259" t="s">
        <v>4329</v>
      </c>
      <c r="BL259" t="s">
        <v>4330</v>
      </c>
      <c r="BM259" t="s">
        <v>4331</v>
      </c>
      <c r="BN259" t="s">
        <v>4332</v>
      </c>
      <c r="BO259" t="s">
        <v>4333</v>
      </c>
      <c r="BP259" t="s">
        <v>4334</v>
      </c>
      <c r="BQ259" t="s">
        <v>4335</v>
      </c>
      <c r="BR259" t="s">
        <v>274</v>
      </c>
    </row>
    <row r="260" spans="1:70" x14ac:dyDescent="0.3">
      <c r="A260" t="s">
        <v>240</v>
      </c>
      <c r="B260" t="s">
        <v>4336</v>
      </c>
      <c r="C260" t="s">
        <v>578</v>
      </c>
      <c r="D260" t="s">
        <v>579</v>
      </c>
      <c r="E260" t="s">
        <v>274</v>
      </c>
      <c r="F260" t="s">
        <v>274</v>
      </c>
      <c r="G260" t="s">
        <v>274</v>
      </c>
      <c r="H260" t="s">
        <v>274</v>
      </c>
      <c r="I260" t="s">
        <v>274</v>
      </c>
      <c r="J260" t="s">
        <v>274</v>
      </c>
      <c r="K260" t="s">
        <v>274</v>
      </c>
      <c r="L260" t="s">
        <v>274</v>
      </c>
      <c r="M260" t="s">
        <v>274</v>
      </c>
      <c r="N260" t="s">
        <v>274</v>
      </c>
      <c r="O260" t="s">
        <v>274</v>
      </c>
      <c r="P260" t="s">
        <v>274</v>
      </c>
      <c r="Q260" t="s">
        <v>274</v>
      </c>
      <c r="R260" t="s">
        <v>274</v>
      </c>
      <c r="S260" t="s">
        <v>274</v>
      </c>
      <c r="T260" t="s">
        <v>274</v>
      </c>
      <c r="U260" t="s">
        <v>274</v>
      </c>
      <c r="V260" t="s">
        <v>274</v>
      </c>
      <c r="W260" t="s">
        <v>274</v>
      </c>
      <c r="X260" t="s">
        <v>274</v>
      </c>
      <c r="Y260" t="s">
        <v>4337</v>
      </c>
      <c r="Z260" t="s">
        <v>4337</v>
      </c>
      <c r="AA260" t="s">
        <v>4337</v>
      </c>
      <c r="AB260" t="s">
        <v>4338</v>
      </c>
      <c r="AC260" t="s">
        <v>4339</v>
      </c>
      <c r="AD260" t="s">
        <v>4340</v>
      </c>
      <c r="AE260" t="s">
        <v>4341</v>
      </c>
      <c r="AF260" t="s">
        <v>4341</v>
      </c>
      <c r="AG260" s="14" t="s">
        <v>4342</v>
      </c>
      <c r="AH260" t="s">
        <v>4341</v>
      </c>
      <c r="AI260" t="s">
        <v>4343</v>
      </c>
      <c r="AJ260" t="s">
        <v>4344</v>
      </c>
      <c r="AK260" t="s">
        <v>4345</v>
      </c>
      <c r="AL260" t="s">
        <v>4346</v>
      </c>
      <c r="AM260" t="s">
        <v>4347</v>
      </c>
      <c r="AN260" t="s">
        <v>4348</v>
      </c>
      <c r="AO260" t="s">
        <v>4349</v>
      </c>
      <c r="AP260" t="s">
        <v>4350</v>
      </c>
      <c r="AQ260" t="s">
        <v>4351</v>
      </c>
      <c r="AR260" t="s">
        <v>4352</v>
      </c>
      <c r="AS260" t="s">
        <v>4353</v>
      </c>
      <c r="AT260" t="s">
        <v>4354</v>
      </c>
      <c r="AU260" t="s">
        <v>4355</v>
      </c>
      <c r="AV260" t="s">
        <v>4356</v>
      </c>
      <c r="AW260" t="s">
        <v>4357</v>
      </c>
      <c r="AX260" t="s">
        <v>4358</v>
      </c>
      <c r="AY260" t="s">
        <v>4359</v>
      </c>
      <c r="AZ260" t="s">
        <v>4360</v>
      </c>
      <c r="BA260" t="s">
        <v>4361</v>
      </c>
      <c r="BB260" t="s">
        <v>4362</v>
      </c>
      <c r="BC260" t="s">
        <v>4363</v>
      </c>
      <c r="BD260" t="s">
        <v>4364</v>
      </c>
      <c r="BE260" t="s">
        <v>4365</v>
      </c>
      <c r="BF260" t="s">
        <v>4366</v>
      </c>
      <c r="BG260" t="s">
        <v>4367</v>
      </c>
      <c r="BH260" t="s">
        <v>4368</v>
      </c>
      <c r="BI260" t="s">
        <v>4369</v>
      </c>
      <c r="BJ260" t="s">
        <v>4370</v>
      </c>
      <c r="BK260" t="s">
        <v>4371</v>
      </c>
      <c r="BL260" t="s">
        <v>4372</v>
      </c>
      <c r="BM260" t="s">
        <v>4373</v>
      </c>
      <c r="BN260" t="s">
        <v>4374</v>
      </c>
      <c r="BO260" t="s">
        <v>4375</v>
      </c>
      <c r="BP260" t="s">
        <v>4376</v>
      </c>
      <c r="BQ260" t="s">
        <v>4377</v>
      </c>
      <c r="BR260" t="s">
        <v>274</v>
      </c>
    </row>
    <row r="261" spans="1:70" x14ac:dyDescent="0.3">
      <c r="A261" t="s">
        <v>4378</v>
      </c>
      <c r="B261" t="s">
        <v>4379</v>
      </c>
      <c r="C261" t="s">
        <v>578</v>
      </c>
      <c r="D261" t="s">
        <v>579</v>
      </c>
      <c r="E261" t="s">
        <v>274</v>
      </c>
      <c r="F261" t="s">
        <v>274</v>
      </c>
      <c r="G261" t="s">
        <v>274</v>
      </c>
      <c r="H261" t="s">
        <v>274</v>
      </c>
      <c r="I261" t="s">
        <v>274</v>
      </c>
      <c r="J261" t="s">
        <v>274</v>
      </c>
      <c r="K261" t="s">
        <v>274</v>
      </c>
      <c r="L261" t="s">
        <v>274</v>
      </c>
      <c r="M261" t="s">
        <v>274</v>
      </c>
      <c r="N261" t="s">
        <v>274</v>
      </c>
      <c r="O261" t="s">
        <v>274</v>
      </c>
      <c r="P261" t="s">
        <v>274</v>
      </c>
      <c r="Q261" t="s">
        <v>274</v>
      </c>
      <c r="R261" t="s">
        <v>274</v>
      </c>
      <c r="S261" t="s">
        <v>274</v>
      </c>
      <c r="T261" t="s">
        <v>274</v>
      </c>
      <c r="U261" t="s">
        <v>274</v>
      </c>
      <c r="V261" t="s">
        <v>274</v>
      </c>
      <c r="W261" t="s">
        <v>274</v>
      </c>
      <c r="X261" t="s">
        <v>274</v>
      </c>
      <c r="Y261" t="s">
        <v>274</v>
      </c>
      <c r="Z261" t="s">
        <v>274</v>
      </c>
      <c r="AA261" t="s">
        <v>274</v>
      </c>
      <c r="AB261" t="s">
        <v>274</v>
      </c>
      <c r="AC261" t="s">
        <v>4380</v>
      </c>
      <c r="AD261" t="s">
        <v>4381</v>
      </c>
      <c r="AE261" t="s">
        <v>4382</v>
      </c>
      <c r="AF261" t="s">
        <v>4383</v>
      </c>
      <c r="AG261" s="14" t="s">
        <v>4384</v>
      </c>
      <c r="AH261" t="s">
        <v>4385</v>
      </c>
      <c r="AI261" t="s">
        <v>4386</v>
      </c>
      <c r="AJ261" t="s">
        <v>4387</v>
      </c>
      <c r="AK261" t="s">
        <v>4388</v>
      </c>
      <c r="AL261" t="s">
        <v>4389</v>
      </c>
      <c r="AM261" t="s">
        <v>4390</v>
      </c>
      <c r="AN261" t="s">
        <v>4391</v>
      </c>
      <c r="AO261" t="s">
        <v>4392</v>
      </c>
      <c r="AP261" t="s">
        <v>4393</v>
      </c>
      <c r="AQ261" t="s">
        <v>4394</v>
      </c>
      <c r="AR261" t="s">
        <v>4395</v>
      </c>
      <c r="AS261" t="s">
        <v>4396</v>
      </c>
      <c r="AT261" t="s">
        <v>4397</v>
      </c>
      <c r="AU261" t="s">
        <v>4398</v>
      </c>
      <c r="AV261" t="s">
        <v>4399</v>
      </c>
      <c r="AW261" t="s">
        <v>4400</v>
      </c>
      <c r="AX261" t="s">
        <v>4401</v>
      </c>
      <c r="AY261" t="s">
        <v>4402</v>
      </c>
      <c r="AZ261" t="s">
        <v>4403</v>
      </c>
      <c r="BA261" t="s">
        <v>4404</v>
      </c>
      <c r="BB261" t="s">
        <v>4405</v>
      </c>
      <c r="BC261" t="s">
        <v>4406</v>
      </c>
      <c r="BD261" t="s">
        <v>4407</v>
      </c>
      <c r="BE261" t="s">
        <v>4408</v>
      </c>
      <c r="BF261" t="s">
        <v>4409</v>
      </c>
      <c r="BG261" t="s">
        <v>4410</v>
      </c>
      <c r="BH261" t="s">
        <v>4411</v>
      </c>
      <c r="BI261" t="s">
        <v>4412</v>
      </c>
      <c r="BJ261" t="s">
        <v>4413</v>
      </c>
      <c r="BK261" t="s">
        <v>274</v>
      </c>
      <c r="BL261" t="s">
        <v>274</v>
      </c>
      <c r="BM261" t="s">
        <v>274</v>
      </c>
      <c r="BN261" t="s">
        <v>274</v>
      </c>
      <c r="BO261" t="s">
        <v>274</v>
      </c>
      <c r="BP261" t="s">
        <v>274</v>
      </c>
      <c r="BQ261" t="s">
        <v>274</v>
      </c>
      <c r="BR261" t="s">
        <v>274</v>
      </c>
    </row>
    <row r="262" spans="1:70" x14ac:dyDescent="0.3">
      <c r="A262" t="s">
        <v>249</v>
      </c>
      <c r="B262" t="s">
        <v>4414</v>
      </c>
      <c r="C262" t="s">
        <v>578</v>
      </c>
      <c r="D262" t="s">
        <v>579</v>
      </c>
      <c r="E262" t="s">
        <v>274</v>
      </c>
      <c r="F262" t="s">
        <v>274</v>
      </c>
      <c r="G262" t="s">
        <v>274</v>
      </c>
      <c r="H262" t="s">
        <v>274</v>
      </c>
      <c r="I262" t="s">
        <v>274</v>
      </c>
      <c r="J262" t="s">
        <v>274</v>
      </c>
      <c r="K262" t="s">
        <v>274</v>
      </c>
      <c r="L262" t="s">
        <v>274</v>
      </c>
      <c r="M262" t="s">
        <v>274</v>
      </c>
      <c r="N262" t="s">
        <v>274</v>
      </c>
      <c r="O262" t="s">
        <v>274</v>
      </c>
      <c r="P262" t="s">
        <v>274</v>
      </c>
      <c r="Q262" t="s">
        <v>274</v>
      </c>
      <c r="R262" t="s">
        <v>274</v>
      </c>
      <c r="S262" t="s">
        <v>274</v>
      </c>
      <c r="T262" t="s">
        <v>274</v>
      </c>
      <c r="U262" t="s">
        <v>274</v>
      </c>
      <c r="V262" t="s">
        <v>274</v>
      </c>
      <c r="W262" t="s">
        <v>274</v>
      </c>
      <c r="X262" t="s">
        <v>274</v>
      </c>
      <c r="Y262" t="s">
        <v>274</v>
      </c>
      <c r="Z262" t="s">
        <v>274</v>
      </c>
      <c r="AA262" t="s">
        <v>274</v>
      </c>
      <c r="AB262" t="s">
        <v>274</v>
      </c>
      <c r="AC262" t="s">
        <v>274</v>
      </c>
      <c r="AD262" t="s">
        <v>274</v>
      </c>
      <c r="AE262" t="s">
        <v>274</v>
      </c>
      <c r="AF262" t="s">
        <v>274</v>
      </c>
      <c r="AG262" s="14" t="s">
        <v>274</v>
      </c>
      <c r="AH262" t="s">
        <v>274</v>
      </c>
      <c r="AI262" t="s">
        <v>274</v>
      </c>
      <c r="AJ262" t="s">
        <v>274</v>
      </c>
      <c r="AK262" t="s">
        <v>274</v>
      </c>
      <c r="AL262" t="s">
        <v>274</v>
      </c>
      <c r="AM262" t="s">
        <v>274</v>
      </c>
      <c r="AN262" t="s">
        <v>274</v>
      </c>
      <c r="AO262" t="s">
        <v>274</v>
      </c>
      <c r="AP262" t="s">
        <v>274</v>
      </c>
      <c r="AQ262" t="s">
        <v>274</v>
      </c>
      <c r="AR262" t="s">
        <v>274</v>
      </c>
      <c r="AS262" t="s">
        <v>274</v>
      </c>
      <c r="AT262" t="s">
        <v>274</v>
      </c>
      <c r="AU262" t="s">
        <v>274</v>
      </c>
      <c r="AV262" t="s">
        <v>274</v>
      </c>
      <c r="AW262" t="s">
        <v>274</v>
      </c>
      <c r="AX262" t="s">
        <v>274</v>
      </c>
      <c r="AY262" t="s">
        <v>274</v>
      </c>
      <c r="AZ262" t="s">
        <v>274</v>
      </c>
      <c r="BA262" t="s">
        <v>274</v>
      </c>
      <c r="BB262" t="s">
        <v>274</v>
      </c>
      <c r="BC262" t="s">
        <v>274</v>
      </c>
      <c r="BD262" t="s">
        <v>274</v>
      </c>
      <c r="BE262" t="s">
        <v>274</v>
      </c>
      <c r="BF262" t="s">
        <v>274</v>
      </c>
      <c r="BG262" t="s">
        <v>274</v>
      </c>
      <c r="BH262" t="s">
        <v>274</v>
      </c>
      <c r="BI262" t="s">
        <v>274</v>
      </c>
      <c r="BJ262" t="s">
        <v>274</v>
      </c>
      <c r="BK262" t="s">
        <v>274</v>
      </c>
      <c r="BL262" t="s">
        <v>274</v>
      </c>
      <c r="BM262" t="s">
        <v>274</v>
      </c>
      <c r="BN262" t="s">
        <v>274</v>
      </c>
      <c r="BO262" t="s">
        <v>274</v>
      </c>
      <c r="BP262" t="s">
        <v>274</v>
      </c>
      <c r="BQ262" t="s">
        <v>274</v>
      </c>
      <c r="BR262" t="s">
        <v>274</v>
      </c>
    </row>
    <row r="263" spans="1:70" x14ac:dyDescent="0.3">
      <c r="A263" t="s">
        <v>4415</v>
      </c>
      <c r="B263" t="s">
        <v>4416</v>
      </c>
      <c r="C263" t="s">
        <v>578</v>
      </c>
      <c r="D263" t="s">
        <v>579</v>
      </c>
      <c r="E263" t="s">
        <v>274</v>
      </c>
      <c r="F263" t="s">
        <v>274</v>
      </c>
      <c r="G263" t="s">
        <v>274</v>
      </c>
      <c r="H263" t="s">
        <v>274</v>
      </c>
      <c r="I263" t="s">
        <v>274</v>
      </c>
      <c r="J263" t="s">
        <v>274</v>
      </c>
      <c r="K263" t="s">
        <v>274</v>
      </c>
      <c r="L263" t="s">
        <v>274</v>
      </c>
      <c r="M263" t="s">
        <v>274</v>
      </c>
      <c r="N263" t="s">
        <v>274</v>
      </c>
      <c r="O263" t="s">
        <v>274</v>
      </c>
      <c r="P263" t="s">
        <v>274</v>
      </c>
      <c r="Q263" t="s">
        <v>274</v>
      </c>
      <c r="R263" t="s">
        <v>274</v>
      </c>
      <c r="S263" t="s">
        <v>274</v>
      </c>
      <c r="T263" t="s">
        <v>274</v>
      </c>
      <c r="U263" t="s">
        <v>274</v>
      </c>
      <c r="V263" t="s">
        <v>274</v>
      </c>
      <c r="W263" t="s">
        <v>274</v>
      </c>
      <c r="X263" t="s">
        <v>274</v>
      </c>
      <c r="Y263" t="s">
        <v>274</v>
      </c>
      <c r="Z263" t="s">
        <v>274</v>
      </c>
      <c r="AA263" t="s">
        <v>274</v>
      </c>
      <c r="AB263" t="s">
        <v>274</v>
      </c>
      <c r="AC263" t="s">
        <v>274</v>
      </c>
      <c r="AD263" t="s">
        <v>274</v>
      </c>
      <c r="AE263" t="s">
        <v>274</v>
      </c>
      <c r="AF263" t="s">
        <v>274</v>
      </c>
      <c r="AG263" s="14" t="s">
        <v>274</v>
      </c>
      <c r="AH263" t="s">
        <v>274</v>
      </c>
      <c r="AI263" t="s">
        <v>274</v>
      </c>
      <c r="AJ263" t="s">
        <v>274</v>
      </c>
      <c r="AK263" t="s">
        <v>274</v>
      </c>
      <c r="AL263" t="s">
        <v>274</v>
      </c>
      <c r="AM263" t="s">
        <v>274</v>
      </c>
      <c r="AN263" t="s">
        <v>274</v>
      </c>
      <c r="AO263" t="s">
        <v>274</v>
      </c>
      <c r="AP263" t="s">
        <v>274</v>
      </c>
      <c r="AQ263" t="s">
        <v>274</v>
      </c>
      <c r="AR263" t="s">
        <v>274</v>
      </c>
      <c r="AS263" t="s">
        <v>274</v>
      </c>
      <c r="AT263" t="s">
        <v>274</v>
      </c>
      <c r="AU263" t="s">
        <v>274</v>
      </c>
      <c r="AV263" t="s">
        <v>274</v>
      </c>
      <c r="AW263" t="s">
        <v>274</v>
      </c>
      <c r="AX263" t="s">
        <v>274</v>
      </c>
      <c r="AY263" t="s">
        <v>274</v>
      </c>
      <c r="AZ263" t="s">
        <v>274</v>
      </c>
      <c r="BA263" t="s">
        <v>274</v>
      </c>
      <c r="BB263" t="s">
        <v>274</v>
      </c>
      <c r="BC263" t="s">
        <v>274</v>
      </c>
      <c r="BD263" t="s">
        <v>274</v>
      </c>
      <c r="BE263" t="s">
        <v>274</v>
      </c>
      <c r="BF263" t="s">
        <v>274</v>
      </c>
      <c r="BG263" t="s">
        <v>274</v>
      </c>
      <c r="BH263" t="s">
        <v>274</v>
      </c>
      <c r="BI263" t="s">
        <v>274</v>
      </c>
      <c r="BJ263" t="s">
        <v>274</v>
      </c>
      <c r="BK263" t="s">
        <v>274</v>
      </c>
      <c r="BL263" t="s">
        <v>274</v>
      </c>
      <c r="BM263" t="s">
        <v>274</v>
      </c>
      <c r="BN263" t="s">
        <v>274</v>
      </c>
      <c r="BO263" t="s">
        <v>274</v>
      </c>
      <c r="BP263" t="s">
        <v>274</v>
      </c>
      <c r="BQ263" t="s">
        <v>274</v>
      </c>
      <c r="BR263" t="s">
        <v>274</v>
      </c>
    </row>
    <row r="264" spans="1:70" x14ac:dyDescent="0.3">
      <c r="A264" t="s">
        <v>4417</v>
      </c>
      <c r="B264" t="s">
        <v>4418</v>
      </c>
      <c r="C264" t="s">
        <v>578</v>
      </c>
      <c r="D264" t="s">
        <v>579</v>
      </c>
      <c r="E264" t="s">
        <v>274</v>
      </c>
      <c r="F264" t="s">
        <v>274</v>
      </c>
      <c r="G264" t="s">
        <v>274</v>
      </c>
      <c r="H264" t="s">
        <v>274</v>
      </c>
      <c r="I264" t="s">
        <v>274</v>
      </c>
      <c r="J264" t="s">
        <v>274</v>
      </c>
      <c r="K264" t="s">
        <v>274</v>
      </c>
      <c r="L264" t="s">
        <v>274</v>
      </c>
      <c r="M264" t="s">
        <v>274</v>
      </c>
      <c r="N264" t="s">
        <v>274</v>
      </c>
      <c r="O264" t="s">
        <v>274</v>
      </c>
      <c r="P264" t="s">
        <v>274</v>
      </c>
      <c r="Q264" t="s">
        <v>274</v>
      </c>
      <c r="R264" t="s">
        <v>274</v>
      </c>
      <c r="S264" t="s">
        <v>274</v>
      </c>
      <c r="T264" t="s">
        <v>274</v>
      </c>
      <c r="U264" t="s">
        <v>274</v>
      </c>
      <c r="V264" t="s">
        <v>274</v>
      </c>
      <c r="W264" t="s">
        <v>274</v>
      </c>
      <c r="X264" t="s">
        <v>274</v>
      </c>
      <c r="Y264" t="s">
        <v>274</v>
      </c>
      <c r="Z264" t="s">
        <v>274</v>
      </c>
      <c r="AA264" t="s">
        <v>274</v>
      </c>
      <c r="AB264" t="s">
        <v>274</v>
      </c>
      <c r="AC264" t="s">
        <v>274</v>
      </c>
      <c r="AD264" t="s">
        <v>274</v>
      </c>
      <c r="AE264" t="s">
        <v>274</v>
      </c>
      <c r="AF264" t="s">
        <v>274</v>
      </c>
      <c r="AG264" s="14" t="s">
        <v>274</v>
      </c>
      <c r="AH264" t="s">
        <v>274</v>
      </c>
      <c r="AI264" t="s">
        <v>274</v>
      </c>
      <c r="AJ264" t="s">
        <v>274</v>
      </c>
      <c r="AK264" t="s">
        <v>274</v>
      </c>
      <c r="AL264" t="s">
        <v>4419</v>
      </c>
      <c r="AM264" t="s">
        <v>274</v>
      </c>
      <c r="AN264" t="s">
        <v>274</v>
      </c>
      <c r="AO264" t="s">
        <v>4420</v>
      </c>
      <c r="AP264" t="s">
        <v>1258</v>
      </c>
      <c r="AQ264" t="s">
        <v>1083</v>
      </c>
      <c r="AR264" t="s">
        <v>4421</v>
      </c>
      <c r="AS264" t="s">
        <v>4422</v>
      </c>
      <c r="AT264" t="s">
        <v>4423</v>
      </c>
      <c r="AU264" t="s">
        <v>4424</v>
      </c>
      <c r="AV264" t="s">
        <v>4425</v>
      </c>
      <c r="AW264" t="s">
        <v>4426</v>
      </c>
      <c r="AX264" t="s">
        <v>4427</v>
      </c>
      <c r="AY264" t="s">
        <v>4428</v>
      </c>
      <c r="AZ264" t="s">
        <v>4429</v>
      </c>
      <c r="BA264" t="s">
        <v>4430</v>
      </c>
      <c r="BB264" t="s">
        <v>4431</v>
      </c>
      <c r="BC264" t="s">
        <v>4432</v>
      </c>
      <c r="BD264" t="s">
        <v>4433</v>
      </c>
      <c r="BE264" t="s">
        <v>4434</v>
      </c>
      <c r="BF264" t="s">
        <v>4435</v>
      </c>
      <c r="BG264" t="s">
        <v>2374</v>
      </c>
      <c r="BH264" t="s">
        <v>4436</v>
      </c>
      <c r="BI264" t="s">
        <v>4437</v>
      </c>
      <c r="BJ264" t="s">
        <v>4438</v>
      </c>
      <c r="BK264" t="s">
        <v>4439</v>
      </c>
      <c r="BL264" t="s">
        <v>4440</v>
      </c>
      <c r="BM264" t="s">
        <v>4441</v>
      </c>
      <c r="BN264" t="s">
        <v>4442</v>
      </c>
      <c r="BO264" t="s">
        <v>4443</v>
      </c>
      <c r="BP264" t="s">
        <v>4444</v>
      </c>
      <c r="BQ264" t="s">
        <v>274</v>
      </c>
      <c r="BR264" t="s">
        <v>274</v>
      </c>
    </row>
    <row r="265" spans="1:70" x14ac:dyDescent="0.3">
      <c r="A265" t="s">
        <v>183</v>
      </c>
      <c r="B265" t="s">
        <v>4445</v>
      </c>
      <c r="C265" t="s">
        <v>578</v>
      </c>
      <c r="D265" t="s">
        <v>579</v>
      </c>
      <c r="E265" t="s">
        <v>274</v>
      </c>
      <c r="F265" t="s">
        <v>274</v>
      </c>
      <c r="G265" t="s">
        <v>274</v>
      </c>
      <c r="H265" t="s">
        <v>274</v>
      </c>
      <c r="I265" t="s">
        <v>274</v>
      </c>
      <c r="J265" t="s">
        <v>274</v>
      </c>
      <c r="K265" t="s">
        <v>274</v>
      </c>
      <c r="L265" t="s">
        <v>274</v>
      </c>
      <c r="M265" t="s">
        <v>274</v>
      </c>
      <c r="N265" t="s">
        <v>274</v>
      </c>
      <c r="O265" t="s">
        <v>274</v>
      </c>
      <c r="P265" t="s">
        <v>274</v>
      </c>
      <c r="Q265" t="s">
        <v>274</v>
      </c>
      <c r="R265" t="s">
        <v>274</v>
      </c>
      <c r="S265" t="s">
        <v>274</v>
      </c>
      <c r="T265" t="s">
        <v>274</v>
      </c>
      <c r="U265" t="s">
        <v>274</v>
      </c>
      <c r="V265" t="s">
        <v>274</v>
      </c>
      <c r="W265" t="s">
        <v>274</v>
      </c>
      <c r="X265" t="s">
        <v>274</v>
      </c>
      <c r="Y265" t="s">
        <v>274</v>
      </c>
      <c r="Z265" t="s">
        <v>274</v>
      </c>
      <c r="AA265" t="s">
        <v>274</v>
      </c>
      <c r="AB265" t="s">
        <v>274</v>
      </c>
      <c r="AC265" t="s">
        <v>274</v>
      </c>
      <c r="AD265" t="s">
        <v>274</v>
      </c>
      <c r="AE265" t="s">
        <v>274</v>
      </c>
      <c r="AF265" t="s">
        <v>274</v>
      </c>
      <c r="AG265" s="14" t="s">
        <v>274</v>
      </c>
      <c r="AH265" t="s">
        <v>274</v>
      </c>
      <c r="AI265" t="s">
        <v>274</v>
      </c>
      <c r="AJ265" t="s">
        <v>274</v>
      </c>
      <c r="AK265" t="s">
        <v>274</v>
      </c>
      <c r="AL265" t="s">
        <v>274</v>
      </c>
      <c r="AM265" t="s">
        <v>274</v>
      </c>
      <c r="AN265" t="s">
        <v>274</v>
      </c>
      <c r="AO265" t="s">
        <v>274</v>
      </c>
      <c r="AP265" t="s">
        <v>274</v>
      </c>
      <c r="AQ265" t="s">
        <v>274</v>
      </c>
      <c r="AR265" t="s">
        <v>274</v>
      </c>
      <c r="AS265" t="s">
        <v>274</v>
      </c>
      <c r="AT265" t="s">
        <v>274</v>
      </c>
      <c r="AU265" t="s">
        <v>274</v>
      </c>
      <c r="AV265" t="s">
        <v>274</v>
      </c>
      <c r="AW265" t="s">
        <v>274</v>
      </c>
      <c r="AX265" t="s">
        <v>274</v>
      </c>
      <c r="AY265" t="s">
        <v>274</v>
      </c>
      <c r="AZ265" t="s">
        <v>274</v>
      </c>
      <c r="BA265" t="s">
        <v>274</v>
      </c>
      <c r="BB265" t="s">
        <v>274</v>
      </c>
      <c r="BC265" t="s">
        <v>274</v>
      </c>
      <c r="BD265" t="s">
        <v>274</v>
      </c>
      <c r="BE265" t="s">
        <v>274</v>
      </c>
      <c r="BF265" t="s">
        <v>4446</v>
      </c>
      <c r="BG265" t="s">
        <v>4447</v>
      </c>
      <c r="BH265" t="s">
        <v>4448</v>
      </c>
      <c r="BI265" t="s">
        <v>4449</v>
      </c>
      <c r="BJ265" t="s">
        <v>4450</v>
      </c>
      <c r="BK265" t="s">
        <v>4451</v>
      </c>
      <c r="BL265" t="s">
        <v>4452</v>
      </c>
      <c r="BM265" t="s">
        <v>4453</v>
      </c>
      <c r="BN265" t="s">
        <v>4454</v>
      </c>
      <c r="BO265" t="s">
        <v>4455</v>
      </c>
      <c r="BP265" t="s">
        <v>4456</v>
      </c>
      <c r="BQ265" t="s">
        <v>274</v>
      </c>
      <c r="BR265" t="s">
        <v>274</v>
      </c>
    </row>
    <row r="266" spans="1:70" x14ac:dyDescent="0.3">
      <c r="A266" t="s">
        <v>4457</v>
      </c>
      <c r="B266" t="s">
        <v>4458</v>
      </c>
      <c r="C266" t="s">
        <v>578</v>
      </c>
      <c r="D266" t="s">
        <v>579</v>
      </c>
      <c r="E266" t="s">
        <v>274</v>
      </c>
      <c r="F266" t="s">
        <v>274</v>
      </c>
      <c r="G266" t="s">
        <v>274</v>
      </c>
      <c r="H266" t="s">
        <v>274</v>
      </c>
      <c r="I266" t="s">
        <v>274</v>
      </c>
      <c r="J266" t="s">
        <v>274</v>
      </c>
      <c r="K266" t="s">
        <v>274</v>
      </c>
      <c r="L266" t="s">
        <v>274</v>
      </c>
      <c r="M266" t="s">
        <v>274</v>
      </c>
      <c r="N266" t="s">
        <v>274</v>
      </c>
      <c r="O266" t="s">
        <v>274</v>
      </c>
      <c r="P266" t="s">
        <v>274</v>
      </c>
      <c r="Q266" t="s">
        <v>274</v>
      </c>
      <c r="R266" t="s">
        <v>274</v>
      </c>
      <c r="S266" t="s">
        <v>274</v>
      </c>
      <c r="T266" t="s">
        <v>274</v>
      </c>
      <c r="U266" t="s">
        <v>274</v>
      </c>
      <c r="V266" t="s">
        <v>274</v>
      </c>
      <c r="W266" t="s">
        <v>274</v>
      </c>
      <c r="X266" t="s">
        <v>274</v>
      </c>
      <c r="Y266" t="s">
        <v>274</v>
      </c>
      <c r="Z266" t="s">
        <v>274</v>
      </c>
      <c r="AA266" t="s">
        <v>274</v>
      </c>
      <c r="AB266" t="s">
        <v>274</v>
      </c>
      <c r="AC266" t="s">
        <v>274</v>
      </c>
      <c r="AD266" t="s">
        <v>274</v>
      </c>
      <c r="AE266" t="s">
        <v>274</v>
      </c>
      <c r="AF266" t="s">
        <v>274</v>
      </c>
      <c r="AG266" s="14" t="s">
        <v>274</v>
      </c>
      <c r="AH266" t="s">
        <v>274</v>
      </c>
      <c r="AI266" t="s">
        <v>274</v>
      </c>
      <c r="AJ266" t="s">
        <v>274</v>
      </c>
      <c r="AK266" t="s">
        <v>274</v>
      </c>
      <c r="AL266" t="s">
        <v>274</v>
      </c>
      <c r="AM266" t="s">
        <v>274</v>
      </c>
      <c r="AN266" t="s">
        <v>274</v>
      </c>
      <c r="AO266" t="s">
        <v>274</v>
      </c>
      <c r="AP266" t="s">
        <v>274</v>
      </c>
      <c r="AQ266" t="s">
        <v>274</v>
      </c>
      <c r="AR266" t="s">
        <v>274</v>
      </c>
      <c r="AS266" t="s">
        <v>274</v>
      </c>
      <c r="AT266" t="s">
        <v>274</v>
      </c>
      <c r="AU266" t="s">
        <v>274</v>
      </c>
      <c r="AV266" t="s">
        <v>274</v>
      </c>
      <c r="AW266" t="s">
        <v>274</v>
      </c>
      <c r="AX266" t="s">
        <v>274</v>
      </c>
      <c r="AY266" t="s">
        <v>274</v>
      </c>
      <c r="AZ266" t="s">
        <v>274</v>
      </c>
      <c r="BA266" t="s">
        <v>274</v>
      </c>
      <c r="BB266" t="s">
        <v>274</v>
      </c>
      <c r="BC266" t="s">
        <v>274</v>
      </c>
      <c r="BD266" t="s">
        <v>274</v>
      </c>
      <c r="BE266" t="s">
        <v>274</v>
      </c>
      <c r="BF266" t="s">
        <v>274</v>
      </c>
      <c r="BG266" t="s">
        <v>274</v>
      </c>
      <c r="BH266" t="s">
        <v>274</v>
      </c>
      <c r="BI266" t="s">
        <v>274</v>
      </c>
      <c r="BJ266" t="s">
        <v>274</v>
      </c>
      <c r="BK266" t="s">
        <v>274</v>
      </c>
      <c r="BL266" t="s">
        <v>274</v>
      </c>
      <c r="BM266" t="s">
        <v>274</v>
      </c>
      <c r="BN266" t="s">
        <v>274</v>
      </c>
      <c r="BO266" t="s">
        <v>274</v>
      </c>
      <c r="BP266" t="s">
        <v>274</v>
      </c>
      <c r="BQ266" t="s">
        <v>274</v>
      </c>
      <c r="BR266" t="s">
        <v>274</v>
      </c>
    </row>
    <row r="267" spans="1:70" x14ac:dyDescent="0.3">
      <c r="A267" t="s">
        <v>4459</v>
      </c>
      <c r="B267" t="s">
        <v>4460</v>
      </c>
      <c r="C267" t="s">
        <v>578</v>
      </c>
      <c r="D267" t="s">
        <v>579</v>
      </c>
      <c r="E267" t="s">
        <v>274</v>
      </c>
      <c r="F267" t="s">
        <v>274</v>
      </c>
      <c r="G267" t="s">
        <v>274</v>
      </c>
      <c r="H267" t="s">
        <v>274</v>
      </c>
      <c r="I267" t="s">
        <v>274</v>
      </c>
      <c r="J267" t="s">
        <v>274</v>
      </c>
      <c r="K267" t="s">
        <v>274</v>
      </c>
      <c r="L267" t="s">
        <v>274</v>
      </c>
      <c r="M267" t="s">
        <v>274</v>
      </c>
      <c r="N267" t="s">
        <v>274</v>
      </c>
      <c r="O267" t="s">
        <v>274</v>
      </c>
      <c r="P267" t="s">
        <v>274</v>
      </c>
      <c r="Q267" t="s">
        <v>274</v>
      </c>
      <c r="R267" t="s">
        <v>274</v>
      </c>
      <c r="S267" t="s">
        <v>274</v>
      </c>
      <c r="T267" t="s">
        <v>274</v>
      </c>
      <c r="U267" t="s">
        <v>274</v>
      </c>
      <c r="V267" t="s">
        <v>274</v>
      </c>
      <c r="W267" t="s">
        <v>274</v>
      </c>
      <c r="X267" t="s">
        <v>274</v>
      </c>
      <c r="Y267" t="s">
        <v>274</v>
      </c>
      <c r="Z267" t="s">
        <v>274</v>
      </c>
      <c r="AA267" t="s">
        <v>274</v>
      </c>
      <c r="AB267" t="s">
        <v>274</v>
      </c>
      <c r="AC267" t="s">
        <v>274</v>
      </c>
      <c r="AD267" t="s">
        <v>274</v>
      </c>
      <c r="AE267" t="s">
        <v>274</v>
      </c>
      <c r="AF267" t="s">
        <v>274</v>
      </c>
      <c r="AG267" s="14" t="s">
        <v>274</v>
      </c>
      <c r="AH267" t="s">
        <v>274</v>
      </c>
      <c r="AI267" t="s">
        <v>274</v>
      </c>
      <c r="AJ267" t="s">
        <v>274</v>
      </c>
      <c r="AK267" t="s">
        <v>274</v>
      </c>
      <c r="AL267" t="s">
        <v>274</v>
      </c>
      <c r="AM267" t="s">
        <v>274</v>
      </c>
      <c r="AN267" t="s">
        <v>274</v>
      </c>
      <c r="AO267" t="s">
        <v>274</v>
      </c>
      <c r="AP267" t="s">
        <v>274</v>
      </c>
      <c r="AQ267" t="s">
        <v>274</v>
      </c>
      <c r="AR267" t="s">
        <v>274</v>
      </c>
      <c r="AS267" t="s">
        <v>274</v>
      </c>
      <c r="AT267" t="s">
        <v>356</v>
      </c>
      <c r="AU267" t="s">
        <v>4461</v>
      </c>
      <c r="AV267" t="s">
        <v>4462</v>
      </c>
      <c r="AW267" t="s">
        <v>4463</v>
      </c>
      <c r="AX267" t="s">
        <v>4464</v>
      </c>
      <c r="AY267" t="s">
        <v>4465</v>
      </c>
      <c r="AZ267" t="s">
        <v>4466</v>
      </c>
      <c r="BA267" t="s">
        <v>4467</v>
      </c>
      <c r="BB267" t="s">
        <v>4468</v>
      </c>
      <c r="BC267" t="s">
        <v>4469</v>
      </c>
      <c r="BD267" t="s">
        <v>4470</v>
      </c>
      <c r="BE267" t="s">
        <v>329</v>
      </c>
      <c r="BF267" t="s">
        <v>4471</v>
      </c>
      <c r="BG267" t="s">
        <v>4472</v>
      </c>
      <c r="BH267" t="s">
        <v>2191</v>
      </c>
      <c r="BI267" t="s">
        <v>4473</v>
      </c>
      <c r="BJ267" t="s">
        <v>4474</v>
      </c>
      <c r="BK267" t="s">
        <v>4475</v>
      </c>
      <c r="BL267" t="s">
        <v>4476</v>
      </c>
      <c r="BM267" t="s">
        <v>4477</v>
      </c>
      <c r="BN267" t="s">
        <v>4478</v>
      </c>
      <c r="BO267" t="s">
        <v>4479</v>
      </c>
      <c r="BP267" t="s">
        <v>4480</v>
      </c>
      <c r="BQ267" t="s">
        <v>4481</v>
      </c>
      <c r="BR267" t="s">
        <v>274</v>
      </c>
    </row>
    <row r="268" spans="1:70" x14ac:dyDescent="0.3">
      <c r="A268" t="s">
        <v>4482</v>
      </c>
      <c r="B268" t="s">
        <v>4483</v>
      </c>
      <c r="C268" t="s">
        <v>578</v>
      </c>
      <c r="D268" t="s">
        <v>579</v>
      </c>
      <c r="E268" t="s">
        <v>274</v>
      </c>
      <c r="F268" t="s">
        <v>274</v>
      </c>
      <c r="G268" t="s">
        <v>274</v>
      </c>
      <c r="H268" t="s">
        <v>274</v>
      </c>
      <c r="I268" t="s">
        <v>274</v>
      </c>
      <c r="J268" t="s">
        <v>274</v>
      </c>
      <c r="K268" t="s">
        <v>274</v>
      </c>
      <c r="L268" t="s">
        <v>274</v>
      </c>
      <c r="M268" t="s">
        <v>274</v>
      </c>
      <c r="N268" t="s">
        <v>274</v>
      </c>
      <c r="O268" t="s">
        <v>274</v>
      </c>
      <c r="P268" t="s">
        <v>274</v>
      </c>
      <c r="Q268" t="s">
        <v>274</v>
      </c>
      <c r="R268" t="s">
        <v>274</v>
      </c>
      <c r="S268" t="s">
        <v>274</v>
      </c>
      <c r="T268" t="s">
        <v>274</v>
      </c>
      <c r="U268" t="s">
        <v>274</v>
      </c>
      <c r="V268" t="s">
        <v>274</v>
      </c>
      <c r="W268" t="s">
        <v>274</v>
      </c>
      <c r="X268" t="s">
        <v>274</v>
      </c>
      <c r="Y268" t="s">
        <v>274</v>
      </c>
      <c r="Z268" t="s">
        <v>274</v>
      </c>
      <c r="AA268" t="s">
        <v>274</v>
      </c>
      <c r="AB268" t="s">
        <v>274</v>
      </c>
      <c r="AC268" t="s">
        <v>274</v>
      </c>
      <c r="AD268" t="s">
        <v>274</v>
      </c>
      <c r="AE268" t="s">
        <v>274</v>
      </c>
      <c r="AF268" t="s">
        <v>274</v>
      </c>
      <c r="AG268" s="14" t="s">
        <v>274</v>
      </c>
      <c r="AH268" t="s">
        <v>274</v>
      </c>
      <c r="AI268" t="s">
        <v>274</v>
      </c>
      <c r="AJ268" t="s">
        <v>274</v>
      </c>
      <c r="AK268" t="s">
        <v>274</v>
      </c>
      <c r="AL268" t="s">
        <v>274</v>
      </c>
      <c r="AM268" t="s">
        <v>274</v>
      </c>
      <c r="AN268" t="s">
        <v>274</v>
      </c>
      <c r="AO268" t="s">
        <v>274</v>
      </c>
      <c r="AP268" t="s">
        <v>274</v>
      </c>
      <c r="AQ268" t="s">
        <v>274</v>
      </c>
      <c r="AR268" t="s">
        <v>274</v>
      </c>
      <c r="AS268" t="s">
        <v>274</v>
      </c>
      <c r="AT268" t="s">
        <v>274</v>
      </c>
      <c r="AU268" t="s">
        <v>274</v>
      </c>
      <c r="AV268" t="s">
        <v>274</v>
      </c>
      <c r="AW268" t="s">
        <v>4484</v>
      </c>
      <c r="AX268" t="s">
        <v>4485</v>
      </c>
      <c r="AY268" t="s">
        <v>4486</v>
      </c>
      <c r="AZ268" t="s">
        <v>4487</v>
      </c>
      <c r="BA268" t="s">
        <v>4488</v>
      </c>
      <c r="BB268" t="s">
        <v>4489</v>
      </c>
      <c r="BC268" t="s">
        <v>4490</v>
      </c>
      <c r="BD268" t="s">
        <v>4491</v>
      </c>
      <c r="BE268" t="s">
        <v>4291</v>
      </c>
      <c r="BF268" t="s">
        <v>4492</v>
      </c>
      <c r="BG268" t="s">
        <v>939</v>
      </c>
      <c r="BH268" t="s">
        <v>4493</v>
      </c>
      <c r="BI268" t="s">
        <v>4494</v>
      </c>
      <c r="BJ268" t="s">
        <v>4495</v>
      </c>
      <c r="BK268" t="s">
        <v>4496</v>
      </c>
      <c r="BL268" t="s">
        <v>274</v>
      </c>
      <c r="BM268" t="s">
        <v>274</v>
      </c>
      <c r="BN268" t="s">
        <v>274</v>
      </c>
      <c r="BO268" t="s">
        <v>274</v>
      </c>
      <c r="BP268" t="s">
        <v>274</v>
      </c>
      <c r="BQ268" t="s">
        <v>274</v>
      </c>
      <c r="BR268" t="s">
        <v>274</v>
      </c>
    </row>
    <row r="269" spans="1:70" x14ac:dyDescent="0.3">
      <c r="A269" t="s">
        <v>4497</v>
      </c>
      <c r="B269" t="s">
        <v>4498</v>
      </c>
      <c r="C269" t="s">
        <v>578</v>
      </c>
      <c r="D269" t="s">
        <v>579</v>
      </c>
      <c r="E269" t="s">
        <v>274</v>
      </c>
      <c r="F269" t="s">
        <v>274</v>
      </c>
      <c r="G269" t="s">
        <v>274</v>
      </c>
      <c r="H269" t="s">
        <v>274</v>
      </c>
      <c r="I269" t="s">
        <v>274</v>
      </c>
      <c r="J269" t="s">
        <v>274</v>
      </c>
      <c r="K269" t="s">
        <v>274</v>
      </c>
      <c r="L269" t="s">
        <v>274</v>
      </c>
      <c r="M269" t="s">
        <v>274</v>
      </c>
      <c r="N269" t="s">
        <v>274</v>
      </c>
      <c r="O269" t="s">
        <v>274</v>
      </c>
      <c r="P269" t="s">
        <v>274</v>
      </c>
      <c r="Q269" t="s">
        <v>274</v>
      </c>
      <c r="R269" t="s">
        <v>274</v>
      </c>
      <c r="S269" t="s">
        <v>274</v>
      </c>
      <c r="T269" t="s">
        <v>274</v>
      </c>
      <c r="U269" t="s">
        <v>274</v>
      </c>
      <c r="V269" t="s">
        <v>274</v>
      </c>
      <c r="W269" t="s">
        <v>274</v>
      </c>
      <c r="X269" t="s">
        <v>274</v>
      </c>
      <c r="Y269" t="s">
        <v>274</v>
      </c>
      <c r="Z269" t="s">
        <v>274</v>
      </c>
      <c r="AA269" t="s">
        <v>274</v>
      </c>
      <c r="AB269" t="s">
        <v>274</v>
      </c>
      <c r="AC269" t="s">
        <v>274</v>
      </c>
      <c r="AD269" t="s">
        <v>274</v>
      </c>
      <c r="AE269" t="s">
        <v>274</v>
      </c>
      <c r="AF269" t="s">
        <v>274</v>
      </c>
      <c r="AG269" s="14" t="s">
        <v>274</v>
      </c>
      <c r="AH269" t="s">
        <v>274</v>
      </c>
      <c r="AI269" t="s">
        <v>274</v>
      </c>
      <c r="AJ269" t="s">
        <v>274</v>
      </c>
      <c r="AK269" t="s">
        <v>274</v>
      </c>
      <c r="AL269" t="s">
        <v>274</v>
      </c>
      <c r="AM269" t="s">
        <v>274</v>
      </c>
      <c r="AN269" t="s">
        <v>274</v>
      </c>
      <c r="AO269" t="s">
        <v>4499</v>
      </c>
      <c r="AP269" t="s">
        <v>4500</v>
      </c>
      <c r="AQ269" t="s">
        <v>4501</v>
      </c>
      <c r="AR269" t="s">
        <v>4502</v>
      </c>
      <c r="AS269" t="s">
        <v>4503</v>
      </c>
      <c r="AT269" t="s">
        <v>4504</v>
      </c>
      <c r="AU269" t="s">
        <v>2756</v>
      </c>
      <c r="AV269" t="s">
        <v>1488</v>
      </c>
      <c r="AW269" t="s">
        <v>3094</v>
      </c>
      <c r="AX269" t="s">
        <v>1488</v>
      </c>
      <c r="AY269" t="s">
        <v>1488</v>
      </c>
      <c r="AZ269" t="s">
        <v>1488</v>
      </c>
      <c r="BA269" t="s">
        <v>1488</v>
      </c>
      <c r="BB269" t="s">
        <v>1488</v>
      </c>
      <c r="BC269" t="s">
        <v>3784</v>
      </c>
      <c r="BD269" t="s">
        <v>1486</v>
      </c>
      <c r="BE269" t="s">
        <v>1834</v>
      </c>
      <c r="BF269" t="s">
        <v>3788</v>
      </c>
      <c r="BG269" t="s">
        <v>274</v>
      </c>
      <c r="BH269" t="s">
        <v>274</v>
      </c>
      <c r="BI269" t="s">
        <v>274</v>
      </c>
      <c r="BJ269" t="s">
        <v>274</v>
      </c>
      <c r="BK269" t="s">
        <v>274</v>
      </c>
      <c r="BL269" t="s">
        <v>274</v>
      </c>
      <c r="BM269" t="s">
        <v>274</v>
      </c>
      <c r="BN269" t="s">
        <v>274</v>
      </c>
      <c r="BO269" t="s">
        <v>274</v>
      </c>
      <c r="BP269" t="s">
        <v>274</v>
      </c>
      <c r="BQ269" t="s">
        <v>274</v>
      </c>
      <c r="BR269" t="s">
        <v>274</v>
      </c>
    </row>
    <row r="270" spans="1:70" x14ac:dyDescent="0.3">
      <c r="A270" t="s">
        <v>186</v>
      </c>
      <c r="B270" t="s">
        <v>4505</v>
      </c>
      <c r="C270" t="s">
        <v>578</v>
      </c>
      <c r="D270" t="s">
        <v>579</v>
      </c>
      <c r="E270" t="s">
        <v>1988</v>
      </c>
      <c r="F270" t="s">
        <v>4506</v>
      </c>
      <c r="G270" t="s">
        <v>1988</v>
      </c>
      <c r="H270" t="s">
        <v>785</v>
      </c>
      <c r="I270" t="s">
        <v>4507</v>
      </c>
      <c r="J270" t="s">
        <v>1283</v>
      </c>
      <c r="K270" t="s">
        <v>995</v>
      </c>
      <c r="L270" t="s">
        <v>2845</v>
      </c>
      <c r="M270" t="s">
        <v>1218</v>
      </c>
      <c r="N270" t="s">
        <v>1654</v>
      </c>
      <c r="O270" t="s">
        <v>1285</v>
      </c>
      <c r="P270" t="s">
        <v>1665</v>
      </c>
      <c r="Q270" t="s">
        <v>4508</v>
      </c>
      <c r="R270" t="s">
        <v>1654</v>
      </c>
      <c r="S270" t="s">
        <v>1666</v>
      </c>
      <c r="T270" t="s">
        <v>1203</v>
      </c>
      <c r="U270" t="s">
        <v>4012</v>
      </c>
      <c r="V270" t="s">
        <v>4154</v>
      </c>
      <c r="W270" t="s">
        <v>4509</v>
      </c>
      <c r="X270" t="s">
        <v>1212</v>
      </c>
      <c r="Y270" t="s">
        <v>594</v>
      </c>
      <c r="Z270" t="s">
        <v>1240</v>
      </c>
      <c r="AA270" t="s">
        <v>4510</v>
      </c>
      <c r="AB270" t="s">
        <v>3093</v>
      </c>
      <c r="AC270" t="s">
        <v>4511</v>
      </c>
      <c r="AD270" t="s">
        <v>1837</v>
      </c>
      <c r="AE270" t="s">
        <v>1114</v>
      </c>
      <c r="AF270" t="s">
        <v>4154</v>
      </c>
      <c r="AG270" s="14" t="s">
        <v>2639</v>
      </c>
      <c r="AH270" t="s">
        <v>4512</v>
      </c>
      <c r="AI270" t="s">
        <v>1059</v>
      </c>
      <c r="AJ270" t="s">
        <v>4513</v>
      </c>
      <c r="AK270" t="s">
        <v>4514</v>
      </c>
      <c r="AL270" t="s">
        <v>4515</v>
      </c>
      <c r="AM270" t="s">
        <v>1674</v>
      </c>
      <c r="AN270" t="s">
        <v>4516</v>
      </c>
      <c r="AO270" t="s">
        <v>4517</v>
      </c>
      <c r="AP270" t="s">
        <v>2754</v>
      </c>
      <c r="AQ270" t="s">
        <v>4518</v>
      </c>
      <c r="AR270" t="s">
        <v>1488</v>
      </c>
      <c r="AS270" t="s">
        <v>1239</v>
      </c>
      <c r="AT270" t="s">
        <v>4519</v>
      </c>
      <c r="AU270" t="s">
        <v>346</v>
      </c>
      <c r="AV270" t="s">
        <v>3074</v>
      </c>
      <c r="AW270" t="s">
        <v>3946</v>
      </c>
      <c r="AX270" t="s">
        <v>3947</v>
      </c>
      <c r="AY270" t="s">
        <v>1294</v>
      </c>
      <c r="AZ270" t="s">
        <v>3948</v>
      </c>
      <c r="BA270" t="s">
        <v>3755</v>
      </c>
      <c r="BB270" t="s">
        <v>1686</v>
      </c>
      <c r="BC270" t="s">
        <v>1213</v>
      </c>
      <c r="BD270" t="s">
        <v>597</v>
      </c>
      <c r="BE270" t="s">
        <v>1206</v>
      </c>
      <c r="BF270" t="s">
        <v>599</v>
      </c>
      <c r="BG270" t="s">
        <v>800</v>
      </c>
      <c r="BH270" t="s">
        <v>812</v>
      </c>
      <c r="BI270" t="s">
        <v>4520</v>
      </c>
      <c r="BJ270" t="s">
        <v>586</v>
      </c>
      <c r="BK270" t="s">
        <v>4521</v>
      </c>
      <c r="BL270" t="s">
        <v>3953</v>
      </c>
      <c r="BM270" t="s">
        <v>2517</v>
      </c>
      <c r="BN270" t="s">
        <v>4522</v>
      </c>
      <c r="BO270" t="s">
        <v>4508</v>
      </c>
      <c r="BP270" t="s">
        <v>805</v>
      </c>
      <c r="BQ270" t="s">
        <v>1687</v>
      </c>
      <c r="BR270" t="s">
        <v>274</v>
      </c>
    </row>
    <row r="271" spans="1:70" x14ac:dyDescent="0.3">
      <c r="A271" t="s">
        <v>188</v>
      </c>
      <c r="B271" t="s">
        <v>4523</v>
      </c>
      <c r="C271" t="s">
        <v>578</v>
      </c>
      <c r="D271" t="s">
        <v>579</v>
      </c>
      <c r="E271" t="s">
        <v>274</v>
      </c>
      <c r="F271" t="s">
        <v>274</v>
      </c>
      <c r="G271" t="s">
        <v>274</v>
      </c>
      <c r="H271" t="s">
        <v>274</v>
      </c>
      <c r="I271" t="s">
        <v>274</v>
      </c>
      <c r="J271" t="s">
        <v>274</v>
      </c>
      <c r="K271" t="s">
        <v>274</v>
      </c>
      <c r="L271" t="s">
        <v>274</v>
      </c>
      <c r="M271" t="s">
        <v>274</v>
      </c>
      <c r="N271" t="s">
        <v>274</v>
      </c>
      <c r="O271" t="s">
        <v>274</v>
      </c>
      <c r="P271" t="s">
        <v>274</v>
      </c>
      <c r="Q271" t="s">
        <v>274</v>
      </c>
      <c r="R271" t="s">
        <v>274</v>
      </c>
      <c r="S271" t="s">
        <v>274</v>
      </c>
      <c r="T271" t="s">
        <v>274</v>
      </c>
      <c r="U271" t="s">
        <v>274</v>
      </c>
      <c r="V271" t="s">
        <v>274</v>
      </c>
      <c r="W271" t="s">
        <v>2845</v>
      </c>
      <c r="X271" t="s">
        <v>1211</v>
      </c>
      <c r="Y271" t="s">
        <v>594</v>
      </c>
      <c r="Z271" t="s">
        <v>594</v>
      </c>
      <c r="AA271" t="s">
        <v>594</v>
      </c>
      <c r="AB271" t="s">
        <v>1969</v>
      </c>
      <c r="AC271" t="s">
        <v>1958</v>
      </c>
      <c r="AD271" t="s">
        <v>4524</v>
      </c>
      <c r="AE271" t="s">
        <v>4525</v>
      </c>
      <c r="AF271" t="s">
        <v>4526</v>
      </c>
      <c r="AG271" s="14" t="s">
        <v>4527</v>
      </c>
      <c r="AH271" t="s">
        <v>4527</v>
      </c>
      <c r="AI271" t="s">
        <v>4528</v>
      </c>
      <c r="AJ271" t="s">
        <v>4529</v>
      </c>
      <c r="AK271" t="s">
        <v>4530</v>
      </c>
      <c r="AL271" t="s">
        <v>4531</v>
      </c>
      <c r="AM271" t="s">
        <v>4532</v>
      </c>
      <c r="AN271" t="s">
        <v>4533</v>
      </c>
      <c r="AO271" t="s">
        <v>4534</v>
      </c>
      <c r="AP271" t="s">
        <v>4535</v>
      </c>
      <c r="AQ271" t="s">
        <v>1064</v>
      </c>
      <c r="AR271" t="s">
        <v>4536</v>
      </c>
      <c r="AS271" t="s">
        <v>4537</v>
      </c>
      <c r="AT271" t="s">
        <v>4538</v>
      </c>
      <c r="AU271" t="s">
        <v>4539</v>
      </c>
      <c r="AV271" t="s">
        <v>4540</v>
      </c>
      <c r="AW271" t="s">
        <v>4541</v>
      </c>
      <c r="AX271" t="s">
        <v>4542</v>
      </c>
      <c r="AY271" t="s">
        <v>4543</v>
      </c>
      <c r="AZ271" t="s">
        <v>4544</v>
      </c>
      <c r="BA271" t="s">
        <v>4545</v>
      </c>
      <c r="BB271" t="s">
        <v>4546</v>
      </c>
      <c r="BC271" t="s">
        <v>1489</v>
      </c>
      <c r="BD271" t="s">
        <v>4547</v>
      </c>
      <c r="BE271" t="s">
        <v>4548</v>
      </c>
      <c r="BF271" t="s">
        <v>1297</v>
      </c>
      <c r="BG271" t="s">
        <v>4549</v>
      </c>
      <c r="BH271" t="s">
        <v>3072</v>
      </c>
      <c r="BI271" t="s">
        <v>4103</v>
      </c>
      <c r="BJ271" t="s">
        <v>2764</v>
      </c>
      <c r="BK271" t="s">
        <v>4550</v>
      </c>
      <c r="BL271" t="s">
        <v>1220</v>
      </c>
      <c r="BM271" t="s">
        <v>4551</v>
      </c>
      <c r="BN271" t="s">
        <v>274</v>
      </c>
      <c r="BO271" t="s">
        <v>274</v>
      </c>
      <c r="BP271" t="s">
        <v>274</v>
      </c>
      <c r="BQ271" t="s">
        <v>274</v>
      </c>
      <c r="BR271" t="s">
        <v>274</v>
      </c>
    </row>
    <row r="272" spans="1:70" x14ac:dyDescent="0.3">
      <c r="A272" t="s">
        <v>189</v>
      </c>
      <c r="B272" t="s">
        <v>4552</v>
      </c>
      <c r="C272" t="s">
        <v>578</v>
      </c>
      <c r="D272" t="s">
        <v>579</v>
      </c>
      <c r="E272" t="s">
        <v>274</v>
      </c>
      <c r="F272" t="s">
        <v>274</v>
      </c>
      <c r="G272" t="s">
        <v>274</v>
      </c>
      <c r="H272" t="s">
        <v>274</v>
      </c>
      <c r="I272" t="s">
        <v>274</v>
      </c>
      <c r="J272" t="s">
        <v>274</v>
      </c>
      <c r="K272" t="s">
        <v>274</v>
      </c>
      <c r="L272" t="s">
        <v>274</v>
      </c>
      <c r="M272" t="s">
        <v>274</v>
      </c>
      <c r="N272" t="s">
        <v>274</v>
      </c>
      <c r="O272" t="s">
        <v>274</v>
      </c>
      <c r="P272" t="s">
        <v>274</v>
      </c>
      <c r="Q272" t="s">
        <v>274</v>
      </c>
      <c r="R272" t="s">
        <v>274</v>
      </c>
      <c r="S272" t="s">
        <v>274</v>
      </c>
      <c r="T272" t="s">
        <v>274</v>
      </c>
      <c r="U272" t="s">
        <v>274</v>
      </c>
      <c r="V272" t="s">
        <v>274</v>
      </c>
      <c r="W272" t="s">
        <v>274</v>
      </c>
      <c r="X272" t="s">
        <v>274</v>
      </c>
      <c r="Y272" t="s">
        <v>274</v>
      </c>
      <c r="Z272" t="s">
        <v>274</v>
      </c>
      <c r="AA272" t="s">
        <v>274</v>
      </c>
      <c r="AB272" t="s">
        <v>274</v>
      </c>
      <c r="AC272" t="s">
        <v>274</v>
      </c>
      <c r="AD272" t="s">
        <v>274</v>
      </c>
      <c r="AE272" t="s">
        <v>274</v>
      </c>
      <c r="AF272" t="s">
        <v>274</v>
      </c>
      <c r="AG272" s="14" t="s">
        <v>274</v>
      </c>
      <c r="AH272" t="s">
        <v>274</v>
      </c>
      <c r="AI272" t="s">
        <v>274</v>
      </c>
      <c r="AJ272" t="s">
        <v>274</v>
      </c>
      <c r="AK272" t="s">
        <v>274</v>
      </c>
      <c r="AL272" t="s">
        <v>274</v>
      </c>
      <c r="AM272" t="s">
        <v>274</v>
      </c>
      <c r="AN272" t="s">
        <v>274</v>
      </c>
      <c r="AO272" t="s">
        <v>274</v>
      </c>
      <c r="AP272" t="s">
        <v>274</v>
      </c>
      <c r="AQ272" t="s">
        <v>274</v>
      </c>
      <c r="AR272" t="s">
        <v>274</v>
      </c>
      <c r="AS272" t="s">
        <v>274</v>
      </c>
      <c r="AT272" t="s">
        <v>274</v>
      </c>
      <c r="AU272" t="s">
        <v>274</v>
      </c>
      <c r="AV272" t="s">
        <v>274</v>
      </c>
      <c r="AW272" t="s">
        <v>274</v>
      </c>
      <c r="AX272" t="s">
        <v>274</v>
      </c>
      <c r="AY272" t="s">
        <v>274</v>
      </c>
      <c r="AZ272" t="s">
        <v>274</v>
      </c>
      <c r="BA272" t="s">
        <v>274</v>
      </c>
      <c r="BB272" t="s">
        <v>274</v>
      </c>
      <c r="BC272" t="s">
        <v>274</v>
      </c>
      <c r="BD272" t="s">
        <v>274</v>
      </c>
      <c r="BE272" t="s">
        <v>4553</v>
      </c>
      <c r="BF272" t="s">
        <v>4554</v>
      </c>
      <c r="BG272" t="s">
        <v>4555</v>
      </c>
      <c r="BH272" t="s">
        <v>4556</v>
      </c>
      <c r="BI272" t="s">
        <v>4557</v>
      </c>
      <c r="BJ272" t="s">
        <v>4558</v>
      </c>
      <c r="BK272" t="s">
        <v>4559</v>
      </c>
      <c r="BL272" t="s">
        <v>4560</v>
      </c>
      <c r="BM272" t="s">
        <v>4561</v>
      </c>
      <c r="BN272" t="s">
        <v>4562</v>
      </c>
      <c r="BO272" t="s">
        <v>4563</v>
      </c>
      <c r="BP272" t="s">
        <v>4564</v>
      </c>
      <c r="BQ272" t="s">
        <v>274</v>
      </c>
      <c r="BR272" t="s">
        <v>274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8183-6F1D-4781-9CAC-BDC0EAA8B71D}">
  <dimension ref="A1:BR271"/>
  <sheetViews>
    <sheetView topLeftCell="AC28" workbookViewId="0">
      <selection activeCell="AI61" sqref="AI61"/>
    </sheetView>
  </sheetViews>
  <sheetFormatPr defaultRowHeight="14.4" x14ac:dyDescent="0.3"/>
  <cols>
    <col min="1" max="1" width="49.109375" bestFit="1" customWidth="1"/>
    <col min="2" max="2" width="31.109375" bestFit="1" customWidth="1"/>
    <col min="3" max="3" width="31.44140625" bestFit="1" customWidth="1"/>
    <col min="4" max="4" width="18.5546875" bestFit="1" customWidth="1"/>
    <col min="5" max="5" width="5.33203125" bestFit="1" customWidth="1"/>
    <col min="6" max="6" width="21.6640625" bestFit="1" customWidth="1"/>
    <col min="7" max="7" width="20.88671875" bestFit="1" customWidth="1"/>
    <col min="8" max="8" width="20.5546875" bestFit="1" customWidth="1"/>
    <col min="9" max="9" width="21.6640625" bestFit="1" customWidth="1"/>
    <col min="10" max="10" width="19.5546875" bestFit="1" customWidth="1"/>
    <col min="11" max="12" width="18.88671875" bestFit="1" customWidth="1"/>
    <col min="13" max="14" width="19.5546875" bestFit="1" customWidth="1"/>
    <col min="15" max="15" width="18.88671875" bestFit="1" customWidth="1"/>
    <col min="16" max="17" width="20.5546875" bestFit="1" customWidth="1"/>
    <col min="18" max="19" width="17.88671875" bestFit="1" customWidth="1"/>
    <col min="20" max="20" width="19.5546875" bestFit="1" customWidth="1"/>
    <col min="21" max="21" width="18.88671875" bestFit="1" customWidth="1"/>
    <col min="22" max="22" width="19.5546875" bestFit="1" customWidth="1"/>
    <col min="23" max="24" width="18.5546875" bestFit="1" customWidth="1"/>
    <col min="25" max="25" width="18.88671875" bestFit="1" customWidth="1"/>
    <col min="26" max="29" width="19.5546875" bestFit="1" customWidth="1"/>
    <col min="30" max="30" width="18.5546875" bestFit="1" customWidth="1"/>
    <col min="31" max="31" width="19.5546875" bestFit="1" customWidth="1"/>
    <col min="32" max="32" width="21.6640625" bestFit="1" customWidth="1"/>
    <col min="33" max="33" width="20.5546875" bestFit="1" customWidth="1"/>
    <col min="34" max="34" width="21.44140625" bestFit="1" customWidth="1"/>
    <col min="35" max="37" width="19.5546875" bestFit="1" customWidth="1"/>
    <col min="38" max="38" width="18.88671875" bestFit="1" customWidth="1"/>
    <col min="39" max="40" width="18.5546875" bestFit="1" customWidth="1"/>
    <col min="41" max="41" width="19.5546875" bestFit="1" customWidth="1"/>
    <col min="42" max="42" width="18.5546875" bestFit="1" customWidth="1"/>
    <col min="43" max="43" width="19.5546875" bestFit="1" customWidth="1"/>
    <col min="44" max="44" width="18.88671875" bestFit="1" customWidth="1"/>
    <col min="45" max="46" width="18.5546875" bestFit="1" customWidth="1"/>
    <col min="47" max="47" width="18.88671875" bestFit="1" customWidth="1"/>
    <col min="48" max="48" width="19.5546875" bestFit="1" customWidth="1"/>
    <col min="49" max="50" width="18.88671875" bestFit="1" customWidth="1"/>
    <col min="51" max="51" width="18.5546875" bestFit="1" customWidth="1"/>
    <col min="52" max="52" width="19.5546875" bestFit="1" customWidth="1"/>
    <col min="53" max="53" width="18.5546875" bestFit="1" customWidth="1"/>
    <col min="54" max="54" width="20.5546875" bestFit="1" customWidth="1"/>
    <col min="55" max="58" width="19.5546875" bestFit="1" customWidth="1"/>
    <col min="59" max="59" width="19.88671875" bestFit="1" customWidth="1"/>
    <col min="60" max="60" width="20.5546875" bestFit="1" customWidth="1"/>
    <col min="61" max="62" width="19.5546875" bestFit="1" customWidth="1"/>
    <col min="63" max="63" width="20.5546875" bestFit="1" customWidth="1"/>
    <col min="64" max="64" width="19.5546875" bestFit="1" customWidth="1"/>
    <col min="65" max="66" width="18.88671875" bestFit="1" customWidth="1"/>
    <col min="67" max="67" width="17.88671875" bestFit="1" customWidth="1"/>
    <col min="68" max="68" width="19.5546875" bestFit="1" customWidth="1"/>
    <col min="69" max="70" width="6.33203125" bestFit="1" customWidth="1"/>
  </cols>
  <sheetData>
    <row r="1" spans="1:70" x14ac:dyDescent="0.3">
      <c r="A1" t="s">
        <v>504</v>
      </c>
      <c r="B1" t="s">
        <v>505</v>
      </c>
      <c r="C1" t="s">
        <v>387</v>
      </c>
      <c r="D1" t="s">
        <v>4565</v>
      </c>
      <c r="E1" t="s">
        <v>4566</v>
      </c>
      <c r="F1" t="s">
        <v>4567</v>
      </c>
      <c r="G1" t="s">
        <v>4568</v>
      </c>
      <c r="H1" t="s">
        <v>4569</v>
      </c>
      <c r="I1" t="s">
        <v>4570</v>
      </c>
      <c r="J1" t="s">
        <v>4571</v>
      </c>
      <c r="K1" t="s">
        <v>4572</v>
      </c>
      <c r="L1" t="s">
        <v>4573</v>
      </c>
      <c r="M1" t="s">
        <v>4574</v>
      </c>
      <c r="N1" t="s">
        <v>4575</v>
      </c>
      <c r="O1" t="s">
        <v>4576</v>
      </c>
      <c r="P1" t="s">
        <v>4577</v>
      </c>
      <c r="Q1" t="s">
        <v>4578</v>
      </c>
      <c r="R1" t="s">
        <v>4579</v>
      </c>
      <c r="S1" t="s">
        <v>4580</v>
      </c>
      <c r="T1" t="s">
        <v>4581</v>
      </c>
      <c r="U1" t="s">
        <v>4582</v>
      </c>
      <c r="V1" t="s">
        <v>4583</v>
      </c>
      <c r="W1" t="s">
        <v>4584</v>
      </c>
      <c r="X1" t="s">
        <v>4585</v>
      </c>
      <c r="Y1" t="s">
        <v>4586</v>
      </c>
      <c r="Z1" t="s">
        <v>4587</v>
      </c>
      <c r="AA1" t="s">
        <v>4588</v>
      </c>
      <c r="AB1" t="s">
        <v>4589</v>
      </c>
      <c r="AC1" t="s">
        <v>4590</v>
      </c>
      <c r="AD1" t="s">
        <v>4591</v>
      </c>
      <c r="AE1" t="s">
        <v>4592</v>
      </c>
      <c r="AF1" t="s">
        <v>4593</v>
      </c>
      <c r="AG1" t="s">
        <v>4594</v>
      </c>
      <c r="AH1" t="s">
        <v>4595</v>
      </c>
      <c r="AI1" t="s">
        <v>4596</v>
      </c>
      <c r="AJ1" t="s">
        <v>4597</v>
      </c>
      <c r="AK1" t="s">
        <v>4598</v>
      </c>
      <c r="AL1" t="s">
        <v>4599</v>
      </c>
      <c r="AM1" t="s">
        <v>4600</v>
      </c>
      <c r="AN1" t="s">
        <v>4601</v>
      </c>
      <c r="AO1" t="s">
        <v>4602</v>
      </c>
      <c r="AP1" t="s">
        <v>4603</v>
      </c>
      <c r="AQ1" t="s">
        <v>4604</v>
      </c>
      <c r="AR1" t="s">
        <v>4605</v>
      </c>
      <c r="AS1" t="s">
        <v>4606</v>
      </c>
      <c r="AT1" t="s">
        <v>4607</v>
      </c>
      <c r="AU1" t="s">
        <v>4608</v>
      </c>
      <c r="AV1" t="s">
        <v>4609</v>
      </c>
      <c r="AW1" t="s">
        <v>4610</v>
      </c>
      <c r="AX1" t="s">
        <v>4611</v>
      </c>
      <c r="AY1" t="s">
        <v>4612</v>
      </c>
      <c r="AZ1" t="s">
        <v>4613</v>
      </c>
      <c r="BA1" t="s">
        <v>4614</v>
      </c>
      <c r="BB1" t="s">
        <v>4615</v>
      </c>
      <c r="BC1" t="s">
        <v>4616</v>
      </c>
      <c r="BD1" t="s">
        <v>4617</v>
      </c>
      <c r="BE1" t="s">
        <v>4618</v>
      </c>
      <c r="BF1" t="s">
        <v>4619</v>
      </c>
      <c r="BG1" t="s">
        <v>4620</v>
      </c>
      <c r="BH1" t="s">
        <v>4621</v>
      </c>
      <c r="BI1" t="s">
        <v>4622</v>
      </c>
      <c r="BJ1" t="s">
        <v>4623</v>
      </c>
      <c r="BK1" t="s">
        <v>4624</v>
      </c>
      <c r="BL1" t="s">
        <v>4625</v>
      </c>
      <c r="BM1" t="s">
        <v>4626</v>
      </c>
      <c r="BN1" t="s">
        <v>4627</v>
      </c>
      <c r="BO1" t="s">
        <v>4628</v>
      </c>
      <c r="BP1" t="s">
        <v>4629</v>
      </c>
      <c r="BQ1" t="s">
        <v>4630</v>
      </c>
      <c r="BR1" t="s">
        <v>4631</v>
      </c>
    </row>
    <row r="2" spans="1:70" x14ac:dyDescent="0.3">
      <c r="A2" t="s">
        <v>274</v>
      </c>
      <c r="B2" t="s">
        <v>274</v>
      </c>
      <c r="C2" t="s">
        <v>274</v>
      </c>
      <c r="D2" t="s">
        <v>274</v>
      </c>
      <c r="F2" t="s">
        <v>274</v>
      </c>
      <c r="G2" t="s">
        <v>274</v>
      </c>
      <c r="H2" t="s">
        <v>274</v>
      </c>
      <c r="I2" t="s">
        <v>274</v>
      </c>
      <c r="J2" t="s">
        <v>274</v>
      </c>
      <c r="K2" t="s">
        <v>274</v>
      </c>
      <c r="L2" t="s">
        <v>274</v>
      </c>
      <c r="M2" t="s">
        <v>274</v>
      </c>
      <c r="N2" t="s">
        <v>274</v>
      </c>
      <c r="O2" t="s">
        <v>274</v>
      </c>
      <c r="P2" t="s">
        <v>274</v>
      </c>
      <c r="Q2" t="s">
        <v>274</v>
      </c>
      <c r="R2" t="s">
        <v>274</v>
      </c>
      <c r="S2" t="s">
        <v>274</v>
      </c>
      <c r="T2" t="s">
        <v>274</v>
      </c>
      <c r="U2" t="s">
        <v>274</v>
      </c>
      <c r="V2" t="s">
        <v>274</v>
      </c>
      <c r="W2" t="s">
        <v>274</v>
      </c>
      <c r="X2" t="s">
        <v>274</v>
      </c>
      <c r="Y2" t="s">
        <v>274</v>
      </c>
      <c r="Z2" t="s">
        <v>274</v>
      </c>
      <c r="AA2" t="s">
        <v>274</v>
      </c>
      <c r="AB2" t="s">
        <v>274</v>
      </c>
      <c r="AC2" t="s">
        <v>274</v>
      </c>
      <c r="AD2" t="s">
        <v>274</v>
      </c>
      <c r="AE2" t="s">
        <v>274</v>
      </c>
      <c r="AF2" t="s">
        <v>274</v>
      </c>
      <c r="AG2" t="s">
        <v>274</v>
      </c>
      <c r="AH2" t="s">
        <v>274</v>
      </c>
      <c r="AI2" t="s">
        <v>274</v>
      </c>
      <c r="AJ2" t="s">
        <v>274</v>
      </c>
      <c r="AK2" t="s">
        <v>274</v>
      </c>
      <c r="AL2" t="s">
        <v>274</v>
      </c>
      <c r="AM2" t="s">
        <v>274</v>
      </c>
      <c r="AN2" t="s">
        <v>274</v>
      </c>
      <c r="AO2" t="s">
        <v>274</v>
      </c>
      <c r="AP2" t="s">
        <v>274</v>
      </c>
      <c r="AQ2" t="s">
        <v>274</v>
      </c>
      <c r="AR2" t="s">
        <v>274</v>
      </c>
      <c r="AS2" t="s">
        <v>274</v>
      </c>
      <c r="AT2" t="s">
        <v>274</v>
      </c>
      <c r="AU2" t="s">
        <v>274</v>
      </c>
      <c r="AV2" t="s">
        <v>274</v>
      </c>
      <c r="AW2" t="s">
        <v>274</v>
      </c>
      <c r="AX2" t="s">
        <v>274</v>
      </c>
      <c r="AY2" t="s">
        <v>274</v>
      </c>
      <c r="AZ2" t="s">
        <v>274</v>
      </c>
      <c r="BA2" t="s">
        <v>274</v>
      </c>
      <c r="BB2" t="s">
        <v>274</v>
      </c>
      <c r="BC2" t="s">
        <v>274</v>
      </c>
      <c r="BD2" t="s">
        <v>274</v>
      </c>
      <c r="BE2" t="s">
        <v>274</v>
      </c>
      <c r="BF2" t="s">
        <v>274</v>
      </c>
      <c r="BG2" t="s">
        <v>274</v>
      </c>
      <c r="BH2" t="s">
        <v>274</v>
      </c>
      <c r="BI2" t="s">
        <v>274</v>
      </c>
      <c r="BJ2" t="s">
        <v>274</v>
      </c>
      <c r="BK2" t="s">
        <v>274</v>
      </c>
      <c r="BL2" t="s">
        <v>274</v>
      </c>
      <c r="BM2" t="s">
        <v>274</v>
      </c>
      <c r="BN2" t="s">
        <v>274</v>
      </c>
      <c r="BO2" t="s">
        <v>274</v>
      </c>
      <c r="BP2" t="s">
        <v>274</v>
      </c>
      <c r="BR2" t="s">
        <v>274</v>
      </c>
    </row>
    <row r="3" spans="1:70" x14ac:dyDescent="0.3">
      <c r="A3" t="s">
        <v>506</v>
      </c>
      <c r="B3" t="s">
        <v>507</v>
      </c>
      <c r="C3" t="s">
        <v>274</v>
      </c>
      <c r="D3" t="s">
        <v>274</v>
      </c>
      <c r="F3" t="s">
        <v>274</v>
      </c>
      <c r="G3" t="s">
        <v>274</v>
      </c>
      <c r="H3" t="s">
        <v>274</v>
      </c>
      <c r="I3" t="s">
        <v>274</v>
      </c>
      <c r="J3" t="s">
        <v>274</v>
      </c>
      <c r="K3" t="s">
        <v>274</v>
      </c>
      <c r="L3" t="s">
        <v>274</v>
      </c>
      <c r="M3" t="s">
        <v>274</v>
      </c>
      <c r="N3" t="s">
        <v>274</v>
      </c>
      <c r="O3" t="s">
        <v>274</v>
      </c>
      <c r="P3" t="s">
        <v>274</v>
      </c>
      <c r="Q3" t="s">
        <v>274</v>
      </c>
      <c r="R3" t="s">
        <v>274</v>
      </c>
      <c r="S3" t="s">
        <v>274</v>
      </c>
      <c r="T3" t="s">
        <v>274</v>
      </c>
      <c r="U3" t="s">
        <v>274</v>
      </c>
      <c r="V3" t="s">
        <v>274</v>
      </c>
      <c r="W3" t="s">
        <v>274</v>
      </c>
      <c r="X3" t="s">
        <v>274</v>
      </c>
      <c r="Y3" t="s">
        <v>274</v>
      </c>
      <c r="Z3" t="s">
        <v>274</v>
      </c>
      <c r="AA3" t="s">
        <v>274</v>
      </c>
      <c r="AB3" t="s">
        <v>274</v>
      </c>
      <c r="AC3" t="s">
        <v>274</v>
      </c>
      <c r="AD3" t="s">
        <v>274</v>
      </c>
      <c r="AE3" t="s">
        <v>274</v>
      </c>
      <c r="AF3" t="s">
        <v>274</v>
      </c>
      <c r="AG3" t="s">
        <v>274</v>
      </c>
      <c r="AH3" t="s">
        <v>274</v>
      </c>
      <c r="AI3" t="s">
        <v>274</v>
      </c>
      <c r="AJ3" t="s">
        <v>274</v>
      </c>
      <c r="AK3" t="s">
        <v>274</v>
      </c>
      <c r="AL3" t="s">
        <v>274</v>
      </c>
      <c r="AM3" t="s">
        <v>274</v>
      </c>
      <c r="AN3" t="s">
        <v>274</v>
      </c>
      <c r="AO3" t="s">
        <v>274</v>
      </c>
      <c r="AP3" t="s">
        <v>274</v>
      </c>
      <c r="AQ3" t="s">
        <v>274</v>
      </c>
      <c r="AR3" t="s">
        <v>274</v>
      </c>
      <c r="AS3" t="s">
        <v>274</v>
      </c>
      <c r="AT3" t="s">
        <v>274</v>
      </c>
      <c r="AU3" t="s">
        <v>274</v>
      </c>
      <c r="AV3" t="s">
        <v>274</v>
      </c>
      <c r="AW3" t="s">
        <v>274</v>
      </c>
      <c r="AX3" t="s">
        <v>274</v>
      </c>
      <c r="AY3" t="s">
        <v>274</v>
      </c>
      <c r="AZ3" t="s">
        <v>274</v>
      </c>
      <c r="BA3" t="s">
        <v>274</v>
      </c>
      <c r="BB3" t="s">
        <v>274</v>
      </c>
      <c r="BC3" t="s">
        <v>274</v>
      </c>
      <c r="BD3" t="s">
        <v>274</v>
      </c>
      <c r="BE3" t="s">
        <v>274</v>
      </c>
      <c r="BF3" t="s">
        <v>274</v>
      </c>
      <c r="BG3" t="s">
        <v>274</v>
      </c>
      <c r="BH3" t="s">
        <v>274</v>
      </c>
      <c r="BI3" t="s">
        <v>274</v>
      </c>
      <c r="BJ3" t="s">
        <v>274</v>
      </c>
      <c r="BK3" t="s">
        <v>274</v>
      </c>
      <c r="BL3" t="s">
        <v>274</v>
      </c>
      <c r="BM3" t="s">
        <v>274</v>
      </c>
      <c r="BN3" t="s">
        <v>274</v>
      </c>
      <c r="BO3" t="s">
        <v>274</v>
      </c>
      <c r="BP3" t="s">
        <v>274</v>
      </c>
      <c r="BR3" t="s">
        <v>274</v>
      </c>
    </row>
    <row r="4" spans="1:70" x14ac:dyDescent="0.3">
      <c r="A4" t="s">
        <v>274</v>
      </c>
      <c r="B4" t="s">
        <v>274</v>
      </c>
      <c r="C4" t="s">
        <v>274</v>
      </c>
      <c r="D4" t="s">
        <v>274</v>
      </c>
      <c r="F4" t="s">
        <v>274</v>
      </c>
      <c r="G4" t="s">
        <v>274</v>
      </c>
      <c r="H4" t="s">
        <v>274</v>
      </c>
      <c r="I4" t="s">
        <v>274</v>
      </c>
      <c r="J4" t="s">
        <v>274</v>
      </c>
      <c r="K4" t="s">
        <v>274</v>
      </c>
      <c r="L4" t="s">
        <v>274</v>
      </c>
      <c r="M4" t="s">
        <v>274</v>
      </c>
      <c r="N4" t="s">
        <v>274</v>
      </c>
      <c r="O4" t="s">
        <v>274</v>
      </c>
      <c r="P4" t="s">
        <v>274</v>
      </c>
      <c r="Q4" t="s">
        <v>274</v>
      </c>
      <c r="R4" t="s">
        <v>274</v>
      </c>
      <c r="S4" t="s">
        <v>274</v>
      </c>
      <c r="T4" t="s">
        <v>274</v>
      </c>
      <c r="U4" t="s">
        <v>274</v>
      </c>
      <c r="V4" t="s">
        <v>274</v>
      </c>
      <c r="W4" t="s">
        <v>274</v>
      </c>
      <c r="X4" t="s">
        <v>274</v>
      </c>
      <c r="Y4" t="s">
        <v>274</v>
      </c>
      <c r="Z4" t="s">
        <v>274</v>
      </c>
      <c r="AA4" t="s">
        <v>274</v>
      </c>
      <c r="AB4" t="s">
        <v>274</v>
      </c>
      <c r="AC4" t="s">
        <v>274</v>
      </c>
      <c r="AD4" t="s">
        <v>274</v>
      </c>
      <c r="AE4" t="s">
        <v>274</v>
      </c>
      <c r="AF4" t="s">
        <v>274</v>
      </c>
      <c r="AG4" t="s">
        <v>274</v>
      </c>
      <c r="AH4" t="s">
        <v>274</v>
      </c>
      <c r="AI4" t="s">
        <v>274</v>
      </c>
      <c r="AJ4" t="s">
        <v>274</v>
      </c>
      <c r="AK4" t="s">
        <v>274</v>
      </c>
      <c r="AL4" t="s">
        <v>274</v>
      </c>
      <c r="AM4" t="s">
        <v>274</v>
      </c>
      <c r="AN4" t="s">
        <v>274</v>
      </c>
      <c r="AO4" t="s">
        <v>274</v>
      </c>
      <c r="AP4" t="s">
        <v>274</v>
      </c>
      <c r="AQ4" t="s">
        <v>274</v>
      </c>
      <c r="AR4" t="s">
        <v>274</v>
      </c>
      <c r="AS4" t="s">
        <v>274</v>
      </c>
      <c r="AT4" t="s">
        <v>274</v>
      </c>
      <c r="AU4" t="s">
        <v>274</v>
      </c>
      <c r="AV4" t="s">
        <v>274</v>
      </c>
      <c r="AW4" t="s">
        <v>274</v>
      </c>
      <c r="AX4" t="s">
        <v>274</v>
      </c>
      <c r="AY4" t="s">
        <v>274</v>
      </c>
      <c r="AZ4" t="s">
        <v>274</v>
      </c>
      <c r="BA4" t="s">
        <v>274</v>
      </c>
      <c r="BB4" t="s">
        <v>274</v>
      </c>
      <c r="BC4" t="s">
        <v>274</v>
      </c>
      <c r="BD4" t="s">
        <v>274</v>
      </c>
      <c r="BE4" t="s">
        <v>274</v>
      </c>
      <c r="BF4" t="s">
        <v>274</v>
      </c>
      <c r="BG4" t="s">
        <v>274</v>
      </c>
      <c r="BH4" t="s">
        <v>274</v>
      </c>
      <c r="BI4" t="s">
        <v>274</v>
      </c>
      <c r="BJ4" t="s">
        <v>274</v>
      </c>
      <c r="BK4" t="s">
        <v>274</v>
      </c>
      <c r="BL4" t="s">
        <v>274</v>
      </c>
      <c r="BM4" t="s">
        <v>274</v>
      </c>
      <c r="BN4" t="s">
        <v>274</v>
      </c>
      <c r="BO4" t="s">
        <v>274</v>
      </c>
      <c r="BP4" t="s">
        <v>274</v>
      </c>
      <c r="BR4" t="s">
        <v>274</v>
      </c>
    </row>
    <row r="5" spans="1:70" x14ac:dyDescent="0.3">
      <c r="A5" t="s">
        <v>508</v>
      </c>
      <c r="B5" t="s">
        <v>509</v>
      </c>
      <c r="C5" t="s">
        <v>510</v>
      </c>
      <c r="D5" t="s">
        <v>511</v>
      </c>
      <c r="E5">
        <v>1960</v>
      </c>
      <c r="F5" t="s">
        <v>513</v>
      </c>
      <c r="G5" t="s">
        <v>514</v>
      </c>
      <c r="H5" t="s">
        <v>515</v>
      </c>
      <c r="I5" t="s">
        <v>516</v>
      </c>
      <c r="J5" t="s">
        <v>517</v>
      </c>
      <c r="K5" t="s">
        <v>518</v>
      </c>
      <c r="L5" t="s">
        <v>519</v>
      </c>
      <c r="M5" t="s">
        <v>520</v>
      </c>
      <c r="N5" t="s">
        <v>521</v>
      </c>
      <c r="O5" t="s">
        <v>522</v>
      </c>
      <c r="P5" t="s">
        <v>523</v>
      </c>
      <c r="Q5" t="s">
        <v>524</v>
      </c>
      <c r="R5" t="s">
        <v>525</v>
      </c>
      <c r="S5" t="s">
        <v>526</v>
      </c>
      <c r="T5" t="s">
        <v>527</v>
      </c>
      <c r="U5" t="s">
        <v>528</v>
      </c>
      <c r="V5" t="s">
        <v>529</v>
      </c>
      <c r="W5" t="s">
        <v>530</v>
      </c>
      <c r="X5" t="s">
        <v>531</v>
      </c>
      <c r="Y5" t="s">
        <v>532</v>
      </c>
      <c r="Z5" t="s">
        <v>533</v>
      </c>
      <c r="AA5" t="s">
        <v>534</v>
      </c>
      <c r="AB5" t="s">
        <v>535</v>
      </c>
      <c r="AC5" t="s">
        <v>536</v>
      </c>
      <c r="AD5" t="s">
        <v>537</v>
      </c>
      <c r="AE5" t="s">
        <v>538</v>
      </c>
      <c r="AF5" t="s">
        <v>539</v>
      </c>
      <c r="AG5" t="s">
        <v>540</v>
      </c>
      <c r="AH5" t="s">
        <v>541</v>
      </c>
      <c r="AI5" t="s">
        <v>542</v>
      </c>
      <c r="AJ5" t="s">
        <v>543</v>
      </c>
      <c r="AK5" t="s">
        <v>544</v>
      </c>
      <c r="AL5" t="s">
        <v>545</v>
      </c>
      <c r="AM5" t="s">
        <v>546</v>
      </c>
      <c r="AN5" t="s">
        <v>547</v>
      </c>
      <c r="AO5" t="s">
        <v>548</v>
      </c>
      <c r="AP5" t="s">
        <v>549</v>
      </c>
      <c r="AQ5" t="s">
        <v>550</v>
      </c>
      <c r="AR5" t="s">
        <v>551</v>
      </c>
      <c r="AS5" t="s">
        <v>552</v>
      </c>
      <c r="AT5" t="s">
        <v>553</v>
      </c>
      <c r="AU5" t="s">
        <v>554</v>
      </c>
      <c r="AV5" t="s">
        <v>555</v>
      </c>
      <c r="AW5" t="s">
        <v>556</v>
      </c>
      <c r="AX5" t="s">
        <v>557</v>
      </c>
      <c r="AY5" t="s">
        <v>558</v>
      </c>
      <c r="AZ5" t="s">
        <v>559</v>
      </c>
      <c r="BA5" t="s">
        <v>560</v>
      </c>
      <c r="BB5" t="s">
        <v>561</v>
      </c>
      <c r="BC5" t="s">
        <v>562</v>
      </c>
      <c r="BD5" t="s">
        <v>563</v>
      </c>
      <c r="BE5" t="s">
        <v>564</v>
      </c>
      <c r="BF5" t="s">
        <v>565</v>
      </c>
      <c r="BG5" t="s">
        <v>566</v>
      </c>
      <c r="BH5" t="s">
        <v>567</v>
      </c>
      <c r="BI5" t="s">
        <v>568</v>
      </c>
      <c r="BJ5" t="s">
        <v>569</v>
      </c>
      <c r="BK5" t="s">
        <v>570</v>
      </c>
      <c r="BL5" t="s">
        <v>571</v>
      </c>
      <c r="BM5" t="s">
        <v>572</v>
      </c>
      <c r="BN5" t="s">
        <v>573</v>
      </c>
      <c r="BO5" t="s">
        <v>574</v>
      </c>
      <c r="BP5" t="s">
        <v>575</v>
      </c>
      <c r="BQ5">
        <v>2024</v>
      </c>
      <c r="BR5" t="s">
        <v>274</v>
      </c>
    </row>
    <row r="6" spans="1:70" x14ac:dyDescent="0.3">
      <c r="A6" t="s">
        <v>241</v>
      </c>
      <c r="B6" t="s">
        <v>577</v>
      </c>
      <c r="C6" t="s">
        <v>4632</v>
      </c>
      <c r="D6" t="s">
        <v>4633</v>
      </c>
      <c r="F6" t="s">
        <v>274</v>
      </c>
      <c r="G6" t="s">
        <v>274</v>
      </c>
      <c r="H6" t="s">
        <v>274</v>
      </c>
      <c r="I6" t="s">
        <v>274</v>
      </c>
      <c r="J6" t="s">
        <v>274</v>
      </c>
      <c r="K6" t="s">
        <v>274</v>
      </c>
      <c r="L6" t="s">
        <v>274</v>
      </c>
      <c r="M6" t="s">
        <v>274</v>
      </c>
      <c r="N6" t="s">
        <v>274</v>
      </c>
      <c r="O6" t="s">
        <v>274</v>
      </c>
      <c r="P6" t="s">
        <v>274</v>
      </c>
      <c r="Q6" t="s">
        <v>274</v>
      </c>
      <c r="R6" t="s">
        <v>274</v>
      </c>
      <c r="S6" t="s">
        <v>274</v>
      </c>
      <c r="T6" t="s">
        <v>274</v>
      </c>
      <c r="U6" t="s">
        <v>274</v>
      </c>
      <c r="V6" t="s">
        <v>274</v>
      </c>
      <c r="W6" t="s">
        <v>274</v>
      </c>
      <c r="X6" t="s">
        <v>274</v>
      </c>
      <c r="Y6" t="s">
        <v>274</v>
      </c>
      <c r="Z6" t="s">
        <v>274</v>
      </c>
      <c r="AA6" t="s">
        <v>274</v>
      </c>
      <c r="AB6" t="s">
        <v>274</v>
      </c>
      <c r="AC6" t="s">
        <v>274</v>
      </c>
      <c r="AD6" t="s">
        <v>274</v>
      </c>
      <c r="AE6" t="s">
        <v>274</v>
      </c>
      <c r="AF6" t="s">
        <v>4634</v>
      </c>
      <c r="AG6" t="s">
        <v>4635</v>
      </c>
      <c r="AH6" t="s">
        <v>4636</v>
      </c>
      <c r="AI6" t="s">
        <v>4637</v>
      </c>
      <c r="AJ6" t="s">
        <v>4638</v>
      </c>
      <c r="AK6" t="s">
        <v>4639</v>
      </c>
      <c r="AL6" t="s">
        <v>4640</v>
      </c>
      <c r="AM6" t="s">
        <v>4641</v>
      </c>
      <c r="AN6" t="s">
        <v>4642</v>
      </c>
      <c r="AO6" t="s">
        <v>4643</v>
      </c>
      <c r="AP6" t="s">
        <v>4644</v>
      </c>
      <c r="AQ6" t="s">
        <v>4645</v>
      </c>
      <c r="AR6" t="s">
        <v>4646</v>
      </c>
      <c r="AS6" t="s">
        <v>4647</v>
      </c>
      <c r="AT6" t="s">
        <v>4648</v>
      </c>
      <c r="AU6" t="s">
        <v>4649</v>
      </c>
      <c r="AV6" t="s">
        <v>4650</v>
      </c>
      <c r="AW6" t="s">
        <v>4651</v>
      </c>
      <c r="AX6" t="s">
        <v>4652</v>
      </c>
      <c r="AY6" t="s">
        <v>4653</v>
      </c>
      <c r="AZ6" t="s">
        <v>4654</v>
      </c>
      <c r="BA6" t="s">
        <v>4655</v>
      </c>
      <c r="BB6" t="s">
        <v>4656</v>
      </c>
      <c r="BC6" t="s">
        <v>4657</v>
      </c>
      <c r="BD6" t="s">
        <v>4658</v>
      </c>
      <c r="BE6" t="s">
        <v>4659</v>
      </c>
      <c r="BF6" t="s">
        <v>4660</v>
      </c>
      <c r="BG6" t="s">
        <v>4661</v>
      </c>
      <c r="BH6" t="s">
        <v>4662</v>
      </c>
      <c r="BI6" t="s">
        <v>4663</v>
      </c>
      <c r="BJ6" t="s">
        <v>4664</v>
      </c>
      <c r="BK6" t="s">
        <v>4665</v>
      </c>
      <c r="BL6" t="s">
        <v>4666</v>
      </c>
      <c r="BM6" t="s">
        <v>4667</v>
      </c>
      <c r="BN6" t="s">
        <v>4668</v>
      </c>
      <c r="BO6" t="s">
        <v>4669</v>
      </c>
      <c r="BP6" t="s">
        <v>4670</v>
      </c>
      <c r="BR6" t="s">
        <v>274</v>
      </c>
    </row>
    <row r="7" spans="1:70" x14ac:dyDescent="0.3">
      <c r="A7" t="s">
        <v>610</v>
      </c>
      <c r="B7" t="s">
        <v>611</v>
      </c>
      <c r="C7" t="s">
        <v>4632</v>
      </c>
      <c r="D7" t="s">
        <v>4633</v>
      </c>
      <c r="F7" t="s">
        <v>4671</v>
      </c>
      <c r="G7" t="s">
        <v>4672</v>
      </c>
      <c r="H7" t="s">
        <v>4673</v>
      </c>
      <c r="I7" t="s">
        <v>4674</v>
      </c>
      <c r="J7" t="s">
        <v>4675</v>
      </c>
      <c r="K7" t="s">
        <v>4676</v>
      </c>
      <c r="L7" t="s">
        <v>4677</v>
      </c>
      <c r="M7" t="s">
        <v>4678</v>
      </c>
      <c r="N7" t="s">
        <v>4679</v>
      </c>
      <c r="O7" t="s">
        <v>4680</v>
      </c>
      <c r="P7" t="s">
        <v>4681</v>
      </c>
      <c r="Q7" t="s">
        <v>4682</v>
      </c>
      <c r="R7" t="s">
        <v>4683</v>
      </c>
      <c r="S7" t="s">
        <v>4684</v>
      </c>
      <c r="T7" t="s">
        <v>4685</v>
      </c>
      <c r="U7" t="s">
        <v>4686</v>
      </c>
      <c r="V7" t="s">
        <v>4687</v>
      </c>
      <c r="W7" t="s">
        <v>4688</v>
      </c>
      <c r="X7" t="s">
        <v>4689</v>
      </c>
      <c r="Y7" t="s">
        <v>4690</v>
      </c>
      <c r="Z7" t="s">
        <v>4691</v>
      </c>
      <c r="AA7" t="s">
        <v>4692</v>
      </c>
      <c r="AB7" t="s">
        <v>4693</v>
      </c>
      <c r="AC7" t="s">
        <v>4694</v>
      </c>
      <c r="AD7" t="s">
        <v>4695</v>
      </c>
      <c r="AE7" t="s">
        <v>4696</v>
      </c>
      <c r="AF7" t="s">
        <v>4697</v>
      </c>
      <c r="AG7" t="s">
        <v>4698</v>
      </c>
      <c r="AH7" t="s">
        <v>4699</v>
      </c>
      <c r="AI7" t="s">
        <v>4700</v>
      </c>
      <c r="AJ7" t="s">
        <v>4701</v>
      </c>
      <c r="AK7" t="s">
        <v>4702</v>
      </c>
      <c r="AL7" t="s">
        <v>4703</v>
      </c>
      <c r="AM7" t="s">
        <v>4704</v>
      </c>
      <c r="AN7" t="s">
        <v>4705</v>
      </c>
      <c r="AO7" t="s">
        <v>4706</v>
      </c>
      <c r="AP7" t="s">
        <v>4707</v>
      </c>
      <c r="AQ7" t="s">
        <v>4708</v>
      </c>
      <c r="AR7" t="s">
        <v>4709</v>
      </c>
      <c r="AS7" t="s">
        <v>4710</v>
      </c>
      <c r="AT7" t="s">
        <v>4711</v>
      </c>
      <c r="AU7" t="s">
        <v>4712</v>
      </c>
      <c r="AV7" t="s">
        <v>4713</v>
      </c>
      <c r="AW7" t="s">
        <v>4714</v>
      </c>
      <c r="AX7" t="s">
        <v>4715</v>
      </c>
      <c r="AY7" t="s">
        <v>4716</v>
      </c>
      <c r="AZ7" t="s">
        <v>4717</v>
      </c>
      <c r="BA7" t="s">
        <v>4718</v>
      </c>
      <c r="BB7" t="s">
        <v>4719</v>
      </c>
      <c r="BC7" t="s">
        <v>4720</v>
      </c>
      <c r="BD7" t="s">
        <v>4721</v>
      </c>
      <c r="BE7" t="s">
        <v>4722</v>
      </c>
      <c r="BF7" t="s">
        <v>4723</v>
      </c>
      <c r="BG7" t="s">
        <v>4724</v>
      </c>
      <c r="BH7" t="s">
        <v>4725</v>
      </c>
      <c r="BI7" t="s">
        <v>4726</v>
      </c>
      <c r="BJ7" t="s">
        <v>4727</v>
      </c>
      <c r="BK7" t="s">
        <v>4728</v>
      </c>
      <c r="BL7" t="s">
        <v>4729</v>
      </c>
      <c r="BM7" t="s">
        <v>4730</v>
      </c>
      <c r="BN7" t="s">
        <v>4731</v>
      </c>
      <c r="BO7" t="s">
        <v>4732</v>
      </c>
      <c r="BP7" t="s">
        <v>4733</v>
      </c>
      <c r="BR7" t="s">
        <v>274</v>
      </c>
    </row>
    <row r="8" spans="1:70" x14ac:dyDescent="0.3">
      <c r="A8" t="s">
        <v>39</v>
      </c>
      <c r="B8" t="s">
        <v>612</v>
      </c>
      <c r="C8" t="s">
        <v>4632</v>
      </c>
      <c r="D8" t="s">
        <v>4633</v>
      </c>
      <c r="F8" t="s">
        <v>274</v>
      </c>
      <c r="G8" t="s">
        <v>274</v>
      </c>
      <c r="H8" t="s">
        <v>274</v>
      </c>
      <c r="I8" t="s">
        <v>274</v>
      </c>
      <c r="J8" t="s">
        <v>274</v>
      </c>
      <c r="K8" t="s">
        <v>274</v>
      </c>
      <c r="L8" t="s">
        <v>274</v>
      </c>
      <c r="M8" t="s">
        <v>274</v>
      </c>
      <c r="N8" t="s">
        <v>274</v>
      </c>
      <c r="O8" t="s">
        <v>274</v>
      </c>
      <c r="P8" t="s">
        <v>274</v>
      </c>
      <c r="Q8" t="s">
        <v>274</v>
      </c>
      <c r="R8" t="s">
        <v>274</v>
      </c>
      <c r="S8" t="s">
        <v>274</v>
      </c>
      <c r="T8" t="s">
        <v>274</v>
      </c>
      <c r="U8" t="s">
        <v>274</v>
      </c>
      <c r="V8" t="s">
        <v>274</v>
      </c>
      <c r="W8" t="s">
        <v>274</v>
      </c>
      <c r="X8" t="s">
        <v>274</v>
      </c>
      <c r="Y8" t="s">
        <v>274</v>
      </c>
      <c r="Z8" t="s">
        <v>274</v>
      </c>
      <c r="AA8" t="s">
        <v>274</v>
      </c>
      <c r="AB8" t="s">
        <v>274</v>
      </c>
      <c r="AC8" t="s">
        <v>274</v>
      </c>
      <c r="AD8" t="s">
        <v>274</v>
      </c>
      <c r="AE8" t="s">
        <v>274</v>
      </c>
      <c r="AF8" t="s">
        <v>274</v>
      </c>
      <c r="AG8" t="s">
        <v>274</v>
      </c>
      <c r="AH8" t="s">
        <v>274</v>
      </c>
      <c r="AI8" t="s">
        <v>274</v>
      </c>
      <c r="AJ8" t="s">
        <v>274</v>
      </c>
      <c r="AK8" t="s">
        <v>274</v>
      </c>
      <c r="AL8" t="s">
        <v>274</v>
      </c>
      <c r="AM8" t="s">
        <v>274</v>
      </c>
      <c r="AN8" t="s">
        <v>274</v>
      </c>
      <c r="AO8" t="s">
        <v>274</v>
      </c>
      <c r="AP8" t="s">
        <v>274</v>
      </c>
      <c r="AQ8" t="s">
        <v>274</v>
      </c>
      <c r="AR8" t="s">
        <v>274</v>
      </c>
      <c r="AS8" t="s">
        <v>274</v>
      </c>
      <c r="AT8" t="s">
        <v>4734</v>
      </c>
      <c r="AU8" t="s">
        <v>4735</v>
      </c>
      <c r="AV8" t="s">
        <v>4736</v>
      </c>
      <c r="AW8" t="s">
        <v>4737</v>
      </c>
      <c r="AX8" t="s">
        <v>4738</v>
      </c>
      <c r="AY8" t="s">
        <v>4739</v>
      </c>
      <c r="AZ8" t="s">
        <v>4740</v>
      </c>
      <c r="BA8" t="s">
        <v>4741</v>
      </c>
      <c r="BB8" t="s">
        <v>4742</v>
      </c>
      <c r="BC8" t="s">
        <v>4743</v>
      </c>
      <c r="BD8" t="s">
        <v>4744</v>
      </c>
      <c r="BE8" t="s">
        <v>4745</v>
      </c>
      <c r="BF8" t="s">
        <v>4746</v>
      </c>
      <c r="BG8" t="s">
        <v>4747</v>
      </c>
      <c r="BH8" t="s">
        <v>4748</v>
      </c>
      <c r="BI8" t="s">
        <v>4749</v>
      </c>
      <c r="BJ8" t="s">
        <v>4750</v>
      </c>
      <c r="BK8" t="s">
        <v>4751</v>
      </c>
      <c r="BL8" t="s">
        <v>4752</v>
      </c>
      <c r="BM8" t="s">
        <v>4753</v>
      </c>
      <c r="BN8" t="s">
        <v>4754</v>
      </c>
      <c r="BO8" t="s">
        <v>4755</v>
      </c>
      <c r="BP8" t="s">
        <v>4756</v>
      </c>
      <c r="BR8" t="s">
        <v>274</v>
      </c>
    </row>
    <row r="9" spans="1:70" x14ac:dyDescent="0.3">
      <c r="A9" t="s">
        <v>621</v>
      </c>
      <c r="B9" t="s">
        <v>622</v>
      </c>
      <c r="C9" t="s">
        <v>4632</v>
      </c>
      <c r="D9" t="s">
        <v>4633</v>
      </c>
      <c r="F9" t="s">
        <v>4757</v>
      </c>
      <c r="G9" t="s">
        <v>4758</v>
      </c>
      <c r="H9" t="s">
        <v>4759</v>
      </c>
      <c r="I9" t="s">
        <v>4760</v>
      </c>
      <c r="J9" t="s">
        <v>4761</v>
      </c>
      <c r="K9" t="s">
        <v>4762</v>
      </c>
      <c r="L9" t="s">
        <v>4763</v>
      </c>
      <c r="M9" t="s">
        <v>4764</v>
      </c>
      <c r="N9" t="s">
        <v>4765</v>
      </c>
      <c r="O9" t="s">
        <v>4766</v>
      </c>
      <c r="P9" t="s">
        <v>4767</v>
      </c>
      <c r="Q9" t="s">
        <v>4768</v>
      </c>
      <c r="R9" t="s">
        <v>4769</v>
      </c>
      <c r="S9" t="s">
        <v>4770</v>
      </c>
      <c r="T9" t="s">
        <v>4771</v>
      </c>
      <c r="U9" t="s">
        <v>4772</v>
      </c>
      <c r="V9" t="s">
        <v>4773</v>
      </c>
      <c r="W9" t="s">
        <v>4774</v>
      </c>
      <c r="X9" t="s">
        <v>4775</v>
      </c>
      <c r="Y9" t="s">
        <v>4776</v>
      </c>
      <c r="Z9" t="s">
        <v>4777</v>
      </c>
      <c r="AA9" t="s">
        <v>4778</v>
      </c>
      <c r="AB9" t="s">
        <v>4779</v>
      </c>
      <c r="AC9" t="s">
        <v>4780</v>
      </c>
      <c r="AD9" t="s">
        <v>4781</v>
      </c>
      <c r="AE9" t="s">
        <v>4782</v>
      </c>
      <c r="AF9" t="s">
        <v>4783</v>
      </c>
      <c r="AG9" t="s">
        <v>4784</v>
      </c>
      <c r="AH9" t="s">
        <v>4785</v>
      </c>
      <c r="AI9" t="s">
        <v>4786</v>
      </c>
      <c r="AJ9" t="s">
        <v>4787</v>
      </c>
      <c r="AK9" t="s">
        <v>4788</v>
      </c>
      <c r="AL9" t="s">
        <v>4789</v>
      </c>
      <c r="AM9" t="s">
        <v>4790</v>
      </c>
      <c r="AN9" t="s">
        <v>4791</v>
      </c>
      <c r="AO9" t="s">
        <v>4792</v>
      </c>
      <c r="AP9" t="s">
        <v>4793</v>
      </c>
      <c r="AQ9" t="s">
        <v>4794</v>
      </c>
      <c r="AR9" t="s">
        <v>4795</v>
      </c>
      <c r="AS9" t="s">
        <v>4796</v>
      </c>
      <c r="AT9" t="s">
        <v>4797</v>
      </c>
      <c r="AU9" t="s">
        <v>4798</v>
      </c>
      <c r="AV9" t="s">
        <v>4799</v>
      </c>
      <c r="AW9" t="s">
        <v>4800</v>
      </c>
      <c r="AX9" t="s">
        <v>4801</v>
      </c>
      <c r="AY9" t="s">
        <v>4802</v>
      </c>
      <c r="AZ9" t="s">
        <v>4803</v>
      </c>
      <c r="BA9" t="s">
        <v>4804</v>
      </c>
      <c r="BB9" t="s">
        <v>4805</v>
      </c>
      <c r="BC9" t="s">
        <v>4806</v>
      </c>
      <c r="BD9" t="s">
        <v>4807</v>
      </c>
      <c r="BE9" t="s">
        <v>4808</v>
      </c>
      <c r="BF9" t="s">
        <v>4809</v>
      </c>
      <c r="BG9" t="s">
        <v>4810</v>
      </c>
      <c r="BH9" t="s">
        <v>4811</v>
      </c>
      <c r="BI9" t="s">
        <v>4812</v>
      </c>
      <c r="BJ9" t="s">
        <v>4813</v>
      </c>
      <c r="BK9" t="s">
        <v>4814</v>
      </c>
      <c r="BL9" t="s">
        <v>4815</v>
      </c>
      <c r="BM9" t="s">
        <v>4816</v>
      </c>
      <c r="BN9" t="s">
        <v>4817</v>
      </c>
      <c r="BO9" t="s">
        <v>4818</v>
      </c>
      <c r="BP9" t="s">
        <v>4819</v>
      </c>
      <c r="BR9" t="s">
        <v>274</v>
      </c>
    </row>
    <row r="10" spans="1:70" x14ac:dyDescent="0.3">
      <c r="A10" t="s">
        <v>41</v>
      </c>
      <c r="B10" t="s">
        <v>623</v>
      </c>
      <c r="C10" t="s">
        <v>4632</v>
      </c>
      <c r="D10" t="s">
        <v>4633</v>
      </c>
      <c r="F10" t="s">
        <v>274</v>
      </c>
      <c r="G10" t="s">
        <v>274</v>
      </c>
      <c r="H10" t="s">
        <v>274</v>
      </c>
      <c r="I10" t="s">
        <v>274</v>
      </c>
      <c r="J10" t="s">
        <v>274</v>
      </c>
      <c r="K10" t="s">
        <v>274</v>
      </c>
      <c r="L10" t="s">
        <v>274</v>
      </c>
      <c r="M10" t="s">
        <v>274</v>
      </c>
      <c r="N10" t="s">
        <v>274</v>
      </c>
      <c r="O10" t="s">
        <v>274</v>
      </c>
      <c r="P10" t="s">
        <v>274</v>
      </c>
      <c r="Q10" t="s">
        <v>274</v>
      </c>
      <c r="R10" t="s">
        <v>274</v>
      </c>
      <c r="S10" t="s">
        <v>274</v>
      </c>
      <c r="T10" t="s">
        <v>274</v>
      </c>
      <c r="U10" t="s">
        <v>274</v>
      </c>
      <c r="V10" t="s">
        <v>274</v>
      </c>
      <c r="W10" t="s">
        <v>274</v>
      </c>
      <c r="X10" t="s">
        <v>274</v>
      </c>
      <c r="Y10" t="s">
        <v>274</v>
      </c>
      <c r="Z10" t="s">
        <v>4820</v>
      </c>
      <c r="AA10" t="s">
        <v>3345</v>
      </c>
      <c r="AB10" t="s">
        <v>4821</v>
      </c>
      <c r="AC10" t="s">
        <v>4822</v>
      </c>
      <c r="AD10" t="s">
        <v>4823</v>
      </c>
      <c r="AE10" t="s">
        <v>4824</v>
      </c>
      <c r="AF10" t="s">
        <v>4825</v>
      </c>
      <c r="AG10" t="s">
        <v>4826</v>
      </c>
      <c r="AH10" t="s">
        <v>4827</v>
      </c>
      <c r="AI10" t="s">
        <v>4828</v>
      </c>
      <c r="AJ10" t="s">
        <v>4829</v>
      </c>
      <c r="AK10" t="s">
        <v>4830</v>
      </c>
      <c r="AL10" t="s">
        <v>4831</v>
      </c>
      <c r="AM10" t="s">
        <v>4832</v>
      </c>
      <c r="AN10" t="s">
        <v>4833</v>
      </c>
      <c r="AO10" t="s">
        <v>4834</v>
      </c>
      <c r="AP10" t="s">
        <v>4835</v>
      </c>
      <c r="AQ10" t="s">
        <v>4836</v>
      </c>
      <c r="AR10" t="s">
        <v>4837</v>
      </c>
      <c r="AS10" t="s">
        <v>4838</v>
      </c>
      <c r="AT10" t="s">
        <v>4839</v>
      </c>
      <c r="AU10" t="s">
        <v>4840</v>
      </c>
      <c r="AV10" t="s">
        <v>4841</v>
      </c>
      <c r="AW10" t="s">
        <v>4842</v>
      </c>
      <c r="AX10" t="s">
        <v>4843</v>
      </c>
      <c r="AY10" t="s">
        <v>4844</v>
      </c>
      <c r="AZ10" t="s">
        <v>4845</v>
      </c>
      <c r="BA10" t="s">
        <v>4846</v>
      </c>
      <c r="BB10" t="s">
        <v>4847</v>
      </c>
      <c r="BC10" t="s">
        <v>4848</v>
      </c>
      <c r="BD10" t="s">
        <v>4849</v>
      </c>
      <c r="BE10" t="s">
        <v>4850</v>
      </c>
      <c r="BF10" t="s">
        <v>4851</v>
      </c>
      <c r="BG10" t="s">
        <v>4852</v>
      </c>
      <c r="BH10" t="s">
        <v>4853</v>
      </c>
      <c r="BI10" t="s">
        <v>4854</v>
      </c>
      <c r="BJ10" t="s">
        <v>4855</v>
      </c>
      <c r="BK10" t="s">
        <v>4856</v>
      </c>
      <c r="BL10" t="s">
        <v>4857</v>
      </c>
      <c r="BM10" t="s">
        <v>4858</v>
      </c>
      <c r="BN10" t="s">
        <v>4859</v>
      </c>
      <c r="BO10" t="s">
        <v>4860</v>
      </c>
      <c r="BP10" t="s">
        <v>4861</v>
      </c>
      <c r="BR10" t="s">
        <v>274</v>
      </c>
    </row>
    <row r="11" spans="1:70" x14ac:dyDescent="0.3">
      <c r="A11" t="s">
        <v>42</v>
      </c>
      <c r="B11" t="s">
        <v>654</v>
      </c>
      <c r="C11" t="s">
        <v>4632</v>
      </c>
      <c r="D11" t="s">
        <v>4633</v>
      </c>
      <c r="F11" t="s">
        <v>274</v>
      </c>
      <c r="G11" t="s">
        <v>274</v>
      </c>
      <c r="H11" t="s">
        <v>274</v>
      </c>
      <c r="I11" t="s">
        <v>274</v>
      </c>
      <c r="J11" t="s">
        <v>274</v>
      </c>
      <c r="K11" t="s">
        <v>274</v>
      </c>
      <c r="L11" t="s">
        <v>274</v>
      </c>
      <c r="M11" t="s">
        <v>274</v>
      </c>
      <c r="N11" t="s">
        <v>274</v>
      </c>
      <c r="O11" t="s">
        <v>274</v>
      </c>
      <c r="P11" t="s">
        <v>274</v>
      </c>
      <c r="Q11" t="s">
        <v>274</v>
      </c>
      <c r="R11" t="s">
        <v>274</v>
      </c>
      <c r="S11" t="s">
        <v>274</v>
      </c>
      <c r="T11" t="s">
        <v>274</v>
      </c>
      <c r="U11" t="s">
        <v>274</v>
      </c>
      <c r="V11" t="s">
        <v>274</v>
      </c>
      <c r="W11" t="s">
        <v>274</v>
      </c>
      <c r="X11" t="s">
        <v>274</v>
      </c>
      <c r="Y11" t="s">
        <v>274</v>
      </c>
      <c r="Z11" t="s">
        <v>4862</v>
      </c>
      <c r="AA11" t="s">
        <v>4863</v>
      </c>
      <c r="AB11" t="s">
        <v>4864</v>
      </c>
      <c r="AC11" t="s">
        <v>4865</v>
      </c>
      <c r="AD11" t="s">
        <v>4866</v>
      </c>
      <c r="AE11" t="s">
        <v>4867</v>
      </c>
      <c r="AF11" t="s">
        <v>4868</v>
      </c>
      <c r="AG11" t="s">
        <v>4869</v>
      </c>
      <c r="AH11" t="s">
        <v>4870</v>
      </c>
      <c r="AI11" t="s">
        <v>4871</v>
      </c>
      <c r="AJ11" t="s">
        <v>4872</v>
      </c>
      <c r="AK11" t="s">
        <v>4873</v>
      </c>
      <c r="AL11" t="s">
        <v>4874</v>
      </c>
      <c r="AM11" t="s">
        <v>4875</v>
      </c>
      <c r="AN11" t="s">
        <v>4876</v>
      </c>
      <c r="AO11" t="s">
        <v>4877</v>
      </c>
      <c r="AP11" t="s">
        <v>4878</v>
      </c>
      <c r="AQ11" t="s">
        <v>4879</v>
      </c>
      <c r="AR11" t="s">
        <v>4880</v>
      </c>
      <c r="AS11" t="s">
        <v>4881</v>
      </c>
      <c r="AT11" t="s">
        <v>4882</v>
      </c>
      <c r="AU11" t="s">
        <v>4883</v>
      </c>
      <c r="AV11" t="s">
        <v>4884</v>
      </c>
      <c r="AW11" t="s">
        <v>4885</v>
      </c>
      <c r="AX11" t="s">
        <v>4886</v>
      </c>
      <c r="AY11" t="s">
        <v>4887</v>
      </c>
      <c r="AZ11" t="s">
        <v>4888</v>
      </c>
      <c r="BA11" t="s">
        <v>4889</v>
      </c>
      <c r="BB11" t="s">
        <v>4890</v>
      </c>
      <c r="BC11" t="s">
        <v>4891</v>
      </c>
      <c r="BD11" t="s">
        <v>4892</v>
      </c>
      <c r="BE11" t="s">
        <v>4893</v>
      </c>
      <c r="BF11" t="s">
        <v>4894</v>
      </c>
      <c r="BG11" t="s">
        <v>4895</v>
      </c>
      <c r="BH11" t="s">
        <v>4896</v>
      </c>
      <c r="BI11" t="s">
        <v>4897</v>
      </c>
      <c r="BJ11" t="s">
        <v>4898</v>
      </c>
      <c r="BK11" t="s">
        <v>4899</v>
      </c>
      <c r="BL11" t="s">
        <v>4900</v>
      </c>
      <c r="BM11" t="s">
        <v>4901</v>
      </c>
      <c r="BN11" t="s">
        <v>4902</v>
      </c>
      <c r="BO11" t="s">
        <v>4903</v>
      </c>
      <c r="BP11" t="s">
        <v>4904</v>
      </c>
      <c r="BR11" t="s">
        <v>274</v>
      </c>
    </row>
    <row r="12" spans="1:70" x14ac:dyDescent="0.3">
      <c r="A12" t="s">
        <v>191</v>
      </c>
      <c r="B12" t="s">
        <v>688</v>
      </c>
      <c r="C12" t="s">
        <v>4632</v>
      </c>
      <c r="D12" t="s">
        <v>4633</v>
      </c>
      <c r="F12" t="s">
        <v>274</v>
      </c>
      <c r="G12" t="s">
        <v>274</v>
      </c>
      <c r="H12" t="s">
        <v>274</v>
      </c>
      <c r="I12" t="s">
        <v>274</v>
      </c>
      <c r="J12" t="s">
        <v>274</v>
      </c>
      <c r="K12" t="s">
        <v>274</v>
      </c>
      <c r="L12" t="s">
        <v>274</v>
      </c>
      <c r="M12" t="s">
        <v>274</v>
      </c>
      <c r="N12" t="s">
        <v>274</v>
      </c>
      <c r="O12" t="s">
        <v>274</v>
      </c>
      <c r="P12" t="s">
        <v>4905</v>
      </c>
      <c r="Q12" t="s">
        <v>4906</v>
      </c>
      <c r="R12" t="s">
        <v>4907</v>
      </c>
      <c r="S12" t="s">
        <v>4908</v>
      </c>
      <c r="T12" t="s">
        <v>4909</v>
      </c>
      <c r="U12" t="s">
        <v>4910</v>
      </c>
      <c r="V12" t="s">
        <v>4911</v>
      </c>
      <c r="W12" t="s">
        <v>4912</v>
      </c>
      <c r="X12" t="s">
        <v>4913</v>
      </c>
      <c r="Y12" t="s">
        <v>4914</v>
      </c>
      <c r="Z12" t="s">
        <v>4915</v>
      </c>
      <c r="AA12" t="s">
        <v>4916</v>
      </c>
      <c r="AB12" t="s">
        <v>4917</v>
      </c>
      <c r="AC12" t="s">
        <v>4918</v>
      </c>
      <c r="AD12" t="s">
        <v>4919</v>
      </c>
      <c r="AE12" t="s">
        <v>4920</v>
      </c>
      <c r="AF12" t="s">
        <v>4921</v>
      </c>
      <c r="AG12" t="s">
        <v>4922</v>
      </c>
      <c r="AH12" t="s">
        <v>4923</v>
      </c>
      <c r="AI12" t="s">
        <v>4924</v>
      </c>
      <c r="AJ12" t="s">
        <v>4925</v>
      </c>
      <c r="AK12" t="s">
        <v>4926</v>
      </c>
      <c r="AL12" t="s">
        <v>4927</v>
      </c>
      <c r="AM12" t="s">
        <v>4928</v>
      </c>
      <c r="AN12" t="s">
        <v>4929</v>
      </c>
      <c r="AO12" t="s">
        <v>4930</v>
      </c>
      <c r="AP12" t="s">
        <v>4931</v>
      </c>
      <c r="AQ12" t="s">
        <v>4932</v>
      </c>
      <c r="AR12" t="s">
        <v>4933</v>
      </c>
      <c r="AS12" t="s">
        <v>4934</v>
      </c>
      <c r="AT12" t="s">
        <v>4935</v>
      </c>
      <c r="AU12" t="s">
        <v>4936</v>
      </c>
      <c r="AV12" t="s">
        <v>4937</v>
      </c>
      <c r="AW12" t="s">
        <v>4938</v>
      </c>
      <c r="AX12" t="s">
        <v>4939</v>
      </c>
      <c r="AY12" t="s">
        <v>4940</v>
      </c>
      <c r="AZ12" t="s">
        <v>4941</v>
      </c>
      <c r="BA12" t="s">
        <v>4942</v>
      </c>
      <c r="BB12" t="s">
        <v>4943</v>
      </c>
      <c r="BC12" t="s">
        <v>4944</v>
      </c>
      <c r="BD12" t="s">
        <v>4945</v>
      </c>
      <c r="BE12" t="s">
        <v>4946</v>
      </c>
      <c r="BF12" t="s">
        <v>4947</v>
      </c>
      <c r="BG12" t="s">
        <v>4948</v>
      </c>
      <c r="BH12" t="s">
        <v>4949</v>
      </c>
      <c r="BI12" t="s">
        <v>4950</v>
      </c>
      <c r="BJ12" t="s">
        <v>4951</v>
      </c>
      <c r="BK12" t="s">
        <v>4952</v>
      </c>
      <c r="BL12" t="s">
        <v>4953</v>
      </c>
      <c r="BM12" t="s">
        <v>4954</v>
      </c>
      <c r="BN12" t="s">
        <v>4955</v>
      </c>
      <c r="BO12" t="s">
        <v>4956</v>
      </c>
      <c r="BP12" t="s">
        <v>4957</v>
      </c>
      <c r="BR12" t="s">
        <v>274</v>
      </c>
    </row>
    <row r="13" spans="1:70" x14ac:dyDescent="0.3">
      <c r="A13" t="s">
        <v>689</v>
      </c>
      <c r="B13" t="s">
        <v>690</v>
      </c>
      <c r="C13" t="s">
        <v>4632</v>
      </c>
      <c r="D13" t="s">
        <v>4633</v>
      </c>
      <c r="F13" t="s">
        <v>274</v>
      </c>
      <c r="G13" t="s">
        <v>4958</v>
      </c>
      <c r="H13" t="s">
        <v>4959</v>
      </c>
      <c r="I13" t="s">
        <v>4960</v>
      </c>
      <c r="J13" t="s">
        <v>4961</v>
      </c>
      <c r="K13" t="s">
        <v>4962</v>
      </c>
      <c r="L13" t="s">
        <v>4963</v>
      </c>
      <c r="M13" t="s">
        <v>4964</v>
      </c>
      <c r="N13" t="s">
        <v>4965</v>
      </c>
      <c r="O13" t="s">
        <v>4966</v>
      </c>
      <c r="P13" t="s">
        <v>4967</v>
      </c>
      <c r="Q13" t="s">
        <v>4968</v>
      </c>
      <c r="R13" t="s">
        <v>4969</v>
      </c>
      <c r="S13" t="s">
        <v>4970</v>
      </c>
      <c r="T13" t="s">
        <v>4971</v>
      </c>
      <c r="U13" t="s">
        <v>4972</v>
      </c>
      <c r="V13" t="s">
        <v>4973</v>
      </c>
      <c r="W13" t="s">
        <v>4974</v>
      </c>
      <c r="X13" t="s">
        <v>4975</v>
      </c>
      <c r="Y13" t="s">
        <v>4976</v>
      </c>
      <c r="Z13" t="s">
        <v>4977</v>
      </c>
      <c r="AA13" t="s">
        <v>4978</v>
      </c>
      <c r="AB13" t="s">
        <v>4979</v>
      </c>
      <c r="AC13" t="s">
        <v>4980</v>
      </c>
      <c r="AD13" t="s">
        <v>4981</v>
      </c>
      <c r="AE13" t="s">
        <v>4982</v>
      </c>
      <c r="AF13" t="s">
        <v>4983</v>
      </c>
      <c r="AG13" t="s">
        <v>4984</v>
      </c>
      <c r="AH13" t="s">
        <v>4985</v>
      </c>
      <c r="AI13" t="s">
        <v>4986</v>
      </c>
      <c r="AJ13" t="s">
        <v>4987</v>
      </c>
      <c r="AK13" t="s">
        <v>4988</v>
      </c>
      <c r="AL13" t="s">
        <v>4989</v>
      </c>
      <c r="AM13" t="s">
        <v>4990</v>
      </c>
      <c r="AN13" t="s">
        <v>4991</v>
      </c>
      <c r="AO13" t="s">
        <v>4992</v>
      </c>
      <c r="AP13" t="s">
        <v>4993</v>
      </c>
      <c r="AQ13" t="s">
        <v>4994</v>
      </c>
      <c r="AR13" t="s">
        <v>4995</v>
      </c>
      <c r="AS13" t="s">
        <v>4996</v>
      </c>
      <c r="AT13" t="s">
        <v>4997</v>
      </c>
      <c r="AU13" t="s">
        <v>4998</v>
      </c>
      <c r="AV13" t="s">
        <v>4999</v>
      </c>
      <c r="AW13" t="s">
        <v>5000</v>
      </c>
      <c r="AX13" t="s">
        <v>5001</v>
      </c>
      <c r="AY13" t="s">
        <v>5002</v>
      </c>
      <c r="AZ13" t="s">
        <v>5003</v>
      </c>
      <c r="BA13" t="s">
        <v>5004</v>
      </c>
      <c r="BB13" t="s">
        <v>5005</v>
      </c>
      <c r="BC13" t="s">
        <v>5006</v>
      </c>
      <c r="BD13" t="s">
        <v>5007</v>
      </c>
      <c r="BE13" t="s">
        <v>5008</v>
      </c>
      <c r="BF13" t="s">
        <v>5009</v>
      </c>
      <c r="BG13" t="s">
        <v>5010</v>
      </c>
      <c r="BH13" t="s">
        <v>5011</v>
      </c>
      <c r="BI13" t="s">
        <v>5012</v>
      </c>
      <c r="BJ13" t="s">
        <v>5013</v>
      </c>
      <c r="BK13" t="s">
        <v>5014</v>
      </c>
      <c r="BL13" t="s">
        <v>5015</v>
      </c>
      <c r="BM13" t="s">
        <v>5016</v>
      </c>
      <c r="BN13" t="s">
        <v>5017</v>
      </c>
      <c r="BO13" t="s">
        <v>5018</v>
      </c>
      <c r="BP13" t="s">
        <v>5019</v>
      </c>
      <c r="BR13" t="s">
        <v>274</v>
      </c>
    </row>
    <row r="14" spans="1:70" x14ac:dyDescent="0.3">
      <c r="A14" t="s">
        <v>43</v>
      </c>
      <c r="B14" t="s">
        <v>691</v>
      </c>
      <c r="C14" t="s">
        <v>4632</v>
      </c>
      <c r="D14" t="s">
        <v>4633</v>
      </c>
      <c r="F14" t="s">
        <v>274</v>
      </c>
      <c r="G14" t="s">
        <v>274</v>
      </c>
      <c r="H14" t="s">
        <v>274</v>
      </c>
      <c r="I14" t="s">
        <v>274</v>
      </c>
      <c r="J14" t="s">
        <v>274</v>
      </c>
      <c r="K14" t="s">
        <v>274</v>
      </c>
      <c r="L14" t="s">
        <v>274</v>
      </c>
      <c r="M14" t="s">
        <v>274</v>
      </c>
      <c r="N14" t="s">
        <v>274</v>
      </c>
      <c r="O14" t="s">
        <v>274</v>
      </c>
      <c r="P14" t="s">
        <v>5020</v>
      </c>
      <c r="Q14" t="s">
        <v>5021</v>
      </c>
      <c r="R14" t="s">
        <v>5022</v>
      </c>
      <c r="S14" t="s">
        <v>5023</v>
      </c>
      <c r="T14" t="s">
        <v>5024</v>
      </c>
      <c r="U14" t="s">
        <v>5025</v>
      </c>
      <c r="V14" t="s">
        <v>5026</v>
      </c>
      <c r="W14" t="s">
        <v>5027</v>
      </c>
      <c r="X14" t="s">
        <v>5028</v>
      </c>
      <c r="Y14" t="s">
        <v>5029</v>
      </c>
      <c r="Z14" t="s">
        <v>5030</v>
      </c>
      <c r="AA14" t="s">
        <v>5031</v>
      </c>
      <c r="AB14" t="s">
        <v>5032</v>
      </c>
      <c r="AC14" t="s">
        <v>5033</v>
      </c>
      <c r="AD14" t="s">
        <v>5034</v>
      </c>
      <c r="AE14" t="s">
        <v>5035</v>
      </c>
      <c r="AF14" t="s">
        <v>5036</v>
      </c>
      <c r="AG14" t="s">
        <v>5037</v>
      </c>
      <c r="AH14" t="s">
        <v>5038</v>
      </c>
      <c r="AI14" t="s">
        <v>5039</v>
      </c>
      <c r="AJ14" t="s">
        <v>5040</v>
      </c>
      <c r="AK14" t="s">
        <v>5041</v>
      </c>
      <c r="AL14" t="s">
        <v>5042</v>
      </c>
      <c r="AM14" t="s">
        <v>5043</v>
      </c>
      <c r="AN14" t="s">
        <v>5044</v>
      </c>
      <c r="AO14" t="s">
        <v>5045</v>
      </c>
      <c r="AP14" t="s">
        <v>5046</v>
      </c>
      <c r="AQ14" t="s">
        <v>5047</v>
      </c>
      <c r="AR14" t="s">
        <v>4995</v>
      </c>
      <c r="AS14" t="s">
        <v>4996</v>
      </c>
      <c r="AT14" t="s">
        <v>5048</v>
      </c>
      <c r="AU14" t="s">
        <v>4998</v>
      </c>
      <c r="AV14" t="s">
        <v>5049</v>
      </c>
      <c r="AW14" t="s">
        <v>5050</v>
      </c>
      <c r="AX14" t="s">
        <v>5051</v>
      </c>
      <c r="AY14" t="s">
        <v>5052</v>
      </c>
      <c r="AZ14" t="s">
        <v>5053</v>
      </c>
      <c r="BA14" t="s">
        <v>5054</v>
      </c>
      <c r="BB14" t="s">
        <v>5055</v>
      </c>
      <c r="BC14" t="s">
        <v>5056</v>
      </c>
      <c r="BD14" t="s">
        <v>5007</v>
      </c>
      <c r="BE14" t="s">
        <v>5008</v>
      </c>
      <c r="BF14" t="s">
        <v>5057</v>
      </c>
      <c r="BG14" t="s">
        <v>5058</v>
      </c>
      <c r="BH14" t="s">
        <v>5059</v>
      </c>
      <c r="BI14" t="s">
        <v>5060</v>
      </c>
      <c r="BJ14" t="s">
        <v>5061</v>
      </c>
      <c r="BK14" t="s">
        <v>5062</v>
      </c>
      <c r="BL14" t="s">
        <v>5063</v>
      </c>
      <c r="BM14" t="s">
        <v>5064</v>
      </c>
      <c r="BN14" t="s">
        <v>5065</v>
      </c>
      <c r="BO14" t="s">
        <v>5066</v>
      </c>
      <c r="BP14" t="s">
        <v>5067</v>
      </c>
      <c r="BR14" t="s">
        <v>274</v>
      </c>
    </row>
    <row r="15" spans="1:70" x14ac:dyDescent="0.3">
      <c r="A15" t="s">
        <v>44</v>
      </c>
      <c r="B15" t="s">
        <v>692</v>
      </c>
      <c r="C15" t="s">
        <v>4632</v>
      </c>
      <c r="D15" t="s">
        <v>4633</v>
      </c>
      <c r="F15" t="s">
        <v>5068</v>
      </c>
      <c r="G15" t="s">
        <v>5069</v>
      </c>
      <c r="H15" t="s">
        <v>5070</v>
      </c>
      <c r="I15" t="s">
        <v>5071</v>
      </c>
      <c r="J15" t="s">
        <v>5072</v>
      </c>
      <c r="K15" t="s">
        <v>5073</v>
      </c>
      <c r="L15" t="s">
        <v>5074</v>
      </c>
      <c r="M15" t="s">
        <v>5075</v>
      </c>
      <c r="N15" t="s">
        <v>5076</v>
      </c>
      <c r="O15" t="s">
        <v>5077</v>
      </c>
      <c r="P15" t="s">
        <v>5078</v>
      </c>
      <c r="Q15" t="s">
        <v>5079</v>
      </c>
      <c r="R15" t="s">
        <v>5080</v>
      </c>
      <c r="S15" t="s">
        <v>5081</v>
      </c>
      <c r="T15" t="s">
        <v>5082</v>
      </c>
      <c r="U15" t="s">
        <v>5083</v>
      </c>
      <c r="V15" t="s">
        <v>5084</v>
      </c>
      <c r="W15" t="s">
        <v>5085</v>
      </c>
      <c r="X15" t="s">
        <v>5086</v>
      </c>
      <c r="Y15" t="s">
        <v>5087</v>
      </c>
      <c r="Z15" t="s">
        <v>5088</v>
      </c>
      <c r="AA15" t="s">
        <v>5089</v>
      </c>
      <c r="AB15" t="s">
        <v>5090</v>
      </c>
      <c r="AC15" t="s">
        <v>5091</v>
      </c>
      <c r="AD15" t="s">
        <v>5092</v>
      </c>
      <c r="AE15" t="s">
        <v>5093</v>
      </c>
      <c r="AF15" t="s">
        <v>5094</v>
      </c>
      <c r="AG15" t="s">
        <v>5095</v>
      </c>
      <c r="AH15" t="s">
        <v>5096</v>
      </c>
      <c r="AI15" t="s">
        <v>5097</v>
      </c>
      <c r="AJ15" t="s">
        <v>5098</v>
      </c>
      <c r="AK15" t="s">
        <v>5099</v>
      </c>
      <c r="AL15" t="s">
        <v>5100</v>
      </c>
      <c r="AM15" t="s">
        <v>5101</v>
      </c>
      <c r="AN15" t="s">
        <v>5102</v>
      </c>
      <c r="AO15" t="s">
        <v>5103</v>
      </c>
      <c r="AP15" t="s">
        <v>5104</v>
      </c>
      <c r="AQ15" t="s">
        <v>5105</v>
      </c>
      <c r="AR15" t="s">
        <v>5106</v>
      </c>
      <c r="AS15" t="s">
        <v>5107</v>
      </c>
      <c r="AT15" t="s">
        <v>5108</v>
      </c>
      <c r="AU15" t="s">
        <v>5109</v>
      </c>
      <c r="AV15" t="s">
        <v>5110</v>
      </c>
      <c r="AW15" t="s">
        <v>5111</v>
      </c>
      <c r="AX15" t="s">
        <v>5112</v>
      </c>
      <c r="AY15" t="s">
        <v>5113</v>
      </c>
      <c r="AZ15" t="s">
        <v>5114</v>
      </c>
      <c r="BA15" t="s">
        <v>5115</v>
      </c>
      <c r="BB15" t="s">
        <v>5116</v>
      </c>
      <c r="BC15" t="s">
        <v>5117</v>
      </c>
      <c r="BD15" t="s">
        <v>5118</v>
      </c>
      <c r="BE15" t="s">
        <v>5119</v>
      </c>
      <c r="BF15" t="s">
        <v>5120</v>
      </c>
      <c r="BG15" t="s">
        <v>5121</v>
      </c>
      <c r="BH15" t="s">
        <v>5122</v>
      </c>
      <c r="BI15" t="s">
        <v>5123</v>
      </c>
      <c r="BJ15" t="s">
        <v>5124</v>
      </c>
      <c r="BK15" t="s">
        <v>5125</v>
      </c>
      <c r="BL15" t="s">
        <v>5126</v>
      </c>
      <c r="BM15" t="s">
        <v>5127</v>
      </c>
      <c r="BN15" t="s">
        <v>5128</v>
      </c>
      <c r="BO15" t="s">
        <v>5129</v>
      </c>
      <c r="BP15" t="s">
        <v>5130</v>
      </c>
      <c r="BR15" t="s">
        <v>274</v>
      </c>
    </row>
    <row r="16" spans="1:70" x14ac:dyDescent="0.3">
      <c r="A16" t="s">
        <v>193</v>
      </c>
      <c r="B16" t="s">
        <v>708</v>
      </c>
      <c r="C16" t="s">
        <v>4632</v>
      </c>
      <c r="D16" t="s">
        <v>4633</v>
      </c>
      <c r="F16" t="s">
        <v>274</v>
      </c>
      <c r="G16" t="s">
        <v>274</v>
      </c>
      <c r="H16" t="s">
        <v>274</v>
      </c>
      <c r="I16" t="s">
        <v>274</v>
      </c>
      <c r="J16" t="s">
        <v>274</v>
      </c>
      <c r="K16" t="s">
        <v>274</v>
      </c>
      <c r="L16" t="s">
        <v>274</v>
      </c>
      <c r="M16" t="s">
        <v>274</v>
      </c>
      <c r="N16" t="s">
        <v>274</v>
      </c>
      <c r="O16" t="s">
        <v>274</v>
      </c>
      <c r="P16" t="s">
        <v>274</v>
      </c>
      <c r="Q16" t="s">
        <v>274</v>
      </c>
      <c r="R16" t="s">
        <v>274</v>
      </c>
      <c r="S16" t="s">
        <v>274</v>
      </c>
      <c r="T16" t="s">
        <v>274</v>
      </c>
      <c r="U16" t="s">
        <v>274</v>
      </c>
      <c r="V16" t="s">
        <v>274</v>
      </c>
      <c r="W16" t="s">
        <v>274</v>
      </c>
      <c r="X16" t="s">
        <v>274</v>
      </c>
      <c r="Y16" t="s">
        <v>274</v>
      </c>
      <c r="Z16" t="s">
        <v>274</v>
      </c>
      <c r="AA16" t="s">
        <v>274</v>
      </c>
      <c r="AB16" t="s">
        <v>274</v>
      </c>
      <c r="AC16" t="s">
        <v>274</v>
      </c>
      <c r="AD16" t="s">
        <v>274</v>
      </c>
      <c r="AE16" t="s">
        <v>274</v>
      </c>
      <c r="AF16" t="s">
        <v>274</v>
      </c>
      <c r="AG16" t="s">
        <v>274</v>
      </c>
      <c r="AH16" t="s">
        <v>274</v>
      </c>
      <c r="AI16" t="s">
        <v>274</v>
      </c>
      <c r="AJ16" t="s">
        <v>5131</v>
      </c>
      <c r="AK16" t="s">
        <v>5132</v>
      </c>
      <c r="AL16" t="s">
        <v>5133</v>
      </c>
      <c r="AM16" t="s">
        <v>5134</v>
      </c>
      <c r="AN16" t="s">
        <v>5135</v>
      </c>
      <c r="AO16" t="s">
        <v>5136</v>
      </c>
      <c r="AP16" t="s">
        <v>5137</v>
      </c>
      <c r="AQ16" t="s">
        <v>5138</v>
      </c>
      <c r="AR16" t="s">
        <v>5139</v>
      </c>
      <c r="AS16" t="s">
        <v>5140</v>
      </c>
      <c r="AT16" t="s">
        <v>5141</v>
      </c>
      <c r="AU16" t="s">
        <v>5142</v>
      </c>
      <c r="AV16" t="s">
        <v>5143</v>
      </c>
      <c r="AW16" t="s">
        <v>5144</v>
      </c>
      <c r="AX16" t="s">
        <v>5145</v>
      </c>
      <c r="AY16" t="s">
        <v>5146</v>
      </c>
      <c r="AZ16" t="s">
        <v>5147</v>
      </c>
      <c r="BA16" t="s">
        <v>5148</v>
      </c>
      <c r="BB16" t="s">
        <v>5149</v>
      </c>
      <c r="BC16" t="s">
        <v>5150</v>
      </c>
      <c r="BD16" t="s">
        <v>5151</v>
      </c>
      <c r="BE16" t="s">
        <v>5152</v>
      </c>
      <c r="BF16" t="s">
        <v>5153</v>
      </c>
      <c r="BG16" t="s">
        <v>5154</v>
      </c>
      <c r="BH16" t="s">
        <v>5155</v>
      </c>
      <c r="BI16" t="s">
        <v>5156</v>
      </c>
      <c r="BJ16" t="s">
        <v>5157</v>
      </c>
      <c r="BK16" t="s">
        <v>5158</v>
      </c>
      <c r="BL16" t="s">
        <v>5159</v>
      </c>
      <c r="BM16" t="s">
        <v>5160</v>
      </c>
      <c r="BN16" t="s">
        <v>5161</v>
      </c>
      <c r="BO16" t="s">
        <v>5162</v>
      </c>
      <c r="BP16" t="s">
        <v>5163</v>
      </c>
      <c r="BR16" t="s">
        <v>274</v>
      </c>
    </row>
    <row r="17" spans="1:70" x14ac:dyDescent="0.3">
      <c r="A17" t="s">
        <v>739</v>
      </c>
      <c r="B17" t="s">
        <v>740</v>
      </c>
      <c r="C17" t="s">
        <v>4632</v>
      </c>
      <c r="D17" t="s">
        <v>4633</v>
      </c>
      <c r="F17" t="s">
        <v>274</v>
      </c>
      <c r="G17" t="s">
        <v>274</v>
      </c>
      <c r="H17" t="s">
        <v>274</v>
      </c>
      <c r="I17" t="s">
        <v>274</v>
      </c>
      <c r="J17" t="s">
        <v>274</v>
      </c>
      <c r="K17" t="s">
        <v>274</v>
      </c>
      <c r="L17" t="s">
        <v>274</v>
      </c>
      <c r="M17" t="s">
        <v>274</v>
      </c>
      <c r="N17" t="s">
        <v>274</v>
      </c>
      <c r="O17" t="s">
        <v>274</v>
      </c>
      <c r="P17" t="s">
        <v>274</v>
      </c>
      <c r="Q17" t="s">
        <v>274</v>
      </c>
      <c r="R17" t="s">
        <v>274</v>
      </c>
      <c r="S17" t="s">
        <v>274</v>
      </c>
      <c r="T17" t="s">
        <v>274</v>
      </c>
      <c r="U17" t="s">
        <v>274</v>
      </c>
      <c r="V17" t="s">
        <v>274</v>
      </c>
      <c r="W17" t="s">
        <v>274</v>
      </c>
      <c r="X17" t="s">
        <v>274</v>
      </c>
      <c r="Y17" t="s">
        <v>274</v>
      </c>
      <c r="Z17" t="s">
        <v>274</v>
      </c>
      <c r="AA17" t="s">
        <v>274</v>
      </c>
      <c r="AB17" t="s">
        <v>274</v>
      </c>
      <c r="AC17" t="s">
        <v>274</v>
      </c>
      <c r="AD17" t="s">
        <v>274</v>
      </c>
      <c r="AE17" t="s">
        <v>274</v>
      </c>
      <c r="AF17" t="s">
        <v>274</v>
      </c>
      <c r="AG17" t="s">
        <v>274</v>
      </c>
      <c r="AH17" t="s">
        <v>274</v>
      </c>
      <c r="AI17" t="s">
        <v>274</v>
      </c>
      <c r="AJ17" t="s">
        <v>274</v>
      </c>
      <c r="AK17" t="s">
        <v>274</v>
      </c>
      <c r="AL17" t="s">
        <v>274</v>
      </c>
      <c r="AM17" t="s">
        <v>274</v>
      </c>
      <c r="AN17" t="s">
        <v>274</v>
      </c>
      <c r="AO17" t="s">
        <v>274</v>
      </c>
      <c r="AP17" t="s">
        <v>274</v>
      </c>
      <c r="AQ17" t="s">
        <v>274</v>
      </c>
      <c r="AR17" t="s">
        <v>274</v>
      </c>
      <c r="AS17" t="s">
        <v>274</v>
      </c>
      <c r="AT17" t="s">
        <v>274</v>
      </c>
      <c r="AU17" t="s">
        <v>274</v>
      </c>
      <c r="AV17" t="s">
        <v>5164</v>
      </c>
      <c r="AW17" t="s">
        <v>5165</v>
      </c>
      <c r="AX17" t="s">
        <v>5166</v>
      </c>
      <c r="AY17" t="s">
        <v>5167</v>
      </c>
      <c r="AZ17" t="s">
        <v>5168</v>
      </c>
      <c r="BA17" t="s">
        <v>5169</v>
      </c>
      <c r="BB17" t="s">
        <v>5170</v>
      </c>
      <c r="BC17" t="s">
        <v>5171</v>
      </c>
      <c r="BD17" t="s">
        <v>5172</v>
      </c>
      <c r="BE17" t="s">
        <v>5173</v>
      </c>
      <c r="BF17" t="s">
        <v>5174</v>
      </c>
      <c r="BG17" t="s">
        <v>5175</v>
      </c>
      <c r="BH17" t="s">
        <v>5176</v>
      </c>
      <c r="BI17" t="s">
        <v>5177</v>
      </c>
      <c r="BJ17" t="s">
        <v>5178</v>
      </c>
      <c r="BK17" t="s">
        <v>5179</v>
      </c>
      <c r="BL17" t="s">
        <v>5180</v>
      </c>
      <c r="BM17" t="s">
        <v>5181</v>
      </c>
      <c r="BN17" t="s">
        <v>5182</v>
      </c>
      <c r="BO17" t="s">
        <v>5183</v>
      </c>
      <c r="BP17" t="s">
        <v>274</v>
      </c>
      <c r="BR17" t="s">
        <v>274</v>
      </c>
    </row>
    <row r="18" spans="1:70" x14ac:dyDescent="0.3">
      <c r="A18" t="s">
        <v>45</v>
      </c>
      <c r="B18" t="s">
        <v>741</v>
      </c>
      <c r="C18" t="s">
        <v>4632</v>
      </c>
      <c r="D18" t="s">
        <v>4633</v>
      </c>
      <c r="F18" t="s">
        <v>274</v>
      </c>
      <c r="G18" t="s">
        <v>274</v>
      </c>
      <c r="H18" t="s">
        <v>274</v>
      </c>
      <c r="I18" t="s">
        <v>274</v>
      </c>
      <c r="J18" t="s">
        <v>274</v>
      </c>
      <c r="K18" t="s">
        <v>274</v>
      </c>
      <c r="L18" t="s">
        <v>274</v>
      </c>
      <c r="M18" t="s">
        <v>274</v>
      </c>
      <c r="N18" t="s">
        <v>274</v>
      </c>
      <c r="O18" t="s">
        <v>274</v>
      </c>
      <c r="P18" t="s">
        <v>274</v>
      </c>
      <c r="Q18" t="s">
        <v>274</v>
      </c>
      <c r="R18" t="s">
        <v>274</v>
      </c>
      <c r="S18" t="s">
        <v>274</v>
      </c>
      <c r="T18" t="s">
        <v>274</v>
      </c>
      <c r="U18" t="s">
        <v>274</v>
      </c>
      <c r="V18" t="s">
        <v>274</v>
      </c>
      <c r="W18" t="s">
        <v>5184</v>
      </c>
      <c r="X18" t="s">
        <v>5185</v>
      </c>
      <c r="Y18" t="s">
        <v>5186</v>
      </c>
      <c r="Z18" t="s">
        <v>5187</v>
      </c>
      <c r="AA18" t="s">
        <v>5188</v>
      </c>
      <c r="AB18" t="s">
        <v>5189</v>
      </c>
      <c r="AC18" t="s">
        <v>5190</v>
      </c>
      <c r="AD18" t="s">
        <v>5191</v>
      </c>
      <c r="AE18" t="s">
        <v>5192</v>
      </c>
      <c r="AF18" t="s">
        <v>5193</v>
      </c>
      <c r="AG18" t="s">
        <v>5194</v>
      </c>
      <c r="AH18" t="s">
        <v>5195</v>
      </c>
      <c r="AI18" t="s">
        <v>5196</v>
      </c>
      <c r="AJ18" t="s">
        <v>5197</v>
      </c>
      <c r="AK18" t="s">
        <v>5198</v>
      </c>
      <c r="AL18" t="s">
        <v>5199</v>
      </c>
      <c r="AM18" t="s">
        <v>5200</v>
      </c>
      <c r="AN18" t="s">
        <v>5201</v>
      </c>
      <c r="AO18" t="s">
        <v>5202</v>
      </c>
      <c r="AP18" t="s">
        <v>5203</v>
      </c>
      <c r="AQ18" t="s">
        <v>5204</v>
      </c>
      <c r="AR18" t="s">
        <v>5205</v>
      </c>
      <c r="AS18" t="s">
        <v>5206</v>
      </c>
      <c r="AT18" t="s">
        <v>5207</v>
      </c>
      <c r="AU18" t="s">
        <v>5208</v>
      </c>
      <c r="AV18" t="s">
        <v>5209</v>
      </c>
      <c r="AW18" t="s">
        <v>5210</v>
      </c>
      <c r="AX18" t="s">
        <v>5211</v>
      </c>
      <c r="AY18" t="s">
        <v>5212</v>
      </c>
      <c r="AZ18" t="s">
        <v>5213</v>
      </c>
      <c r="BA18" t="s">
        <v>5214</v>
      </c>
      <c r="BB18" t="s">
        <v>5215</v>
      </c>
      <c r="BC18" t="s">
        <v>5216</v>
      </c>
      <c r="BD18" t="s">
        <v>5217</v>
      </c>
      <c r="BE18" t="s">
        <v>5218</v>
      </c>
      <c r="BF18" t="s">
        <v>5219</v>
      </c>
      <c r="BG18" t="s">
        <v>5220</v>
      </c>
      <c r="BH18" t="s">
        <v>5221</v>
      </c>
      <c r="BI18" t="s">
        <v>5222</v>
      </c>
      <c r="BJ18" t="s">
        <v>5223</v>
      </c>
      <c r="BK18" t="s">
        <v>5224</v>
      </c>
      <c r="BL18" t="s">
        <v>5225</v>
      </c>
      <c r="BM18" t="s">
        <v>5226</v>
      </c>
      <c r="BN18" t="s">
        <v>5227</v>
      </c>
      <c r="BO18" t="s">
        <v>5228</v>
      </c>
      <c r="BP18" t="s">
        <v>5229</v>
      </c>
      <c r="BR18" t="s">
        <v>274</v>
      </c>
    </row>
    <row r="19" spans="1:70" x14ac:dyDescent="0.3">
      <c r="A19" t="s">
        <v>46</v>
      </c>
      <c r="B19" t="s">
        <v>783</v>
      </c>
      <c r="C19" t="s">
        <v>4632</v>
      </c>
      <c r="D19" t="s">
        <v>4633</v>
      </c>
      <c r="F19" t="s">
        <v>5230</v>
      </c>
      <c r="G19" t="s">
        <v>5231</v>
      </c>
      <c r="H19" t="s">
        <v>5232</v>
      </c>
      <c r="I19" t="s">
        <v>5233</v>
      </c>
      <c r="J19" t="s">
        <v>5234</v>
      </c>
      <c r="K19" t="s">
        <v>5235</v>
      </c>
      <c r="L19" t="s">
        <v>5236</v>
      </c>
      <c r="M19" t="s">
        <v>5237</v>
      </c>
      <c r="N19" t="s">
        <v>5238</v>
      </c>
      <c r="O19" t="s">
        <v>5239</v>
      </c>
      <c r="P19" t="s">
        <v>5240</v>
      </c>
      <c r="Q19" t="s">
        <v>5241</v>
      </c>
      <c r="R19" t="s">
        <v>5242</v>
      </c>
      <c r="S19" t="s">
        <v>5243</v>
      </c>
      <c r="T19" t="s">
        <v>5244</v>
      </c>
      <c r="U19" t="s">
        <v>5245</v>
      </c>
      <c r="V19" t="s">
        <v>5246</v>
      </c>
      <c r="W19" t="s">
        <v>5247</v>
      </c>
      <c r="X19" t="s">
        <v>5248</v>
      </c>
      <c r="Y19" t="s">
        <v>5249</v>
      </c>
      <c r="Z19" t="s">
        <v>5250</v>
      </c>
      <c r="AA19" t="s">
        <v>5251</v>
      </c>
      <c r="AB19" t="s">
        <v>5252</v>
      </c>
      <c r="AC19" t="s">
        <v>5253</v>
      </c>
      <c r="AD19" t="s">
        <v>5254</v>
      </c>
      <c r="AE19" t="s">
        <v>5255</v>
      </c>
      <c r="AF19" t="s">
        <v>5256</v>
      </c>
      <c r="AG19" t="s">
        <v>5257</v>
      </c>
      <c r="AH19" t="s">
        <v>5258</v>
      </c>
      <c r="AI19" t="s">
        <v>5259</v>
      </c>
      <c r="AJ19" t="s">
        <v>5260</v>
      </c>
      <c r="AK19" t="s">
        <v>5261</v>
      </c>
      <c r="AL19" t="s">
        <v>5262</v>
      </c>
      <c r="AM19" t="s">
        <v>5263</v>
      </c>
      <c r="AN19" t="s">
        <v>5264</v>
      </c>
      <c r="AO19" t="s">
        <v>5265</v>
      </c>
      <c r="AP19" t="s">
        <v>5266</v>
      </c>
      <c r="AQ19" t="s">
        <v>5267</v>
      </c>
      <c r="AR19" t="s">
        <v>5268</v>
      </c>
      <c r="AS19" t="s">
        <v>5269</v>
      </c>
      <c r="AT19" t="s">
        <v>5270</v>
      </c>
      <c r="AU19" t="s">
        <v>5271</v>
      </c>
      <c r="AV19" t="s">
        <v>5272</v>
      </c>
      <c r="AW19" t="s">
        <v>5273</v>
      </c>
      <c r="AX19" t="s">
        <v>5274</v>
      </c>
      <c r="AY19" t="s">
        <v>5275</v>
      </c>
      <c r="AZ19" t="s">
        <v>5276</v>
      </c>
      <c r="BA19" t="s">
        <v>5277</v>
      </c>
      <c r="BB19" t="s">
        <v>5278</v>
      </c>
      <c r="BC19" t="s">
        <v>5279</v>
      </c>
      <c r="BD19" t="s">
        <v>5280</v>
      </c>
      <c r="BE19" t="s">
        <v>5281</v>
      </c>
      <c r="BF19" t="s">
        <v>5282</v>
      </c>
      <c r="BG19" t="s">
        <v>5283</v>
      </c>
      <c r="BH19" t="s">
        <v>5284</v>
      </c>
      <c r="BI19" t="s">
        <v>5285</v>
      </c>
      <c r="BJ19" t="s">
        <v>5286</v>
      </c>
      <c r="BK19" t="s">
        <v>5287</v>
      </c>
      <c r="BL19" t="s">
        <v>5288</v>
      </c>
      <c r="BM19" t="s">
        <v>5289</v>
      </c>
      <c r="BN19" t="s">
        <v>5290</v>
      </c>
      <c r="BO19" t="s">
        <v>5291</v>
      </c>
      <c r="BP19" t="s">
        <v>5292</v>
      </c>
      <c r="BR19" t="s">
        <v>274</v>
      </c>
    </row>
    <row r="20" spans="1:70" x14ac:dyDescent="0.3">
      <c r="A20" t="s">
        <v>47</v>
      </c>
      <c r="B20" t="s">
        <v>838</v>
      </c>
      <c r="C20" t="s">
        <v>4632</v>
      </c>
      <c r="D20" t="s">
        <v>4633</v>
      </c>
      <c r="F20" t="s">
        <v>5293</v>
      </c>
      <c r="G20" t="s">
        <v>5294</v>
      </c>
      <c r="H20" t="s">
        <v>5295</v>
      </c>
      <c r="I20" t="s">
        <v>5296</v>
      </c>
      <c r="J20" t="s">
        <v>5297</v>
      </c>
      <c r="K20" t="s">
        <v>5298</v>
      </c>
      <c r="L20" t="s">
        <v>5299</v>
      </c>
      <c r="M20" t="s">
        <v>5300</v>
      </c>
      <c r="N20" t="s">
        <v>5301</v>
      </c>
      <c r="O20" t="s">
        <v>5302</v>
      </c>
      <c r="P20" t="s">
        <v>5303</v>
      </c>
      <c r="Q20" t="s">
        <v>5304</v>
      </c>
      <c r="R20" t="s">
        <v>5305</v>
      </c>
      <c r="S20" t="s">
        <v>5306</v>
      </c>
      <c r="T20" t="s">
        <v>5307</v>
      </c>
      <c r="U20" t="s">
        <v>5308</v>
      </c>
      <c r="V20" t="s">
        <v>5309</v>
      </c>
      <c r="W20" t="s">
        <v>5310</v>
      </c>
      <c r="X20" t="s">
        <v>5311</v>
      </c>
      <c r="Y20" t="s">
        <v>5312</v>
      </c>
      <c r="Z20" t="s">
        <v>5313</v>
      </c>
      <c r="AA20" t="s">
        <v>5314</v>
      </c>
      <c r="AB20" t="s">
        <v>5315</v>
      </c>
      <c r="AC20" t="s">
        <v>5316</v>
      </c>
      <c r="AD20" t="s">
        <v>5317</v>
      </c>
      <c r="AE20" t="s">
        <v>5318</v>
      </c>
      <c r="AF20" t="s">
        <v>5319</v>
      </c>
      <c r="AG20" t="s">
        <v>5320</v>
      </c>
      <c r="AH20" t="s">
        <v>5321</v>
      </c>
      <c r="AI20" t="s">
        <v>5322</v>
      </c>
      <c r="AJ20" t="s">
        <v>5323</v>
      </c>
      <c r="AK20" t="s">
        <v>5324</v>
      </c>
      <c r="AL20" t="s">
        <v>5325</v>
      </c>
      <c r="AM20" t="s">
        <v>5326</v>
      </c>
      <c r="AN20" t="s">
        <v>5327</v>
      </c>
      <c r="AO20" t="s">
        <v>5328</v>
      </c>
      <c r="AP20" t="s">
        <v>5329</v>
      </c>
      <c r="AQ20" t="s">
        <v>5330</v>
      </c>
      <c r="AR20" t="s">
        <v>5331</v>
      </c>
      <c r="AS20" t="s">
        <v>5332</v>
      </c>
      <c r="AT20" t="s">
        <v>5333</v>
      </c>
      <c r="AU20" t="s">
        <v>5334</v>
      </c>
      <c r="AV20" t="s">
        <v>5335</v>
      </c>
      <c r="AW20" t="s">
        <v>5336</v>
      </c>
      <c r="AX20" t="s">
        <v>5337</v>
      </c>
      <c r="AY20" t="s">
        <v>5338</v>
      </c>
      <c r="AZ20" t="s">
        <v>5339</v>
      </c>
      <c r="BA20" t="s">
        <v>5340</v>
      </c>
      <c r="BB20" t="s">
        <v>5341</v>
      </c>
      <c r="BC20" t="s">
        <v>5342</v>
      </c>
      <c r="BD20" t="s">
        <v>5343</v>
      </c>
      <c r="BE20" t="s">
        <v>5344</v>
      </c>
      <c r="BF20" t="s">
        <v>5345</v>
      </c>
      <c r="BG20" t="s">
        <v>5346</v>
      </c>
      <c r="BH20" t="s">
        <v>5347</v>
      </c>
      <c r="BI20" t="s">
        <v>5348</v>
      </c>
      <c r="BJ20" t="s">
        <v>5349</v>
      </c>
      <c r="BK20" t="s">
        <v>5350</v>
      </c>
      <c r="BL20" t="s">
        <v>5351</v>
      </c>
      <c r="BM20" t="s">
        <v>5352</v>
      </c>
      <c r="BN20" t="s">
        <v>5353</v>
      </c>
      <c r="BO20" t="s">
        <v>5354</v>
      </c>
      <c r="BP20" t="s">
        <v>5355</v>
      </c>
      <c r="BR20" t="s">
        <v>274</v>
      </c>
    </row>
    <row r="21" spans="1:70" x14ac:dyDescent="0.3">
      <c r="A21" t="s">
        <v>194</v>
      </c>
      <c r="B21" t="s">
        <v>839</v>
      </c>
      <c r="C21" t="s">
        <v>4632</v>
      </c>
      <c r="D21" t="s">
        <v>4633</v>
      </c>
      <c r="F21" t="s">
        <v>274</v>
      </c>
      <c r="G21" t="s">
        <v>274</v>
      </c>
      <c r="H21" t="s">
        <v>274</v>
      </c>
      <c r="I21" t="s">
        <v>274</v>
      </c>
      <c r="J21" t="s">
        <v>274</v>
      </c>
      <c r="K21" t="s">
        <v>274</v>
      </c>
      <c r="L21" t="s">
        <v>274</v>
      </c>
      <c r="M21" t="s">
        <v>274</v>
      </c>
      <c r="N21" t="s">
        <v>274</v>
      </c>
      <c r="O21" t="s">
        <v>274</v>
      </c>
      <c r="P21" t="s">
        <v>274</v>
      </c>
      <c r="Q21" t="s">
        <v>274</v>
      </c>
      <c r="R21" t="s">
        <v>274</v>
      </c>
      <c r="S21" t="s">
        <v>274</v>
      </c>
      <c r="T21" t="s">
        <v>274</v>
      </c>
      <c r="U21" t="s">
        <v>274</v>
      </c>
      <c r="V21" t="s">
        <v>274</v>
      </c>
      <c r="W21" t="s">
        <v>274</v>
      </c>
      <c r="X21" t="s">
        <v>274</v>
      </c>
      <c r="Y21" t="s">
        <v>274</v>
      </c>
      <c r="Z21" t="s">
        <v>274</v>
      </c>
      <c r="AA21" t="s">
        <v>274</v>
      </c>
      <c r="AB21" t="s">
        <v>274</v>
      </c>
      <c r="AC21" t="s">
        <v>274</v>
      </c>
      <c r="AD21" t="s">
        <v>274</v>
      </c>
      <c r="AE21" t="s">
        <v>274</v>
      </c>
      <c r="AF21" t="s">
        <v>274</v>
      </c>
      <c r="AG21" t="s">
        <v>274</v>
      </c>
      <c r="AH21" t="s">
        <v>274</v>
      </c>
      <c r="AI21" t="s">
        <v>274</v>
      </c>
      <c r="AJ21" t="s">
        <v>5356</v>
      </c>
      <c r="AK21" t="s">
        <v>5357</v>
      </c>
      <c r="AL21" t="s">
        <v>5358</v>
      </c>
      <c r="AM21" t="s">
        <v>5359</v>
      </c>
      <c r="AN21" t="s">
        <v>5360</v>
      </c>
      <c r="AO21" t="s">
        <v>5361</v>
      </c>
      <c r="AP21" t="s">
        <v>5362</v>
      </c>
      <c r="AQ21" t="s">
        <v>5363</v>
      </c>
      <c r="AR21" t="s">
        <v>5364</v>
      </c>
      <c r="AS21" t="s">
        <v>5365</v>
      </c>
      <c r="AT21" t="s">
        <v>5366</v>
      </c>
      <c r="AU21" t="s">
        <v>5367</v>
      </c>
      <c r="AV21" t="s">
        <v>5368</v>
      </c>
      <c r="AW21" t="s">
        <v>5369</v>
      </c>
      <c r="AX21" t="s">
        <v>5370</v>
      </c>
      <c r="AY21" t="s">
        <v>5371</v>
      </c>
      <c r="AZ21" t="s">
        <v>5372</v>
      </c>
      <c r="BA21" t="s">
        <v>5373</v>
      </c>
      <c r="BB21" t="s">
        <v>5374</v>
      </c>
      <c r="BC21" t="s">
        <v>5375</v>
      </c>
      <c r="BD21" t="s">
        <v>5376</v>
      </c>
      <c r="BE21" t="s">
        <v>5377</v>
      </c>
      <c r="BF21" t="s">
        <v>5378</v>
      </c>
      <c r="BG21" t="s">
        <v>5379</v>
      </c>
      <c r="BH21" t="s">
        <v>5380</v>
      </c>
      <c r="BI21" t="s">
        <v>5381</v>
      </c>
      <c r="BJ21" t="s">
        <v>5382</v>
      </c>
      <c r="BK21" t="s">
        <v>5383</v>
      </c>
      <c r="BL21" t="s">
        <v>5384</v>
      </c>
      <c r="BM21" t="s">
        <v>5385</v>
      </c>
      <c r="BN21" t="s">
        <v>5386</v>
      </c>
      <c r="BO21" t="s">
        <v>5387</v>
      </c>
      <c r="BP21" t="s">
        <v>5388</v>
      </c>
      <c r="BR21" t="s">
        <v>274</v>
      </c>
    </row>
    <row r="22" spans="1:70" x14ac:dyDescent="0.3">
      <c r="A22" t="s">
        <v>195</v>
      </c>
      <c r="B22" t="s">
        <v>867</v>
      </c>
      <c r="C22" t="s">
        <v>4632</v>
      </c>
      <c r="D22" t="s">
        <v>4633</v>
      </c>
      <c r="F22" t="s">
        <v>5389</v>
      </c>
      <c r="G22" t="s">
        <v>5390</v>
      </c>
      <c r="H22" t="s">
        <v>5391</v>
      </c>
      <c r="I22" t="s">
        <v>5392</v>
      </c>
      <c r="J22" t="s">
        <v>5393</v>
      </c>
      <c r="K22" t="s">
        <v>5394</v>
      </c>
      <c r="L22" t="s">
        <v>5395</v>
      </c>
      <c r="M22" t="s">
        <v>5396</v>
      </c>
      <c r="N22" t="s">
        <v>5397</v>
      </c>
      <c r="O22" t="s">
        <v>5398</v>
      </c>
      <c r="P22" t="s">
        <v>5399</v>
      </c>
      <c r="Q22" t="s">
        <v>5400</v>
      </c>
      <c r="R22" t="s">
        <v>5401</v>
      </c>
      <c r="S22" t="s">
        <v>5402</v>
      </c>
      <c r="T22" t="s">
        <v>5403</v>
      </c>
      <c r="U22" t="s">
        <v>5404</v>
      </c>
      <c r="V22" t="s">
        <v>5405</v>
      </c>
      <c r="W22" t="s">
        <v>5406</v>
      </c>
      <c r="X22" t="s">
        <v>5407</v>
      </c>
      <c r="Y22" t="s">
        <v>5408</v>
      </c>
      <c r="Z22" t="s">
        <v>5409</v>
      </c>
      <c r="AA22" t="s">
        <v>5410</v>
      </c>
      <c r="AB22" t="s">
        <v>5411</v>
      </c>
      <c r="AC22" t="s">
        <v>5412</v>
      </c>
      <c r="AD22" t="s">
        <v>5413</v>
      </c>
      <c r="AE22" t="s">
        <v>5414</v>
      </c>
      <c r="AF22" t="s">
        <v>5415</v>
      </c>
      <c r="AG22" t="s">
        <v>5416</v>
      </c>
      <c r="AH22" t="s">
        <v>5417</v>
      </c>
      <c r="AI22" t="s">
        <v>5418</v>
      </c>
      <c r="AJ22" t="s">
        <v>5419</v>
      </c>
      <c r="AK22" t="s">
        <v>5420</v>
      </c>
      <c r="AL22" t="s">
        <v>5421</v>
      </c>
      <c r="AM22" t="s">
        <v>5422</v>
      </c>
      <c r="AN22" t="s">
        <v>4705</v>
      </c>
      <c r="AO22" t="s">
        <v>5423</v>
      </c>
      <c r="AP22" t="s">
        <v>5424</v>
      </c>
      <c r="AQ22" t="s">
        <v>5425</v>
      </c>
      <c r="AR22" t="s">
        <v>5426</v>
      </c>
      <c r="AS22" t="s">
        <v>5427</v>
      </c>
      <c r="AT22" t="s">
        <v>5428</v>
      </c>
      <c r="AU22" t="s">
        <v>5429</v>
      </c>
      <c r="AV22" t="s">
        <v>5430</v>
      </c>
      <c r="AW22" t="s">
        <v>5431</v>
      </c>
      <c r="AX22" t="s">
        <v>5432</v>
      </c>
      <c r="AY22" t="s">
        <v>5433</v>
      </c>
      <c r="AZ22" t="s">
        <v>5434</v>
      </c>
      <c r="BA22" t="s">
        <v>5435</v>
      </c>
      <c r="BB22" t="s">
        <v>5436</v>
      </c>
      <c r="BC22" t="s">
        <v>5437</v>
      </c>
      <c r="BD22" t="s">
        <v>5438</v>
      </c>
      <c r="BE22" t="s">
        <v>5439</v>
      </c>
      <c r="BF22" t="s">
        <v>5440</v>
      </c>
      <c r="BG22" t="s">
        <v>5441</v>
      </c>
      <c r="BH22" t="s">
        <v>5442</v>
      </c>
      <c r="BI22" t="s">
        <v>5443</v>
      </c>
      <c r="BJ22" t="s">
        <v>5444</v>
      </c>
      <c r="BK22" t="s">
        <v>5445</v>
      </c>
      <c r="BL22" t="s">
        <v>5446</v>
      </c>
      <c r="BM22" t="s">
        <v>5447</v>
      </c>
      <c r="BN22" t="s">
        <v>5448</v>
      </c>
      <c r="BO22" t="s">
        <v>5449</v>
      </c>
      <c r="BP22" t="s">
        <v>5450</v>
      </c>
      <c r="BR22" t="s">
        <v>274</v>
      </c>
    </row>
    <row r="23" spans="1:70" x14ac:dyDescent="0.3">
      <c r="A23" t="s">
        <v>196</v>
      </c>
      <c r="B23" t="s">
        <v>901</v>
      </c>
      <c r="C23" t="s">
        <v>4632</v>
      </c>
      <c r="D23" t="s">
        <v>4633</v>
      </c>
      <c r="F23" t="s">
        <v>5451</v>
      </c>
      <c r="G23" t="s">
        <v>5452</v>
      </c>
      <c r="H23" t="s">
        <v>5453</v>
      </c>
      <c r="I23" t="s">
        <v>5454</v>
      </c>
      <c r="J23" t="s">
        <v>5455</v>
      </c>
      <c r="K23" t="s">
        <v>5456</v>
      </c>
      <c r="L23" t="s">
        <v>5457</v>
      </c>
      <c r="M23" t="s">
        <v>5458</v>
      </c>
      <c r="N23" t="s">
        <v>5459</v>
      </c>
      <c r="O23" t="s">
        <v>5460</v>
      </c>
      <c r="P23" t="s">
        <v>5461</v>
      </c>
      <c r="Q23" t="s">
        <v>5462</v>
      </c>
      <c r="R23" t="s">
        <v>5463</v>
      </c>
      <c r="S23" t="s">
        <v>5464</v>
      </c>
      <c r="T23" t="s">
        <v>5465</v>
      </c>
      <c r="U23" t="s">
        <v>5466</v>
      </c>
      <c r="V23" t="s">
        <v>5467</v>
      </c>
      <c r="W23" t="s">
        <v>5468</v>
      </c>
      <c r="X23" t="s">
        <v>5469</v>
      </c>
      <c r="Y23" t="s">
        <v>5470</v>
      </c>
      <c r="Z23" t="s">
        <v>5471</v>
      </c>
      <c r="AA23" t="s">
        <v>5472</v>
      </c>
      <c r="AB23" t="s">
        <v>5473</v>
      </c>
      <c r="AC23" t="s">
        <v>5474</v>
      </c>
      <c r="AD23" t="s">
        <v>5475</v>
      </c>
      <c r="AE23" t="s">
        <v>5476</v>
      </c>
      <c r="AF23" t="s">
        <v>5477</v>
      </c>
      <c r="AG23" t="s">
        <v>5478</v>
      </c>
      <c r="AH23" t="s">
        <v>5479</v>
      </c>
      <c r="AI23" t="s">
        <v>5480</v>
      </c>
      <c r="AJ23" t="s">
        <v>5481</v>
      </c>
      <c r="AK23" t="s">
        <v>5482</v>
      </c>
      <c r="AL23" t="s">
        <v>5483</v>
      </c>
      <c r="AM23" t="s">
        <v>5484</v>
      </c>
      <c r="AN23" t="s">
        <v>5485</v>
      </c>
      <c r="AO23" t="s">
        <v>5486</v>
      </c>
      <c r="AP23" t="s">
        <v>5487</v>
      </c>
      <c r="AQ23" t="s">
        <v>5488</v>
      </c>
      <c r="AR23" t="s">
        <v>5489</v>
      </c>
      <c r="AS23" t="s">
        <v>5490</v>
      </c>
      <c r="AT23" t="s">
        <v>5491</v>
      </c>
      <c r="AU23" t="s">
        <v>5492</v>
      </c>
      <c r="AV23" t="s">
        <v>5493</v>
      </c>
      <c r="AW23" t="s">
        <v>5494</v>
      </c>
      <c r="AX23" t="s">
        <v>5495</v>
      </c>
      <c r="AY23" t="s">
        <v>5496</v>
      </c>
      <c r="AZ23" t="s">
        <v>5497</v>
      </c>
      <c r="BA23" t="s">
        <v>5498</v>
      </c>
      <c r="BB23" t="s">
        <v>5499</v>
      </c>
      <c r="BC23" t="s">
        <v>5500</v>
      </c>
      <c r="BD23" t="s">
        <v>5501</v>
      </c>
      <c r="BE23" t="s">
        <v>5502</v>
      </c>
      <c r="BF23" t="s">
        <v>5503</v>
      </c>
      <c r="BG23" t="s">
        <v>5504</v>
      </c>
      <c r="BH23" t="s">
        <v>5505</v>
      </c>
      <c r="BI23" t="s">
        <v>5506</v>
      </c>
      <c r="BJ23" t="s">
        <v>5507</v>
      </c>
      <c r="BK23" t="s">
        <v>5508</v>
      </c>
      <c r="BL23" t="s">
        <v>5509</v>
      </c>
      <c r="BM23" t="s">
        <v>5510</v>
      </c>
      <c r="BN23" t="s">
        <v>5511</v>
      </c>
      <c r="BO23" t="s">
        <v>5512</v>
      </c>
      <c r="BP23" t="s">
        <v>5513</v>
      </c>
      <c r="BR23" t="s">
        <v>274</v>
      </c>
    </row>
    <row r="24" spans="1:70" x14ac:dyDescent="0.3">
      <c r="A24" t="s">
        <v>197</v>
      </c>
      <c r="B24" t="s">
        <v>902</v>
      </c>
      <c r="C24" t="s">
        <v>4632</v>
      </c>
      <c r="D24" t="s">
        <v>4633</v>
      </c>
      <c r="F24" t="s">
        <v>5514</v>
      </c>
      <c r="G24" t="s">
        <v>5515</v>
      </c>
      <c r="H24" t="s">
        <v>5516</v>
      </c>
      <c r="I24" t="s">
        <v>5517</v>
      </c>
      <c r="J24" t="s">
        <v>5518</v>
      </c>
      <c r="K24" t="s">
        <v>5519</v>
      </c>
      <c r="L24" t="s">
        <v>5520</v>
      </c>
      <c r="M24" t="s">
        <v>5521</v>
      </c>
      <c r="N24" t="s">
        <v>5522</v>
      </c>
      <c r="O24" t="s">
        <v>5523</v>
      </c>
      <c r="P24" t="s">
        <v>5524</v>
      </c>
      <c r="Q24" t="s">
        <v>5525</v>
      </c>
      <c r="R24" t="s">
        <v>5526</v>
      </c>
      <c r="S24" t="s">
        <v>5527</v>
      </c>
      <c r="T24" t="s">
        <v>5528</v>
      </c>
      <c r="U24" t="s">
        <v>5529</v>
      </c>
      <c r="V24" t="s">
        <v>5530</v>
      </c>
      <c r="W24" t="s">
        <v>5531</v>
      </c>
      <c r="X24" t="s">
        <v>5532</v>
      </c>
      <c r="Y24" t="s">
        <v>5533</v>
      </c>
      <c r="Z24" t="s">
        <v>5534</v>
      </c>
      <c r="AA24" t="s">
        <v>5535</v>
      </c>
      <c r="AB24" t="s">
        <v>5536</v>
      </c>
      <c r="AC24" t="s">
        <v>5537</v>
      </c>
      <c r="AD24" t="s">
        <v>5538</v>
      </c>
      <c r="AE24" t="s">
        <v>5539</v>
      </c>
      <c r="AF24" t="s">
        <v>5540</v>
      </c>
      <c r="AG24" t="s">
        <v>5541</v>
      </c>
      <c r="AH24" t="s">
        <v>5542</v>
      </c>
      <c r="AI24" t="s">
        <v>5543</v>
      </c>
      <c r="AJ24" t="s">
        <v>5544</v>
      </c>
      <c r="AK24" t="s">
        <v>5545</v>
      </c>
      <c r="AL24" t="s">
        <v>5546</v>
      </c>
      <c r="AM24" t="s">
        <v>5547</v>
      </c>
      <c r="AN24" t="s">
        <v>5548</v>
      </c>
      <c r="AO24" t="s">
        <v>5549</v>
      </c>
      <c r="AP24" t="s">
        <v>5550</v>
      </c>
      <c r="AQ24" t="s">
        <v>5551</v>
      </c>
      <c r="AR24" t="s">
        <v>5552</v>
      </c>
      <c r="AS24" t="s">
        <v>5553</v>
      </c>
      <c r="AT24" t="s">
        <v>5554</v>
      </c>
      <c r="AU24" t="s">
        <v>5555</v>
      </c>
      <c r="AV24" t="s">
        <v>5556</v>
      </c>
      <c r="AW24" t="s">
        <v>5557</v>
      </c>
      <c r="AX24" t="s">
        <v>5558</v>
      </c>
      <c r="AY24" t="s">
        <v>5559</v>
      </c>
      <c r="AZ24" t="s">
        <v>5560</v>
      </c>
      <c r="BA24" t="s">
        <v>5561</v>
      </c>
      <c r="BB24" t="s">
        <v>5562</v>
      </c>
      <c r="BC24" t="s">
        <v>5563</v>
      </c>
      <c r="BD24" t="s">
        <v>5564</v>
      </c>
      <c r="BE24" t="s">
        <v>5565</v>
      </c>
      <c r="BF24" t="s">
        <v>5566</v>
      </c>
      <c r="BG24" t="s">
        <v>5567</v>
      </c>
      <c r="BH24" t="s">
        <v>5568</v>
      </c>
      <c r="BI24" t="s">
        <v>5569</v>
      </c>
      <c r="BJ24" t="s">
        <v>5570</v>
      </c>
      <c r="BK24" t="s">
        <v>5571</v>
      </c>
      <c r="BL24" t="s">
        <v>5572</v>
      </c>
      <c r="BM24" t="s">
        <v>5573</v>
      </c>
      <c r="BN24" t="s">
        <v>5574</v>
      </c>
      <c r="BO24" t="s">
        <v>5575</v>
      </c>
      <c r="BP24" t="s">
        <v>5576</v>
      </c>
      <c r="BR24" t="s">
        <v>274</v>
      </c>
    </row>
    <row r="25" spans="1:70" x14ac:dyDescent="0.3">
      <c r="A25" t="s">
        <v>198</v>
      </c>
      <c r="B25" t="s">
        <v>920</v>
      </c>
      <c r="C25" t="s">
        <v>4632</v>
      </c>
      <c r="D25" t="s">
        <v>4633</v>
      </c>
      <c r="F25" t="s">
        <v>5577</v>
      </c>
      <c r="G25" t="s">
        <v>5578</v>
      </c>
      <c r="H25" t="s">
        <v>5579</v>
      </c>
      <c r="I25" t="s">
        <v>5580</v>
      </c>
      <c r="J25" t="s">
        <v>5581</v>
      </c>
      <c r="K25" t="s">
        <v>5582</v>
      </c>
      <c r="L25" t="s">
        <v>5583</v>
      </c>
      <c r="M25" t="s">
        <v>5584</v>
      </c>
      <c r="N25" t="s">
        <v>5585</v>
      </c>
      <c r="O25" t="s">
        <v>5586</v>
      </c>
      <c r="P25" t="s">
        <v>5587</v>
      </c>
      <c r="Q25" t="s">
        <v>5588</v>
      </c>
      <c r="R25" t="s">
        <v>5589</v>
      </c>
      <c r="S25" t="s">
        <v>5590</v>
      </c>
      <c r="T25" t="s">
        <v>5591</v>
      </c>
      <c r="U25" t="s">
        <v>5592</v>
      </c>
      <c r="V25" t="s">
        <v>5593</v>
      </c>
      <c r="W25" t="s">
        <v>5594</v>
      </c>
      <c r="X25" t="s">
        <v>5595</v>
      </c>
      <c r="Y25" t="s">
        <v>5596</v>
      </c>
      <c r="Z25" t="s">
        <v>5597</v>
      </c>
      <c r="AA25" t="s">
        <v>5598</v>
      </c>
      <c r="AB25" t="s">
        <v>5599</v>
      </c>
      <c r="AC25" t="s">
        <v>5600</v>
      </c>
      <c r="AD25" t="s">
        <v>5601</v>
      </c>
      <c r="AE25" t="s">
        <v>5602</v>
      </c>
      <c r="AF25" t="s">
        <v>5603</v>
      </c>
      <c r="AG25" t="s">
        <v>5604</v>
      </c>
      <c r="AH25" t="s">
        <v>5605</v>
      </c>
      <c r="AI25" t="s">
        <v>5606</v>
      </c>
      <c r="AJ25" t="s">
        <v>5607</v>
      </c>
      <c r="AK25" t="s">
        <v>5608</v>
      </c>
      <c r="AL25" t="s">
        <v>5609</v>
      </c>
      <c r="AM25" t="s">
        <v>5610</v>
      </c>
      <c r="AN25" t="s">
        <v>5611</v>
      </c>
      <c r="AO25" t="s">
        <v>5612</v>
      </c>
      <c r="AP25" t="s">
        <v>5613</v>
      </c>
      <c r="AQ25" t="s">
        <v>5614</v>
      </c>
      <c r="AR25" t="s">
        <v>5615</v>
      </c>
      <c r="AS25" t="s">
        <v>5616</v>
      </c>
      <c r="AT25" t="s">
        <v>5617</v>
      </c>
      <c r="AU25" t="s">
        <v>5618</v>
      </c>
      <c r="AV25" t="s">
        <v>5619</v>
      </c>
      <c r="AW25" t="s">
        <v>5620</v>
      </c>
      <c r="AX25" t="s">
        <v>5621</v>
      </c>
      <c r="AY25" t="s">
        <v>5622</v>
      </c>
      <c r="AZ25" t="s">
        <v>5623</v>
      </c>
      <c r="BA25" t="s">
        <v>5624</v>
      </c>
      <c r="BB25" t="s">
        <v>5625</v>
      </c>
      <c r="BC25" t="s">
        <v>5626</v>
      </c>
      <c r="BD25" t="s">
        <v>5627</v>
      </c>
      <c r="BE25" t="s">
        <v>5628</v>
      </c>
      <c r="BF25" t="s">
        <v>5629</v>
      </c>
      <c r="BG25" t="s">
        <v>5630</v>
      </c>
      <c r="BH25" t="s">
        <v>5631</v>
      </c>
      <c r="BI25" t="s">
        <v>5632</v>
      </c>
      <c r="BJ25" t="s">
        <v>5633</v>
      </c>
      <c r="BK25" t="s">
        <v>5634</v>
      </c>
      <c r="BL25" t="s">
        <v>5635</v>
      </c>
      <c r="BM25" t="s">
        <v>5636</v>
      </c>
      <c r="BN25" t="s">
        <v>5637</v>
      </c>
      <c r="BO25" t="s">
        <v>5638</v>
      </c>
      <c r="BP25" t="s">
        <v>5639</v>
      </c>
      <c r="BR25" t="s">
        <v>274</v>
      </c>
    </row>
    <row r="26" spans="1:70" x14ac:dyDescent="0.3">
      <c r="A26" t="s">
        <v>48</v>
      </c>
      <c r="B26" t="s">
        <v>923</v>
      </c>
      <c r="C26" t="s">
        <v>4632</v>
      </c>
      <c r="D26" t="s">
        <v>4633</v>
      </c>
      <c r="F26" t="s">
        <v>5640</v>
      </c>
      <c r="G26" t="s">
        <v>5641</v>
      </c>
      <c r="H26" t="s">
        <v>5642</v>
      </c>
      <c r="I26" t="s">
        <v>5643</v>
      </c>
      <c r="J26" t="s">
        <v>5644</v>
      </c>
      <c r="K26" t="s">
        <v>5645</v>
      </c>
      <c r="L26" t="s">
        <v>5646</v>
      </c>
      <c r="M26" t="s">
        <v>5647</v>
      </c>
      <c r="N26" t="s">
        <v>5648</v>
      </c>
      <c r="O26" t="s">
        <v>5649</v>
      </c>
      <c r="P26" t="s">
        <v>5650</v>
      </c>
      <c r="Q26" t="s">
        <v>5651</v>
      </c>
      <c r="R26" t="s">
        <v>5652</v>
      </c>
      <c r="S26" t="s">
        <v>5653</v>
      </c>
      <c r="T26" t="s">
        <v>5654</v>
      </c>
      <c r="U26" t="s">
        <v>5655</v>
      </c>
      <c r="V26" t="s">
        <v>5656</v>
      </c>
      <c r="W26" t="s">
        <v>5657</v>
      </c>
      <c r="X26" t="s">
        <v>5658</v>
      </c>
      <c r="Y26" t="s">
        <v>5659</v>
      </c>
      <c r="Z26" t="s">
        <v>5660</v>
      </c>
      <c r="AA26" t="s">
        <v>5661</v>
      </c>
      <c r="AB26" t="s">
        <v>5662</v>
      </c>
      <c r="AC26" t="s">
        <v>5663</v>
      </c>
      <c r="AD26" t="s">
        <v>5664</v>
      </c>
      <c r="AE26" t="s">
        <v>5665</v>
      </c>
      <c r="AF26" t="s">
        <v>5666</v>
      </c>
      <c r="AG26" t="s">
        <v>5667</v>
      </c>
      <c r="AH26" t="s">
        <v>5668</v>
      </c>
      <c r="AI26" t="s">
        <v>5669</v>
      </c>
      <c r="AJ26" t="s">
        <v>5670</v>
      </c>
      <c r="AK26" t="s">
        <v>5671</v>
      </c>
      <c r="AL26" t="s">
        <v>5672</v>
      </c>
      <c r="AM26" t="s">
        <v>5673</v>
      </c>
      <c r="AN26" t="s">
        <v>5674</v>
      </c>
      <c r="AO26" t="s">
        <v>5675</v>
      </c>
      <c r="AP26" t="s">
        <v>5676</v>
      </c>
      <c r="AQ26" t="s">
        <v>5677</v>
      </c>
      <c r="AR26" t="s">
        <v>5678</v>
      </c>
      <c r="AS26" t="s">
        <v>5679</v>
      </c>
      <c r="AT26" t="s">
        <v>5680</v>
      </c>
      <c r="AU26" t="s">
        <v>5681</v>
      </c>
      <c r="AV26" t="s">
        <v>5682</v>
      </c>
      <c r="AW26" t="s">
        <v>5683</v>
      </c>
      <c r="AX26" t="s">
        <v>5684</v>
      </c>
      <c r="AY26" t="s">
        <v>5685</v>
      </c>
      <c r="AZ26" t="s">
        <v>5686</v>
      </c>
      <c r="BA26" t="s">
        <v>5687</v>
      </c>
      <c r="BB26" t="s">
        <v>5688</v>
      </c>
      <c r="BC26" t="s">
        <v>5689</v>
      </c>
      <c r="BD26" t="s">
        <v>5690</v>
      </c>
      <c r="BE26" t="s">
        <v>5691</v>
      </c>
      <c r="BF26" t="s">
        <v>5692</v>
      </c>
      <c r="BG26" t="s">
        <v>5693</v>
      </c>
      <c r="BH26" t="s">
        <v>5694</v>
      </c>
      <c r="BI26" t="s">
        <v>5695</v>
      </c>
      <c r="BJ26" t="s">
        <v>5696</v>
      </c>
      <c r="BK26" t="s">
        <v>5697</v>
      </c>
      <c r="BL26" t="s">
        <v>5698</v>
      </c>
      <c r="BM26" t="s">
        <v>5699</v>
      </c>
      <c r="BN26" t="s">
        <v>5700</v>
      </c>
      <c r="BO26" t="s">
        <v>5701</v>
      </c>
      <c r="BP26" t="s">
        <v>5702</v>
      </c>
      <c r="BR26" t="s">
        <v>274</v>
      </c>
    </row>
    <row r="27" spans="1:70" x14ac:dyDescent="0.3">
      <c r="A27" t="s">
        <v>49</v>
      </c>
      <c r="B27" t="s">
        <v>959</v>
      </c>
      <c r="C27" t="s">
        <v>4632</v>
      </c>
      <c r="D27" t="s">
        <v>4633</v>
      </c>
      <c r="F27" t="s">
        <v>274</v>
      </c>
      <c r="G27" t="s">
        <v>274</v>
      </c>
      <c r="H27" t="s">
        <v>274</v>
      </c>
      <c r="I27" t="s">
        <v>274</v>
      </c>
      <c r="J27" t="s">
        <v>274</v>
      </c>
      <c r="K27" t="s">
        <v>274</v>
      </c>
      <c r="L27" t="s">
        <v>274</v>
      </c>
      <c r="M27" t="s">
        <v>274</v>
      </c>
      <c r="N27" t="s">
        <v>274</v>
      </c>
      <c r="O27" t="s">
        <v>274</v>
      </c>
      <c r="P27" t="s">
        <v>274</v>
      </c>
      <c r="Q27" t="s">
        <v>274</v>
      </c>
      <c r="R27" t="s">
        <v>274</v>
      </c>
      <c r="S27" t="s">
        <v>274</v>
      </c>
      <c r="T27" t="s">
        <v>274</v>
      </c>
      <c r="U27" t="s">
        <v>274</v>
      </c>
      <c r="V27" t="s">
        <v>274</v>
      </c>
      <c r="W27" t="s">
        <v>274</v>
      </c>
      <c r="X27" t="s">
        <v>274</v>
      </c>
      <c r="Y27" t="s">
        <v>274</v>
      </c>
      <c r="Z27" t="s">
        <v>5703</v>
      </c>
      <c r="AA27" t="s">
        <v>5704</v>
      </c>
      <c r="AB27" t="s">
        <v>5705</v>
      </c>
      <c r="AC27" t="s">
        <v>5706</v>
      </c>
      <c r="AD27" t="s">
        <v>5707</v>
      </c>
      <c r="AE27" t="s">
        <v>5708</v>
      </c>
      <c r="AF27" t="s">
        <v>5709</v>
      </c>
      <c r="AG27" t="s">
        <v>5710</v>
      </c>
      <c r="AH27" t="s">
        <v>5711</v>
      </c>
      <c r="AI27" t="s">
        <v>5712</v>
      </c>
      <c r="AJ27" t="s">
        <v>5713</v>
      </c>
      <c r="AK27" t="s">
        <v>5714</v>
      </c>
      <c r="AL27" t="s">
        <v>5715</v>
      </c>
      <c r="AM27" t="s">
        <v>5716</v>
      </c>
      <c r="AN27" t="s">
        <v>5717</v>
      </c>
      <c r="AO27" t="s">
        <v>5718</v>
      </c>
      <c r="AP27" t="s">
        <v>5719</v>
      </c>
      <c r="AQ27" t="s">
        <v>5720</v>
      </c>
      <c r="AR27" t="s">
        <v>5721</v>
      </c>
      <c r="AS27" t="s">
        <v>5722</v>
      </c>
      <c r="AT27" t="s">
        <v>5723</v>
      </c>
      <c r="AU27" t="s">
        <v>5724</v>
      </c>
      <c r="AV27" t="s">
        <v>5725</v>
      </c>
      <c r="AW27" t="s">
        <v>5726</v>
      </c>
      <c r="AX27" t="s">
        <v>5727</v>
      </c>
      <c r="AY27" t="s">
        <v>5728</v>
      </c>
      <c r="AZ27" t="s">
        <v>5729</v>
      </c>
      <c r="BA27" t="s">
        <v>5730</v>
      </c>
      <c r="BB27" t="s">
        <v>5731</v>
      </c>
      <c r="BC27" t="s">
        <v>5732</v>
      </c>
      <c r="BD27" t="s">
        <v>5733</v>
      </c>
      <c r="BE27" t="s">
        <v>5734</v>
      </c>
      <c r="BF27" t="s">
        <v>5735</v>
      </c>
      <c r="BG27" t="s">
        <v>5736</v>
      </c>
      <c r="BH27" t="s">
        <v>5737</v>
      </c>
      <c r="BI27" t="s">
        <v>5738</v>
      </c>
      <c r="BJ27" t="s">
        <v>5739</v>
      </c>
      <c r="BK27" t="s">
        <v>5740</v>
      </c>
      <c r="BL27" t="s">
        <v>5741</v>
      </c>
      <c r="BM27" t="s">
        <v>5742</v>
      </c>
      <c r="BN27" t="s">
        <v>5743</v>
      </c>
      <c r="BO27" t="s">
        <v>5744</v>
      </c>
      <c r="BP27" t="s">
        <v>5745</v>
      </c>
      <c r="BR27" t="s">
        <v>274</v>
      </c>
    </row>
    <row r="28" spans="1:70" x14ac:dyDescent="0.3">
      <c r="A28" t="s">
        <v>50</v>
      </c>
      <c r="B28" t="s">
        <v>993</v>
      </c>
      <c r="C28" t="s">
        <v>4632</v>
      </c>
      <c r="D28" t="s">
        <v>4633</v>
      </c>
      <c r="F28" t="s">
        <v>274</v>
      </c>
      <c r="G28" t="s">
        <v>274</v>
      </c>
      <c r="H28" t="s">
        <v>274</v>
      </c>
      <c r="I28" t="s">
        <v>274</v>
      </c>
      <c r="J28" t="s">
        <v>274</v>
      </c>
      <c r="K28" t="s">
        <v>274</v>
      </c>
      <c r="L28" t="s">
        <v>274</v>
      </c>
      <c r="M28" t="s">
        <v>274</v>
      </c>
      <c r="N28" t="s">
        <v>274</v>
      </c>
      <c r="O28" t="s">
        <v>274</v>
      </c>
      <c r="P28" t="s">
        <v>5746</v>
      </c>
      <c r="Q28" t="s">
        <v>5747</v>
      </c>
      <c r="R28" t="s">
        <v>5748</v>
      </c>
      <c r="S28" t="s">
        <v>5749</v>
      </c>
      <c r="T28" t="s">
        <v>5750</v>
      </c>
      <c r="U28" t="s">
        <v>5751</v>
      </c>
      <c r="V28" t="s">
        <v>5752</v>
      </c>
      <c r="W28" t="s">
        <v>5753</v>
      </c>
      <c r="X28" t="s">
        <v>5754</v>
      </c>
      <c r="Y28" t="s">
        <v>4976</v>
      </c>
      <c r="Z28" t="s">
        <v>5755</v>
      </c>
      <c r="AA28" t="s">
        <v>5756</v>
      </c>
      <c r="AB28" t="s">
        <v>5757</v>
      </c>
      <c r="AC28" t="s">
        <v>5758</v>
      </c>
      <c r="AD28" t="s">
        <v>5759</v>
      </c>
      <c r="AE28" t="s">
        <v>5760</v>
      </c>
      <c r="AF28" t="s">
        <v>5761</v>
      </c>
      <c r="AG28" t="s">
        <v>5762</v>
      </c>
      <c r="AH28" t="s">
        <v>5763</v>
      </c>
      <c r="AI28" t="s">
        <v>5764</v>
      </c>
      <c r="AJ28" t="s">
        <v>5765</v>
      </c>
      <c r="AK28" t="s">
        <v>5766</v>
      </c>
      <c r="AL28" t="s">
        <v>5767</v>
      </c>
      <c r="AM28" t="s">
        <v>5768</v>
      </c>
      <c r="AN28" t="s">
        <v>5769</v>
      </c>
      <c r="AO28" t="s">
        <v>5770</v>
      </c>
      <c r="AP28" t="s">
        <v>5771</v>
      </c>
      <c r="AQ28" t="s">
        <v>5772</v>
      </c>
      <c r="AR28" t="s">
        <v>5773</v>
      </c>
      <c r="AS28" t="s">
        <v>5774</v>
      </c>
      <c r="AT28" t="s">
        <v>5775</v>
      </c>
      <c r="AU28" t="s">
        <v>5776</v>
      </c>
      <c r="AV28" t="s">
        <v>5777</v>
      </c>
      <c r="AW28" t="s">
        <v>5778</v>
      </c>
      <c r="AX28" t="s">
        <v>5779</v>
      </c>
      <c r="AY28" t="s">
        <v>5780</v>
      </c>
      <c r="AZ28" t="s">
        <v>5781</v>
      </c>
      <c r="BA28" t="s">
        <v>5782</v>
      </c>
      <c r="BB28" t="s">
        <v>5783</v>
      </c>
      <c r="BC28" t="s">
        <v>5006</v>
      </c>
      <c r="BD28" t="s">
        <v>5784</v>
      </c>
      <c r="BE28" t="s">
        <v>5785</v>
      </c>
      <c r="BF28" t="s">
        <v>5786</v>
      </c>
      <c r="BG28" t="s">
        <v>5787</v>
      </c>
      <c r="BH28" t="s">
        <v>5788</v>
      </c>
      <c r="BI28" t="s">
        <v>5789</v>
      </c>
      <c r="BJ28" t="s">
        <v>5790</v>
      </c>
      <c r="BK28" t="s">
        <v>5791</v>
      </c>
      <c r="BL28" t="s">
        <v>5792</v>
      </c>
      <c r="BM28" t="s">
        <v>5793</v>
      </c>
      <c r="BN28" t="s">
        <v>5794</v>
      </c>
      <c r="BO28" t="s">
        <v>5795</v>
      </c>
      <c r="BP28" t="s">
        <v>5796</v>
      </c>
      <c r="BR28" t="s">
        <v>274</v>
      </c>
    </row>
    <row r="29" spans="1:70" x14ac:dyDescent="0.3">
      <c r="A29" t="s">
        <v>51</v>
      </c>
      <c r="B29" t="s">
        <v>1023</v>
      </c>
      <c r="C29" t="s">
        <v>4632</v>
      </c>
      <c r="D29" t="s">
        <v>4633</v>
      </c>
      <c r="F29" t="s">
        <v>5797</v>
      </c>
      <c r="G29" t="s">
        <v>5798</v>
      </c>
      <c r="H29" t="s">
        <v>5799</v>
      </c>
      <c r="I29" t="s">
        <v>5800</v>
      </c>
      <c r="J29" t="s">
        <v>5801</v>
      </c>
      <c r="K29" t="s">
        <v>5802</v>
      </c>
      <c r="L29" t="s">
        <v>5803</v>
      </c>
      <c r="M29" t="s">
        <v>5804</v>
      </c>
      <c r="N29" t="s">
        <v>5805</v>
      </c>
      <c r="O29" t="s">
        <v>5806</v>
      </c>
      <c r="P29" t="s">
        <v>5807</v>
      </c>
      <c r="Q29" t="s">
        <v>5808</v>
      </c>
      <c r="R29" t="s">
        <v>5809</v>
      </c>
      <c r="S29" t="s">
        <v>5810</v>
      </c>
      <c r="T29" t="s">
        <v>5811</v>
      </c>
      <c r="U29" t="s">
        <v>5812</v>
      </c>
      <c r="V29" t="s">
        <v>5813</v>
      </c>
      <c r="W29" t="s">
        <v>5814</v>
      </c>
      <c r="X29" t="s">
        <v>5815</v>
      </c>
      <c r="Y29" t="s">
        <v>5816</v>
      </c>
      <c r="Z29" t="s">
        <v>5817</v>
      </c>
      <c r="AA29" t="s">
        <v>5818</v>
      </c>
      <c r="AB29" t="s">
        <v>5819</v>
      </c>
      <c r="AC29" t="s">
        <v>5820</v>
      </c>
      <c r="AD29" t="s">
        <v>5821</v>
      </c>
      <c r="AE29" t="s">
        <v>5822</v>
      </c>
      <c r="AF29" t="s">
        <v>5823</v>
      </c>
      <c r="AG29" t="s">
        <v>5824</v>
      </c>
      <c r="AH29" t="s">
        <v>5825</v>
      </c>
      <c r="AI29" t="s">
        <v>5826</v>
      </c>
      <c r="AJ29" t="s">
        <v>5827</v>
      </c>
      <c r="AK29" t="s">
        <v>5828</v>
      </c>
      <c r="AL29" t="s">
        <v>5829</v>
      </c>
      <c r="AM29" t="s">
        <v>5830</v>
      </c>
      <c r="AN29" t="s">
        <v>5831</v>
      </c>
      <c r="AO29" t="s">
        <v>5832</v>
      </c>
      <c r="AP29" t="s">
        <v>5833</v>
      </c>
      <c r="AQ29" t="s">
        <v>5834</v>
      </c>
      <c r="AR29" t="s">
        <v>5835</v>
      </c>
      <c r="AS29" t="s">
        <v>5836</v>
      </c>
      <c r="AT29" t="s">
        <v>5837</v>
      </c>
      <c r="AU29" t="s">
        <v>5838</v>
      </c>
      <c r="AV29" t="s">
        <v>5839</v>
      </c>
      <c r="AW29" t="s">
        <v>5840</v>
      </c>
      <c r="AX29" t="s">
        <v>5841</v>
      </c>
      <c r="AY29" t="s">
        <v>5842</v>
      </c>
      <c r="AZ29" t="s">
        <v>5843</v>
      </c>
      <c r="BA29" t="s">
        <v>5844</v>
      </c>
      <c r="BB29" t="s">
        <v>5845</v>
      </c>
      <c r="BC29" t="s">
        <v>5846</v>
      </c>
      <c r="BD29" t="s">
        <v>5847</v>
      </c>
      <c r="BE29" t="s">
        <v>5848</v>
      </c>
      <c r="BF29" t="s">
        <v>5849</v>
      </c>
      <c r="BG29" t="s">
        <v>5850</v>
      </c>
      <c r="BH29" t="s">
        <v>5851</v>
      </c>
      <c r="BI29" t="s">
        <v>5852</v>
      </c>
      <c r="BJ29" t="s">
        <v>5853</v>
      </c>
      <c r="BK29" t="s">
        <v>5854</v>
      </c>
      <c r="BL29" t="s">
        <v>5855</v>
      </c>
      <c r="BM29" t="s">
        <v>5856</v>
      </c>
      <c r="BN29" t="s">
        <v>5857</v>
      </c>
      <c r="BO29" t="s">
        <v>5858</v>
      </c>
      <c r="BP29" t="s">
        <v>5859</v>
      </c>
      <c r="BR29" t="s">
        <v>274</v>
      </c>
    </row>
    <row r="30" spans="1:70" x14ac:dyDescent="0.3">
      <c r="A30" t="s">
        <v>199</v>
      </c>
      <c r="B30" t="s">
        <v>1035</v>
      </c>
      <c r="C30" t="s">
        <v>4632</v>
      </c>
      <c r="D30" t="s">
        <v>4633</v>
      </c>
      <c r="F30" t="s">
        <v>274</v>
      </c>
      <c r="G30" t="s">
        <v>274</v>
      </c>
      <c r="H30" t="s">
        <v>274</v>
      </c>
      <c r="I30" t="s">
        <v>274</v>
      </c>
      <c r="J30" t="s">
        <v>274</v>
      </c>
      <c r="K30" t="s">
        <v>274</v>
      </c>
      <c r="L30" t="s">
        <v>274</v>
      </c>
      <c r="M30" t="s">
        <v>274</v>
      </c>
      <c r="N30" t="s">
        <v>274</v>
      </c>
      <c r="O30" t="s">
        <v>274</v>
      </c>
      <c r="P30" t="s">
        <v>274</v>
      </c>
      <c r="Q30" t="s">
        <v>274</v>
      </c>
      <c r="R30" t="s">
        <v>274</v>
      </c>
      <c r="S30" t="s">
        <v>274</v>
      </c>
      <c r="T30" t="s">
        <v>274</v>
      </c>
      <c r="U30" t="s">
        <v>274</v>
      </c>
      <c r="V30" t="s">
        <v>274</v>
      </c>
      <c r="W30" t="s">
        <v>274</v>
      </c>
      <c r="X30" t="s">
        <v>274</v>
      </c>
      <c r="Y30" t="s">
        <v>274</v>
      </c>
      <c r="Z30" t="s">
        <v>274</v>
      </c>
      <c r="AA30" t="s">
        <v>274</v>
      </c>
      <c r="AB30" t="s">
        <v>274</v>
      </c>
      <c r="AC30" t="s">
        <v>274</v>
      </c>
      <c r="AD30" t="s">
        <v>274</v>
      </c>
      <c r="AE30" t="s">
        <v>274</v>
      </c>
      <c r="AF30" t="s">
        <v>274</v>
      </c>
      <c r="AG30" t="s">
        <v>274</v>
      </c>
      <c r="AH30" t="s">
        <v>274</v>
      </c>
      <c r="AI30" t="s">
        <v>274</v>
      </c>
      <c r="AJ30" t="s">
        <v>5860</v>
      </c>
      <c r="AK30" t="s">
        <v>5861</v>
      </c>
      <c r="AL30" t="s">
        <v>5862</v>
      </c>
      <c r="AM30" t="s">
        <v>5863</v>
      </c>
      <c r="AN30" t="s">
        <v>5864</v>
      </c>
      <c r="AO30" t="s">
        <v>5865</v>
      </c>
      <c r="AP30" t="s">
        <v>5866</v>
      </c>
      <c r="AQ30" t="s">
        <v>5867</v>
      </c>
      <c r="AR30" t="s">
        <v>5868</v>
      </c>
      <c r="AS30" t="s">
        <v>5869</v>
      </c>
      <c r="AT30" t="s">
        <v>5870</v>
      </c>
      <c r="AU30" t="s">
        <v>5871</v>
      </c>
      <c r="AV30" t="s">
        <v>5872</v>
      </c>
      <c r="AW30" t="s">
        <v>5873</v>
      </c>
      <c r="AX30" t="s">
        <v>5874</v>
      </c>
      <c r="AY30" t="s">
        <v>5875</v>
      </c>
      <c r="AZ30" t="s">
        <v>5876</v>
      </c>
      <c r="BA30" t="s">
        <v>5877</v>
      </c>
      <c r="BB30" t="s">
        <v>5878</v>
      </c>
      <c r="BC30" t="s">
        <v>5879</v>
      </c>
      <c r="BD30" t="s">
        <v>5880</v>
      </c>
      <c r="BE30" t="s">
        <v>5881</v>
      </c>
      <c r="BF30" t="s">
        <v>5882</v>
      </c>
      <c r="BG30" t="s">
        <v>5883</v>
      </c>
      <c r="BH30" t="s">
        <v>5884</v>
      </c>
      <c r="BI30" t="s">
        <v>5885</v>
      </c>
      <c r="BJ30" t="s">
        <v>5886</v>
      </c>
      <c r="BK30" t="s">
        <v>5887</v>
      </c>
      <c r="BL30" t="s">
        <v>5888</v>
      </c>
      <c r="BM30" t="s">
        <v>5889</v>
      </c>
      <c r="BN30" t="s">
        <v>5890</v>
      </c>
      <c r="BO30" t="s">
        <v>5891</v>
      </c>
      <c r="BP30" t="s">
        <v>5892</v>
      </c>
      <c r="BR30" t="s">
        <v>274</v>
      </c>
    </row>
    <row r="31" spans="1:70" x14ac:dyDescent="0.3">
      <c r="A31" t="s">
        <v>200</v>
      </c>
      <c r="B31" t="s">
        <v>1058</v>
      </c>
      <c r="C31" t="s">
        <v>4632</v>
      </c>
      <c r="D31" t="s">
        <v>4633</v>
      </c>
      <c r="F31" t="s">
        <v>274</v>
      </c>
      <c r="G31" t="s">
        <v>274</v>
      </c>
      <c r="H31" t="s">
        <v>274</v>
      </c>
      <c r="I31" t="s">
        <v>274</v>
      </c>
      <c r="J31" t="s">
        <v>274</v>
      </c>
      <c r="K31" t="s">
        <v>274</v>
      </c>
      <c r="L31" t="s">
        <v>274</v>
      </c>
      <c r="M31" t="s">
        <v>274</v>
      </c>
      <c r="N31" t="s">
        <v>274</v>
      </c>
      <c r="O31" t="s">
        <v>274</v>
      </c>
      <c r="P31" t="s">
        <v>274</v>
      </c>
      <c r="Q31" t="s">
        <v>274</v>
      </c>
      <c r="R31" t="s">
        <v>274</v>
      </c>
      <c r="S31" t="s">
        <v>274</v>
      </c>
      <c r="T31" t="s">
        <v>274</v>
      </c>
      <c r="U31" t="s">
        <v>274</v>
      </c>
      <c r="V31" t="s">
        <v>274</v>
      </c>
      <c r="W31" t="s">
        <v>274</v>
      </c>
      <c r="X31" t="s">
        <v>274</v>
      </c>
      <c r="Y31" t="s">
        <v>274</v>
      </c>
      <c r="Z31" t="s">
        <v>274</v>
      </c>
      <c r="AA31" t="s">
        <v>274</v>
      </c>
      <c r="AB31" t="s">
        <v>274</v>
      </c>
      <c r="AC31" t="s">
        <v>274</v>
      </c>
      <c r="AD31" t="s">
        <v>274</v>
      </c>
      <c r="AE31" t="s">
        <v>274</v>
      </c>
      <c r="AF31" t="s">
        <v>274</v>
      </c>
      <c r="AG31" t="s">
        <v>274</v>
      </c>
      <c r="AH31" t="s">
        <v>274</v>
      </c>
      <c r="AI31" t="s">
        <v>274</v>
      </c>
      <c r="AJ31" t="s">
        <v>5893</v>
      </c>
      <c r="AK31" t="s">
        <v>5894</v>
      </c>
      <c r="AL31" t="s">
        <v>5895</v>
      </c>
      <c r="AM31" t="s">
        <v>5896</v>
      </c>
      <c r="AN31" t="s">
        <v>5897</v>
      </c>
      <c r="AO31" t="s">
        <v>5898</v>
      </c>
      <c r="AP31" t="s">
        <v>5899</v>
      </c>
      <c r="AQ31" t="s">
        <v>5900</v>
      </c>
      <c r="AR31" t="s">
        <v>5901</v>
      </c>
      <c r="AS31" t="s">
        <v>5902</v>
      </c>
      <c r="AT31" t="s">
        <v>5903</v>
      </c>
      <c r="AU31" t="s">
        <v>5904</v>
      </c>
      <c r="AV31" t="s">
        <v>5905</v>
      </c>
      <c r="AW31" t="s">
        <v>5906</v>
      </c>
      <c r="AX31" t="s">
        <v>5907</v>
      </c>
      <c r="AY31" t="s">
        <v>5908</v>
      </c>
      <c r="AZ31" t="s">
        <v>5909</v>
      </c>
      <c r="BA31" t="s">
        <v>5910</v>
      </c>
      <c r="BB31" t="s">
        <v>5911</v>
      </c>
      <c r="BC31" t="s">
        <v>5912</v>
      </c>
      <c r="BD31" t="s">
        <v>5913</v>
      </c>
      <c r="BE31" t="s">
        <v>5914</v>
      </c>
      <c r="BF31" t="s">
        <v>5915</v>
      </c>
      <c r="BG31" t="s">
        <v>5916</v>
      </c>
      <c r="BH31" t="s">
        <v>5917</v>
      </c>
      <c r="BI31" t="s">
        <v>5918</v>
      </c>
      <c r="BJ31" t="s">
        <v>5919</v>
      </c>
      <c r="BK31" t="s">
        <v>5920</v>
      </c>
      <c r="BL31" t="s">
        <v>5921</v>
      </c>
      <c r="BM31" t="s">
        <v>5922</v>
      </c>
      <c r="BN31" t="s">
        <v>5923</v>
      </c>
      <c r="BO31" t="s">
        <v>5924</v>
      </c>
      <c r="BP31" t="s">
        <v>5925</v>
      </c>
      <c r="BR31" t="s">
        <v>274</v>
      </c>
    </row>
    <row r="32" spans="1:70" x14ac:dyDescent="0.3">
      <c r="A32" t="s">
        <v>53</v>
      </c>
      <c r="B32" t="s">
        <v>1092</v>
      </c>
      <c r="C32" t="s">
        <v>4632</v>
      </c>
      <c r="D32" t="s">
        <v>4633</v>
      </c>
      <c r="F32" t="s">
        <v>5926</v>
      </c>
      <c r="G32" t="s">
        <v>5927</v>
      </c>
      <c r="H32" t="s">
        <v>5928</v>
      </c>
      <c r="I32" t="s">
        <v>5929</v>
      </c>
      <c r="J32" t="s">
        <v>5930</v>
      </c>
      <c r="K32" t="s">
        <v>5931</v>
      </c>
      <c r="L32" t="s">
        <v>5932</v>
      </c>
      <c r="M32" t="s">
        <v>5933</v>
      </c>
      <c r="N32" t="s">
        <v>5934</v>
      </c>
      <c r="O32" t="s">
        <v>5935</v>
      </c>
      <c r="P32" t="s">
        <v>5936</v>
      </c>
      <c r="Q32" t="s">
        <v>5937</v>
      </c>
      <c r="R32" t="s">
        <v>5938</v>
      </c>
      <c r="S32" t="s">
        <v>5939</v>
      </c>
      <c r="T32" t="s">
        <v>5940</v>
      </c>
      <c r="U32" t="s">
        <v>5941</v>
      </c>
      <c r="V32" t="s">
        <v>5942</v>
      </c>
      <c r="W32" t="s">
        <v>5943</v>
      </c>
      <c r="X32" t="s">
        <v>5944</v>
      </c>
      <c r="Y32" t="s">
        <v>5945</v>
      </c>
      <c r="Z32" t="s">
        <v>5946</v>
      </c>
      <c r="AA32" t="s">
        <v>5947</v>
      </c>
      <c r="AB32" t="s">
        <v>5948</v>
      </c>
      <c r="AC32" t="s">
        <v>5949</v>
      </c>
      <c r="AD32" t="s">
        <v>5950</v>
      </c>
      <c r="AE32" t="s">
        <v>5951</v>
      </c>
      <c r="AF32" t="s">
        <v>5952</v>
      </c>
      <c r="AG32" t="s">
        <v>5953</v>
      </c>
      <c r="AH32" t="s">
        <v>5954</v>
      </c>
      <c r="AI32" t="s">
        <v>5955</v>
      </c>
      <c r="AJ32" t="s">
        <v>5956</v>
      </c>
      <c r="AK32" t="s">
        <v>5957</v>
      </c>
      <c r="AL32" t="s">
        <v>5958</v>
      </c>
      <c r="AM32" t="s">
        <v>5959</v>
      </c>
      <c r="AN32" t="s">
        <v>5960</v>
      </c>
      <c r="AO32" t="s">
        <v>5961</v>
      </c>
      <c r="AP32" t="s">
        <v>5962</v>
      </c>
      <c r="AQ32" t="s">
        <v>5963</v>
      </c>
      <c r="AR32" t="s">
        <v>5964</v>
      </c>
      <c r="AS32" t="s">
        <v>5965</v>
      </c>
      <c r="AT32" t="s">
        <v>5966</v>
      </c>
      <c r="AU32" t="s">
        <v>5967</v>
      </c>
      <c r="AV32" t="s">
        <v>5968</v>
      </c>
      <c r="AW32" t="s">
        <v>5969</v>
      </c>
      <c r="AX32" t="s">
        <v>5970</v>
      </c>
      <c r="AY32" t="s">
        <v>5971</v>
      </c>
      <c r="AZ32" t="s">
        <v>5972</v>
      </c>
      <c r="BA32" t="s">
        <v>5973</v>
      </c>
      <c r="BB32" t="s">
        <v>5974</v>
      </c>
      <c r="BC32" t="s">
        <v>5975</v>
      </c>
      <c r="BD32" t="s">
        <v>5976</v>
      </c>
      <c r="BE32" t="s">
        <v>5977</v>
      </c>
      <c r="BF32" t="s">
        <v>5978</v>
      </c>
      <c r="BG32" t="s">
        <v>5979</v>
      </c>
      <c r="BH32" t="s">
        <v>5980</v>
      </c>
      <c r="BI32" t="s">
        <v>5981</v>
      </c>
      <c r="BJ32" t="s">
        <v>5982</v>
      </c>
      <c r="BK32" t="s">
        <v>5983</v>
      </c>
      <c r="BL32" t="s">
        <v>5984</v>
      </c>
      <c r="BM32" t="s">
        <v>5985</v>
      </c>
      <c r="BN32" t="s">
        <v>5986</v>
      </c>
      <c r="BO32" t="s">
        <v>5987</v>
      </c>
      <c r="BP32" t="s">
        <v>5988</v>
      </c>
      <c r="BR32" t="s">
        <v>274</v>
      </c>
    </row>
    <row r="33" spans="1:70" x14ac:dyDescent="0.3">
      <c r="A33" t="s">
        <v>54</v>
      </c>
      <c r="B33" t="s">
        <v>1132</v>
      </c>
      <c r="C33" t="s">
        <v>4632</v>
      </c>
      <c r="D33" t="s">
        <v>4633</v>
      </c>
      <c r="F33" t="s">
        <v>5989</v>
      </c>
      <c r="G33" t="s">
        <v>5990</v>
      </c>
      <c r="H33" t="s">
        <v>5991</v>
      </c>
      <c r="I33" t="s">
        <v>5992</v>
      </c>
      <c r="J33" t="s">
        <v>5993</v>
      </c>
      <c r="K33" t="s">
        <v>5994</v>
      </c>
      <c r="L33" t="s">
        <v>5995</v>
      </c>
      <c r="M33" t="s">
        <v>5996</v>
      </c>
      <c r="N33" t="s">
        <v>5997</v>
      </c>
      <c r="O33" t="s">
        <v>5998</v>
      </c>
      <c r="P33" t="s">
        <v>5999</v>
      </c>
      <c r="Q33" t="s">
        <v>6000</v>
      </c>
      <c r="R33" t="s">
        <v>6001</v>
      </c>
      <c r="S33" t="s">
        <v>6002</v>
      </c>
      <c r="T33" t="s">
        <v>6003</v>
      </c>
      <c r="U33" t="s">
        <v>6004</v>
      </c>
      <c r="V33" t="s">
        <v>6005</v>
      </c>
      <c r="W33" t="s">
        <v>6006</v>
      </c>
      <c r="X33" t="s">
        <v>6007</v>
      </c>
      <c r="Y33" t="s">
        <v>6008</v>
      </c>
      <c r="Z33" t="s">
        <v>6009</v>
      </c>
      <c r="AA33" t="s">
        <v>6010</v>
      </c>
      <c r="AB33" t="s">
        <v>6011</v>
      </c>
      <c r="AC33" t="s">
        <v>6012</v>
      </c>
      <c r="AD33" t="s">
        <v>6013</v>
      </c>
      <c r="AE33" t="s">
        <v>6014</v>
      </c>
      <c r="AF33" t="s">
        <v>6015</v>
      </c>
      <c r="AG33" t="s">
        <v>6016</v>
      </c>
      <c r="AH33" t="s">
        <v>6017</v>
      </c>
      <c r="AI33" t="s">
        <v>6018</v>
      </c>
      <c r="AJ33" t="s">
        <v>6019</v>
      </c>
      <c r="AK33" t="s">
        <v>6020</v>
      </c>
      <c r="AL33" t="s">
        <v>6021</v>
      </c>
      <c r="AM33" t="s">
        <v>6022</v>
      </c>
      <c r="AN33" t="s">
        <v>6023</v>
      </c>
      <c r="AO33" t="s">
        <v>6024</v>
      </c>
      <c r="AP33" t="s">
        <v>6025</v>
      </c>
      <c r="AQ33" t="s">
        <v>6026</v>
      </c>
      <c r="AR33" t="s">
        <v>6027</v>
      </c>
      <c r="AS33" t="s">
        <v>6028</v>
      </c>
      <c r="AT33" t="s">
        <v>6029</v>
      </c>
      <c r="AU33" t="s">
        <v>6030</v>
      </c>
      <c r="AV33" t="s">
        <v>6031</v>
      </c>
      <c r="AW33" t="s">
        <v>6032</v>
      </c>
      <c r="AX33" t="s">
        <v>6033</v>
      </c>
      <c r="AY33" t="s">
        <v>6034</v>
      </c>
      <c r="AZ33" t="s">
        <v>6035</v>
      </c>
      <c r="BA33" t="s">
        <v>6036</v>
      </c>
      <c r="BB33" t="s">
        <v>6037</v>
      </c>
      <c r="BC33" t="s">
        <v>6038</v>
      </c>
      <c r="BD33" t="s">
        <v>6039</v>
      </c>
      <c r="BE33" t="s">
        <v>6040</v>
      </c>
      <c r="BF33" t="s">
        <v>6041</v>
      </c>
      <c r="BG33" t="s">
        <v>6042</v>
      </c>
      <c r="BH33" t="s">
        <v>6043</v>
      </c>
      <c r="BI33" t="s">
        <v>6044</v>
      </c>
      <c r="BJ33" t="s">
        <v>6045</v>
      </c>
      <c r="BK33" t="s">
        <v>6046</v>
      </c>
      <c r="BL33" t="s">
        <v>6047</v>
      </c>
      <c r="BM33" t="s">
        <v>6048</v>
      </c>
      <c r="BN33" t="s">
        <v>6049</v>
      </c>
      <c r="BO33" t="s">
        <v>6050</v>
      </c>
      <c r="BP33" t="s">
        <v>6051</v>
      </c>
      <c r="BR33" t="s">
        <v>274</v>
      </c>
    </row>
    <row r="34" spans="1:70" x14ac:dyDescent="0.3">
      <c r="A34" t="s">
        <v>55</v>
      </c>
      <c r="B34" t="s">
        <v>1133</v>
      </c>
      <c r="C34" t="s">
        <v>4632</v>
      </c>
      <c r="D34" t="s">
        <v>4633</v>
      </c>
      <c r="F34" t="s">
        <v>6052</v>
      </c>
      <c r="G34" t="s">
        <v>6053</v>
      </c>
      <c r="H34" t="s">
        <v>6054</v>
      </c>
      <c r="I34" t="s">
        <v>6055</v>
      </c>
      <c r="J34" t="s">
        <v>6056</v>
      </c>
      <c r="K34" t="s">
        <v>6057</v>
      </c>
      <c r="L34" t="s">
        <v>6058</v>
      </c>
      <c r="M34" t="s">
        <v>6059</v>
      </c>
      <c r="N34" t="s">
        <v>6060</v>
      </c>
      <c r="O34" t="s">
        <v>6061</v>
      </c>
      <c r="P34" t="s">
        <v>6062</v>
      </c>
      <c r="Q34" t="s">
        <v>6063</v>
      </c>
      <c r="R34" t="s">
        <v>6064</v>
      </c>
      <c r="S34" t="s">
        <v>6065</v>
      </c>
      <c r="T34" t="s">
        <v>6066</v>
      </c>
      <c r="U34" t="s">
        <v>6067</v>
      </c>
      <c r="V34" t="s">
        <v>6068</v>
      </c>
      <c r="W34" t="s">
        <v>6069</v>
      </c>
      <c r="X34" t="s">
        <v>6070</v>
      </c>
      <c r="Y34" t="s">
        <v>6071</v>
      </c>
      <c r="Z34" t="s">
        <v>6072</v>
      </c>
      <c r="AA34" t="s">
        <v>6073</v>
      </c>
      <c r="AB34" t="s">
        <v>6074</v>
      </c>
      <c r="AC34" t="s">
        <v>6075</v>
      </c>
      <c r="AD34" t="s">
        <v>6076</v>
      </c>
      <c r="AE34" t="s">
        <v>6077</v>
      </c>
      <c r="AF34" t="s">
        <v>6078</v>
      </c>
      <c r="AG34" t="s">
        <v>6079</v>
      </c>
      <c r="AH34" t="s">
        <v>6080</v>
      </c>
      <c r="AI34" t="s">
        <v>6081</v>
      </c>
      <c r="AJ34" t="s">
        <v>6082</v>
      </c>
      <c r="AK34" t="s">
        <v>6083</v>
      </c>
      <c r="AL34" t="s">
        <v>6084</v>
      </c>
      <c r="AM34" t="s">
        <v>6085</v>
      </c>
      <c r="AN34" t="s">
        <v>6086</v>
      </c>
      <c r="AO34" t="s">
        <v>6087</v>
      </c>
      <c r="AP34" t="s">
        <v>6088</v>
      </c>
      <c r="AQ34" t="s">
        <v>6089</v>
      </c>
      <c r="AR34" t="s">
        <v>6090</v>
      </c>
      <c r="AS34" t="s">
        <v>6091</v>
      </c>
      <c r="AT34" t="s">
        <v>6092</v>
      </c>
      <c r="AU34" t="s">
        <v>6093</v>
      </c>
      <c r="AV34" t="s">
        <v>6094</v>
      </c>
      <c r="AW34" t="s">
        <v>6095</v>
      </c>
      <c r="AX34" t="s">
        <v>6096</v>
      </c>
      <c r="AY34" t="s">
        <v>6097</v>
      </c>
      <c r="AZ34" t="s">
        <v>6098</v>
      </c>
      <c r="BA34" t="s">
        <v>6099</v>
      </c>
      <c r="BB34" t="s">
        <v>6100</v>
      </c>
      <c r="BC34" t="s">
        <v>6101</v>
      </c>
      <c r="BD34" t="s">
        <v>6102</v>
      </c>
      <c r="BE34" t="s">
        <v>6103</v>
      </c>
      <c r="BF34" t="s">
        <v>6104</v>
      </c>
      <c r="BG34" t="s">
        <v>6105</v>
      </c>
      <c r="BH34" t="s">
        <v>6106</v>
      </c>
      <c r="BI34" t="s">
        <v>6107</v>
      </c>
      <c r="BJ34" t="s">
        <v>6108</v>
      </c>
      <c r="BK34" t="s">
        <v>6109</v>
      </c>
      <c r="BL34" t="s">
        <v>6110</v>
      </c>
      <c r="BM34" t="s">
        <v>6111</v>
      </c>
      <c r="BN34" t="s">
        <v>6112</v>
      </c>
      <c r="BO34" t="s">
        <v>6113</v>
      </c>
      <c r="BP34" t="s">
        <v>6114</v>
      </c>
      <c r="BR34" t="s">
        <v>274</v>
      </c>
    </row>
    <row r="35" spans="1:70" x14ac:dyDescent="0.3">
      <c r="A35" t="s">
        <v>56</v>
      </c>
      <c r="B35" t="s">
        <v>1171</v>
      </c>
      <c r="C35" t="s">
        <v>4632</v>
      </c>
      <c r="D35" t="s">
        <v>4633</v>
      </c>
      <c r="F35" t="s">
        <v>6115</v>
      </c>
      <c r="G35" t="s">
        <v>6116</v>
      </c>
      <c r="H35" t="s">
        <v>6117</v>
      </c>
      <c r="I35" t="s">
        <v>6118</v>
      </c>
      <c r="J35" t="s">
        <v>6119</v>
      </c>
      <c r="K35" t="s">
        <v>6120</v>
      </c>
      <c r="L35" t="s">
        <v>6121</v>
      </c>
      <c r="M35" t="s">
        <v>6122</v>
      </c>
      <c r="N35" t="s">
        <v>6123</v>
      </c>
      <c r="O35" t="s">
        <v>6124</v>
      </c>
      <c r="P35" t="s">
        <v>6125</v>
      </c>
      <c r="Q35" t="s">
        <v>6126</v>
      </c>
      <c r="R35" t="s">
        <v>6127</v>
      </c>
      <c r="S35" t="s">
        <v>6128</v>
      </c>
      <c r="T35" t="s">
        <v>6129</v>
      </c>
      <c r="U35" t="s">
        <v>6130</v>
      </c>
      <c r="V35" t="s">
        <v>6131</v>
      </c>
      <c r="W35" t="s">
        <v>6132</v>
      </c>
      <c r="X35" t="s">
        <v>6133</v>
      </c>
      <c r="Y35" t="s">
        <v>6134</v>
      </c>
      <c r="Z35" t="s">
        <v>6135</v>
      </c>
      <c r="AA35" t="s">
        <v>6136</v>
      </c>
      <c r="AB35" t="s">
        <v>6137</v>
      </c>
      <c r="AC35" t="s">
        <v>6138</v>
      </c>
      <c r="AD35" t="s">
        <v>6139</v>
      </c>
      <c r="AE35" t="s">
        <v>6140</v>
      </c>
      <c r="AF35" t="s">
        <v>6141</v>
      </c>
      <c r="AG35" t="s">
        <v>6142</v>
      </c>
      <c r="AH35" t="s">
        <v>6143</v>
      </c>
      <c r="AI35" t="s">
        <v>6144</v>
      </c>
      <c r="AJ35" t="s">
        <v>6145</v>
      </c>
      <c r="AK35" t="s">
        <v>6146</v>
      </c>
      <c r="AL35" t="s">
        <v>6147</v>
      </c>
      <c r="AM35" t="s">
        <v>6148</v>
      </c>
      <c r="AN35" t="s">
        <v>6149</v>
      </c>
      <c r="AO35" t="s">
        <v>6150</v>
      </c>
      <c r="AP35" t="s">
        <v>6151</v>
      </c>
      <c r="AQ35" t="s">
        <v>6152</v>
      </c>
      <c r="AR35" t="s">
        <v>6153</v>
      </c>
      <c r="AS35" t="s">
        <v>6154</v>
      </c>
      <c r="AT35" t="s">
        <v>6155</v>
      </c>
      <c r="AU35" t="s">
        <v>6156</v>
      </c>
      <c r="AV35" t="s">
        <v>6157</v>
      </c>
      <c r="AW35" t="s">
        <v>6158</v>
      </c>
      <c r="AX35" t="s">
        <v>6159</v>
      </c>
      <c r="AY35" t="s">
        <v>6160</v>
      </c>
      <c r="AZ35" t="s">
        <v>6161</v>
      </c>
      <c r="BA35" t="s">
        <v>6162</v>
      </c>
      <c r="BB35" t="s">
        <v>6163</v>
      </c>
      <c r="BC35" t="s">
        <v>6164</v>
      </c>
      <c r="BD35" t="s">
        <v>6165</v>
      </c>
      <c r="BE35" t="s">
        <v>6166</v>
      </c>
      <c r="BF35" t="s">
        <v>6167</v>
      </c>
      <c r="BG35" t="s">
        <v>6168</v>
      </c>
      <c r="BH35" t="s">
        <v>6169</v>
      </c>
      <c r="BI35" t="s">
        <v>6170</v>
      </c>
      <c r="BJ35" t="s">
        <v>6171</v>
      </c>
      <c r="BK35" t="s">
        <v>6172</v>
      </c>
      <c r="BL35" t="s">
        <v>6173</v>
      </c>
      <c r="BM35" t="s">
        <v>6174</v>
      </c>
      <c r="BN35" t="s">
        <v>6175</v>
      </c>
      <c r="BO35" t="s">
        <v>6176</v>
      </c>
      <c r="BP35" t="s">
        <v>6177</v>
      </c>
      <c r="BR35" t="s">
        <v>274</v>
      </c>
    </row>
    <row r="36" spans="1:70" x14ac:dyDescent="0.3">
      <c r="A36" t="s">
        <v>57</v>
      </c>
      <c r="B36" t="s">
        <v>1200</v>
      </c>
      <c r="C36" t="s">
        <v>4632</v>
      </c>
      <c r="D36" t="s">
        <v>4633</v>
      </c>
      <c r="F36" t="s">
        <v>6178</v>
      </c>
      <c r="G36" t="s">
        <v>6179</v>
      </c>
      <c r="H36" t="s">
        <v>6180</v>
      </c>
      <c r="I36" t="s">
        <v>6181</v>
      </c>
      <c r="J36" t="s">
        <v>6182</v>
      </c>
      <c r="K36" t="s">
        <v>6183</v>
      </c>
      <c r="L36" t="s">
        <v>6184</v>
      </c>
      <c r="M36" t="s">
        <v>6185</v>
      </c>
      <c r="N36" t="s">
        <v>6186</v>
      </c>
      <c r="O36" t="s">
        <v>6187</v>
      </c>
      <c r="P36" t="s">
        <v>6188</v>
      </c>
      <c r="Q36" t="s">
        <v>6189</v>
      </c>
      <c r="R36" t="s">
        <v>6190</v>
      </c>
      <c r="S36" t="s">
        <v>6191</v>
      </c>
      <c r="T36" t="s">
        <v>6192</v>
      </c>
      <c r="U36" t="s">
        <v>6193</v>
      </c>
      <c r="V36" t="s">
        <v>6194</v>
      </c>
      <c r="W36" t="s">
        <v>6195</v>
      </c>
      <c r="X36" t="s">
        <v>6196</v>
      </c>
      <c r="Y36" t="s">
        <v>6197</v>
      </c>
      <c r="Z36" t="s">
        <v>6198</v>
      </c>
      <c r="AA36" t="s">
        <v>6199</v>
      </c>
      <c r="AB36" t="s">
        <v>6200</v>
      </c>
      <c r="AC36" t="s">
        <v>6201</v>
      </c>
      <c r="AD36" t="s">
        <v>6202</v>
      </c>
      <c r="AE36" t="s">
        <v>6203</v>
      </c>
      <c r="AF36" t="s">
        <v>6204</v>
      </c>
      <c r="AG36" t="s">
        <v>6205</v>
      </c>
      <c r="AH36" t="s">
        <v>6206</v>
      </c>
      <c r="AI36" t="s">
        <v>6207</v>
      </c>
      <c r="AJ36" t="s">
        <v>6208</v>
      </c>
      <c r="AK36" t="s">
        <v>6209</v>
      </c>
      <c r="AL36" t="s">
        <v>6210</v>
      </c>
      <c r="AM36" t="s">
        <v>6211</v>
      </c>
      <c r="AN36" t="s">
        <v>6212</v>
      </c>
      <c r="AO36" t="s">
        <v>6213</v>
      </c>
      <c r="AP36" t="s">
        <v>6214</v>
      </c>
      <c r="AQ36" t="s">
        <v>6215</v>
      </c>
      <c r="AR36" t="s">
        <v>6216</v>
      </c>
      <c r="AS36" t="s">
        <v>6217</v>
      </c>
      <c r="AT36" t="s">
        <v>6218</v>
      </c>
      <c r="AU36" t="s">
        <v>6219</v>
      </c>
      <c r="AV36" t="s">
        <v>6220</v>
      </c>
      <c r="AW36" t="s">
        <v>6221</v>
      </c>
      <c r="AX36" t="s">
        <v>6222</v>
      </c>
      <c r="AY36" t="s">
        <v>6223</v>
      </c>
      <c r="AZ36" t="s">
        <v>6224</v>
      </c>
      <c r="BA36" t="s">
        <v>6225</v>
      </c>
      <c r="BB36" t="s">
        <v>6226</v>
      </c>
      <c r="BC36" t="s">
        <v>6227</v>
      </c>
      <c r="BD36" t="s">
        <v>6228</v>
      </c>
      <c r="BE36" t="s">
        <v>6229</v>
      </c>
      <c r="BF36" t="s">
        <v>6230</v>
      </c>
      <c r="BG36" t="s">
        <v>6231</v>
      </c>
      <c r="BH36" t="s">
        <v>6232</v>
      </c>
      <c r="BI36" t="s">
        <v>6233</v>
      </c>
      <c r="BJ36" t="s">
        <v>6234</v>
      </c>
      <c r="BK36" t="s">
        <v>6235</v>
      </c>
      <c r="BL36" t="s">
        <v>6236</v>
      </c>
      <c r="BM36" t="s">
        <v>6237</v>
      </c>
      <c r="BN36" t="s">
        <v>6238</v>
      </c>
      <c r="BO36" t="s">
        <v>6239</v>
      </c>
      <c r="BP36" t="s">
        <v>6240</v>
      </c>
      <c r="BR36" t="s">
        <v>274</v>
      </c>
    </row>
    <row r="37" spans="1:70" x14ac:dyDescent="0.3">
      <c r="A37" t="s">
        <v>1228</v>
      </c>
      <c r="B37" t="s">
        <v>1229</v>
      </c>
      <c r="C37" t="s">
        <v>4632</v>
      </c>
      <c r="D37" t="s">
        <v>4633</v>
      </c>
      <c r="F37" t="s">
        <v>274</v>
      </c>
      <c r="G37" t="s">
        <v>274</v>
      </c>
      <c r="H37" t="s">
        <v>274</v>
      </c>
      <c r="I37" t="s">
        <v>274</v>
      </c>
      <c r="J37" t="s">
        <v>274</v>
      </c>
      <c r="K37" t="s">
        <v>274</v>
      </c>
      <c r="L37" t="s">
        <v>274</v>
      </c>
      <c r="M37" t="s">
        <v>274</v>
      </c>
      <c r="N37" t="s">
        <v>274</v>
      </c>
      <c r="O37" t="s">
        <v>274</v>
      </c>
      <c r="P37" t="s">
        <v>274</v>
      </c>
      <c r="Q37" t="s">
        <v>274</v>
      </c>
      <c r="R37" t="s">
        <v>274</v>
      </c>
      <c r="S37" t="s">
        <v>274</v>
      </c>
      <c r="T37" t="s">
        <v>6241</v>
      </c>
      <c r="U37" t="s">
        <v>6242</v>
      </c>
      <c r="V37" t="s">
        <v>6243</v>
      </c>
      <c r="W37" t="s">
        <v>6244</v>
      </c>
      <c r="X37" t="s">
        <v>6245</v>
      </c>
      <c r="Y37" t="s">
        <v>6246</v>
      </c>
      <c r="Z37" t="s">
        <v>6247</v>
      </c>
      <c r="AA37" t="s">
        <v>6248</v>
      </c>
      <c r="AB37" t="s">
        <v>6249</v>
      </c>
      <c r="AC37" t="s">
        <v>6250</v>
      </c>
      <c r="AD37" t="s">
        <v>6251</v>
      </c>
      <c r="AE37" t="s">
        <v>6252</v>
      </c>
      <c r="AF37" t="s">
        <v>6253</v>
      </c>
      <c r="AG37" t="s">
        <v>6254</v>
      </c>
      <c r="AH37" t="s">
        <v>6255</v>
      </c>
      <c r="AI37" t="s">
        <v>6256</v>
      </c>
      <c r="AJ37" t="s">
        <v>6257</v>
      </c>
      <c r="AK37" t="s">
        <v>6258</v>
      </c>
      <c r="AL37" t="s">
        <v>6259</v>
      </c>
      <c r="AM37" t="s">
        <v>6260</v>
      </c>
      <c r="AN37" t="s">
        <v>6261</v>
      </c>
      <c r="AO37" t="s">
        <v>6262</v>
      </c>
      <c r="AP37" t="s">
        <v>6263</v>
      </c>
      <c r="AQ37" t="s">
        <v>6264</v>
      </c>
      <c r="AR37" t="s">
        <v>6265</v>
      </c>
      <c r="AS37" t="s">
        <v>6266</v>
      </c>
      <c r="AT37" t="s">
        <v>6267</v>
      </c>
      <c r="AU37" t="s">
        <v>6268</v>
      </c>
      <c r="AV37" t="s">
        <v>6269</v>
      </c>
      <c r="AW37" t="s">
        <v>6270</v>
      </c>
      <c r="AX37" t="s">
        <v>6271</v>
      </c>
      <c r="AY37" t="s">
        <v>6272</v>
      </c>
      <c r="AZ37" t="s">
        <v>6273</v>
      </c>
      <c r="BA37" t="s">
        <v>6274</v>
      </c>
      <c r="BB37" t="s">
        <v>6275</v>
      </c>
      <c r="BC37" t="s">
        <v>6276</v>
      </c>
      <c r="BD37" t="s">
        <v>6277</v>
      </c>
      <c r="BE37" t="s">
        <v>6278</v>
      </c>
      <c r="BF37" t="s">
        <v>6279</v>
      </c>
      <c r="BG37" t="s">
        <v>6280</v>
      </c>
      <c r="BH37" t="s">
        <v>6281</v>
      </c>
      <c r="BI37" t="s">
        <v>6282</v>
      </c>
      <c r="BJ37" t="s">
        <v>6283</v>
      </c>
      <c r="BK37" t="s">
        <v>6284</v>
      </c>
      <c r="BL37" t="s">
        <v>6285</v>
      </c>
      <c r="BM37" t="s">
        <v>6286</v>
      </c>
      <c r="BN37" t="s">
        <v>6287</v>
      </c>
      <c r="BO37" t="s">
        <v>6288</v>
      </c>
      <c r="BP37" t="s">
        <v>6289</v>
      </c>
      <c r="BR37" t="s">
        <v>274</v>
      </c>
    </row>
    <row r="38" spans="1:70" x14ac:dyDescent="0.3">
      <c r="A38" t="s">
        <v>1231</v>
      </c>
      <c r="B38" t="s">
        <v>1232</v>
      </c>
      <c r="C38" t="s">
        <v>4632</v>
      </c>
      <c r="D38" t="s">
        <v>4633</v>
      </c>
      <c r="F38" t="s">
        <v>274</v>
      </c>
      <c r="G38" t="s">
        <v>274</v>
      </c>
      <c r="H38" t="s">
        <v>274</v>
      </c>
      <c r="I38" t="s">
        <v>274</v>
      </c>
      <c r="J38" t="s">
        <v>274</v>
      </c>
      <c r="K38" t="s">
        <v>274</v>
      </c>
      <c r="L38" t="s">
        <v>274</v>
      </c>
      <c r="M38" t="s">
        <v>274</v>
      </c>
      <c r="N38" t="s">
        <v>274</v>
      </c>
      <c r="O38" t="s">
        <v>274</v>
      </c>
      <c r="P38" t="s">
        <v>6290</v>
      </c>
      <c r="Q38" t="s">
        <v>6291</v>
      </c>
      <c r="R38" t="s">
        <v>6292</v>
      </c>
      <c r="S38" t="s">
        <v>6293</v>
      </c>
      <c r="T38" t="s">
        <v>6294</v>
      </c>
      <c r="U38" t="s">
        <v>6295</v>
      </c>
      <c r="V38" t="s">
        <v>6296</v>
      </c>
      <c r="W38" t="s">
        <v>6297</v>
      </c>
      <c r="X38" t="s">
        <v>6298</v>
      </c>
      <c r="Y38" t="s">
        <v>6299</v>
      </c>
      <c r="Z38" t="s">
        <v>6300</v>
      </c>
      <c r="AA38" t="s">
        <v>6301</v>
      </c>
      <c r="AB38" t="s">
        <v>6302</v>
      </c>
      <c r="AC38" t="s">
        <v>6303</v>
      </c>
      <c r="AD38" t="s">
        <v>6304</v>
      </c>
      <c r="AE38" t="s">
        <v>6305</v>
      </c>
      <c r="AF38" t="s">
        <v>6306</v>
      </c>
      <c r="AG38" t="s">
        <v>6307</v>
      </c>
      <c r="AH38" t="s">
        <v>6308</v>
      </c>
      <c r="AI38" t="s">
        <v>6309</v>
      </c>
      <c r="AJ38" t="s">
        <v>6310</v>
      </c>
      <c r="AK38" t="s">
        <v>6311</v>
      </c>
      <c r="AL38" t="s">
        <v>6312</v>
      </c>
      <c r="AM38" t="s">
        <v>6313</v>
      </c>
      <c r="AN38" t="s">
        <v>6314</v>
      </c>
      <c r="AO38" t="s">
        <v>6315</v>
      </c>
      <c r="AP38" t="s">
        <v>6316</v>
      </c>
      <c r="AQ38" t="s">
        <v>6317</v>
      </c>
      <c r="AR38" t="s">
        <v>6318</v>
      </c>
      <c r="AS38" t="s">
        <v>6319</v>
      </c>
      <c r="AT38" t="s">
        <v>6320</v>
      </c>
      <c r="AU38" t="s">
        <v>6321</v>
      </c>
      <c r="AV38" t="s">
        <v>6322</v>
      </c>
      <c r="AW38" t="s">
        <v>6323</v>
      </c>
      <c r="AX38" t="s">
        <v>6324</v>
      </c>
      <c r="AY38" t="s">
        <v>6325</v>
      </c>
      <c r="AZ38" t="s">
        <v>6326</v>
      </c>
      <c r="BA38" t="s">
        <v>6327</v>
      </c>
      <c r="BB38" t="s">
        <v>6328</v>
      </c>
      <c r="BC38" t="s">
        <v>6329</v>
      </c>
      <c r="BD38" t="s">
        <v>6330</v>
      </c>
      <c r="BE38" t="s">
        <v>6331</v>
      </c>
      <c r="BF38" t="s">
        <v>6332</v>
      </c>
      <c r="BG38" t="s">
        <v>6333</v>
      </c>
      <c r="BH38" t="s">
        <v>6334</v>
      </c>
      <c r="BI38" t="s">
        <v>6335</v>
      </c>
      <c r="BJ38" t="s">
        <v>6336</v>
      </c>
      <c r="BK38" t="s">
        <v>6337</v>
      </c>
      <c r="BL38" t="s">
        <v>6338</v>
      </c>
      <c r="BM38" t="s">
        <v>6339</v>
      </c>
      <c r="BN38" t="s">
        <v>6340</v>
      </c>
      <c r="BO38" t="s">
        <v>6341</v>
      </c>
      <c r="BP38" t="s">
        <v>274</v>
      </c>
      <c r="BR38" t="s">
        <v>274</v>
      </c>
    </row>
    <row r="39" spans="1:70" x14ac:dyDescent="0.3">
      <c r="A39" t="s">
        <v>202</v>
      </c>
      <c r="B39" t="s">
        <v>1250</v>
      </c>
      <c r="C39" t="s">
        <v>4632</v>
      </c>
      <c r="D39" t="s">
        <v>4633</v>
      </c>
      <c r="F39" t="s">
        <v>4671</v>
      </c>
      <c r="G39" t="s">
        <v>6342</v>
      </c>
      <c r="H39" t="s">
        <v>6343</v>
      </c>
      <c r="I39" t="s">
        <v>6344</v>
      </c>
      <c r="J39" t="s">
        <v>6345</v>
      </c>
      <c r="K39" t="s">
        <v>6346</v>
      </c>
      <c r="L39" t="s">
        <v>6347</v>
      </c>
      <c r="M39" t="s">
        <v>6348</v>
      </c>
      <c r="N39" t="s">
        <v>6349</v>
      </c>
      <c r="O39" t="s">
        <v>6350</v>
      </c>
      <c r="P39" t="s">
        <v>6351</v>
      </c>
      <c r="Q39" t="s">
        <v>6352</v>
      </c>
      <c r="R39" t="s">
        <v>6353</v>
      </c>
      <c r="S39" t="s">
        <v>6354</v>
      </c>
      <c r="T39" t="s">
        <v>6355</v>
      </c>
      <c r="U39" t="s">
        <v>6356</v>
      </c>
      <c r="V39" t="s">
        <v>6357</v>
      </c>
      <c r="W39" t="s">
        <v>6358</v>
      </c>
      <c r="X39" t="s">
        <v>6359</v>
      </c>
      <c r="Y39" t="s">
        <v>6360</v>
      </c>
      <c r="Z39" t="s">
        <v>6361</v>
      </c>
      <c r="AA39" t="s">
        <v>6362</v>
      </c>
      <c r="AB39" t="s">
        <v>6363</v>
      </c>
      <c r="AC39" t="s">
        <v>6364</v>
      </c>
      <c r="AD39" t="s">
        <v>6365</v>
      </c>
      <c r="AE39" t="s">
        <v>6366</v>
      </c>
      <c r="AF39" t="s">
        <v>4697</v>
      </c>
      <c r="AG39" t="s">
        <v>6367</v>
      </c>
      <c r="AH39" t="s">
        <v>6368</v>
      </c>
      <c r="AI39" t="s">
        <v>6369</v>
      </c>
      <c r="AJ39" t="s">
        <v>6370</v>
      </c>
      <c r="AK39" t="s">
        <v>6371</v>
      </c>
      <c r="AL39" t="s">
        <v>6372</v>
      </c>
      <c r="AM39" t="s">
        <v>6373</v>
      </c>
      <c r="AN39" t="s">
        <v>6374</v>
      </c>
      <c r="AO39" t="s">
        <v>6375</v>
      </c>
      <c r="AP39" t="s">
        <v>6376</v>
      </c>
      <c r="AQ39" t="s">
        <v>6377</v>
      </c>
      <c r="AR39" t="s">
        <v>6378</v>
      </c>
      <c r="AS39" t="s">
        <v>6379</v>
      </c>
      <c r="AT39" t="s">
        <v>4711</v>
      </c>
      <c r="AU39" t="s">
        <v>6380</v>
      </c>
      <c r="AV39" t="s">
        <v>6381</v>
      </c>
      <c r="AW39" t="s">
        <v>6382</v>
      </c>
      <c r="AX39" t="s">
        <v>6383</v>
      </c>
      <c r="AY39" t="s">
        <v>6384</v>
      </c>
      <c r="AZ39" t="s">
        <v>6385</v>
      </c>
      <c r="BA39" t="s">
        <v>6386</v>
      </c>
      <c r="BB39" t="s">
        <v>6387</v>
      </c>
      <c r="BC39" t="s">
        <v>6388</v>
      </c>
      <c r="BD39" t="s">
        <v>6389</v>
      </c>
      <c r="BE39" t="s">
        <v>6390</v>
      </c>
      <c r="BF39" t="s">
        <v>6391</v>
      </c>
      <c r="BG39" t="s">
        <v>6392</v>
      </c>
      <c r="BH39" t="s">
        <v>6393</v>
      </c>
      <c r="BI39" t="s">
        <v>6394</v>
      </c>
      <c r="BJ39" t="s">
        <v>6395</v>
      </c>
      <c r="BK39" t="s">
        <v>6396</v>
      </c>
      <c r="BL39" t="s">
        <v>6397</v>
      </c>
      <c r="BM39" t="s">
        <v>6398</v>
      </c>
      <c r="BN39" t="s">
        <v>6399</v>
      </c>
      <c r="BO39" t="s">
        <v>6400</v>
      </c>
      <c r="BP39" t="s">
        <v>6401</v>
      </c>
      <c r="BR39" t="s">
        <v>274</v>
      </c>
    </row>
    <row r="40" spans="1:70" x14ac:dyDescent="0.3">
      <c r="A40" t="s">
        <v>58</v>
      </c>
      <c r="B40" t="s">
        <v>1277</v>
      </c>
      <c r="C40" t="s">
        <v>4632</v>
      </c>
      <c r="D40" t="s">
        <v>4633</v>
      </c>
      <c r="F40" t="s">
        <v>6402</v>
      </c>
      <c r="G40" t="s">
        <v>6403</v>
      </c>
      <c r="H40" t="s">
        <v>6404</v>
      </c>
      <c r="I40" t="s">
        <v>6405</v>
      </c>
      <c r="J40" t="s">
        <v>6406</v>
      </c>
      <c r="K40" t="s">
        <v>6407</v>
      </c>
      <c r="L40" t="s">
        <v>6408</v>
      </c>
      <c r="M40" t="s">
        <v>6409</v>
      </c>
      <c r="N40" t="s">
        <v>6410</v>
      </c>
      <c r="O40" t="s">
        <v>6411</v>
      </c>
      <c r="P40" t="s">
        <v>6412</v>
      </c>
      <c r="Q40" t="s">
        <v>6413</v>
      </c>
      <c r="R40" t="s">
        <v>6414</v>
      </c>
      <c r="S40" t="s">
        <v>6415</v>
      </c>
      <c r="T40" t="s">
        <v>6416</v>
      </c>
      <c r="U40" t="s">
        <v>6417</v>
      </c>
      <c r="V40" t="s">
        <v>6418</v>
      </c>
      <c r="W40" t="s">
        <v>6419</v>
      </c>
      <c r="X40" t="s">
        <v>6420</v>
      </c>
      <c r="Y40" t="s">
        <v>6421</v>
      </c>
      <c r="Z40" t="s">
        <v>6422</v>
      </c>
      <c r="AA40" t="s">
        <v>6423</v>
      </c>
      <c r="AB40" t="s">
        <v>6424</v>
      </c>
      <c r="AC40" t="s">
        <v>6425</v>
      </c>
      <c r="AD40" t="s">
        <v>6426</v>
      </c>
      <c r="AE40" t="s">
        <v>6427</v>
      </c>
      <c r="AF40" t="s">
        <v>6428</v>
      </c>
      <c r="AG40" t="s">
        <v>6429</v>
      </c>
      <c r="AH40" t="s">
        <v>6430</v>
      </c>
      <c r="AI40" t="s">
        <v>6431</v>
      </c>
      <c r="AJ40" t="s">
        <v>6432</v>
      </c>
      <c r="AK40" t="s">
        <v>6433</v>
      </c>
      <c r="AL40" t="s">
        <v>6434</v>
      </c>
      <c r="AM40" t="s">
        <v>6435</v>
      </c>
      <c r="AN40" t="s">
        <v>6436</v>
      </c>
      <c r="AO40" t="s">
        <v>6437</v>
      </c>
      <c r="AP40" t="s">
        <v>6438</v>
      </c>
      <c r="AQ40" t="s">
        <v>6439</v>
      </c>
      <c r="AR40" t="s">
        <v>6440</v>
      </c>
      <c r="AS40" t="s">
        <v>6441</v>
      </c>
      <c r="AT40" t="s">
        <v>6442</v>
      </c>
      <c r="AU40" t="s">
        <v>6443</v>
      </c>
      <c r="AV40" t="s">
        <v>6444</v>
      </c>
      <c r="AW40" t="s">
        <v>6445</v>
      </c>
      <c r="AX40" t="s">
        <v>6446</v>
      </c>
      <c r="AY40" t="s">
        <v>6447</v>
      </c>
      <c r="AZ40" t="s">
        <v>6448</v>
      </c>
      <c r="BA40" t="s">
        <v>6449</v>
      </c>
      <c r="BB40" t="s">
        <v>6450</v>
      </c>
      <c r="BC40" t="s">
        <v>6451</v>
      </c>
      <c r="BD40" t="s">
        <v>6452</v>
      </c>
      <c r="BE40" t="s">
        <v>6453</v>
      </c>
      <c r="BF40" t="s">
        <v>6454</v>
      </c>
      <c r="BG40" t="s">
        <v>6455</v>
      </c>
      <c r="BH40" t="s">
        <v>6456</v>
      </c>
      <c r="BI40" t="s">
        <v>6457</v>
      </c>
      <c r="BJ40" t="s">
        <v>6458</v>
      </c>
      <c r="BK40" t="s">
        <v>6459</v>
      </c>
      <c r="BL40" t="s">
        <v>6460</v>
      </c>
      <c r="BM40" t="s">
        <v>6461</v>
      </c>
      <c r="BN40" t="s">
        <v>6462</v>
      </c>
      <c r="BO40" t="s">
        <v>6463</v>
      </c>
      <c r="BP40" t="s">
        <v>6464</v>
      </c>
      <c r="BR40" t="s">
        <v>274</v>
      </c>
    </row>
    <row r="41" spans="1:70" x14ac:dyDescent="0.3">
      <c r="A41" t="s">
        <v>59</v>
      </c>
      <c r="B41" t="s">
        <v>1278</v>
      </c>
      <c r="C41" t="s">
        <v>4632</v>
      </c>
      <c r="D41" t="s">
        <v>4633</v>
      </c>
      <c r="F41" t="s">
        <v>6465</v>
      </c>
      <c r="G41" t="s">
        <v>6466</v>
      </c>
      <c r="H41" t="s">
        <v>6467</v>
      </c>
      <c r="I41" t="s">
        <v>6468</v>
      </c>
      <c r="J41" t="s">
        <v>6469</v>
      </c>
      <c r="K41" t="s">
        <v>6470</v>
      </c>
      <c r="L41" t="s">
        <v>6471</v>
      </c>
      <c r="M41" t="s">
        <v>6472</v>
      </c>
      <c r="N41" t="s">
        <v>6473</v>
      </c>
      <c r="O41" t="s">
        <v>6474</v>
      </c>
      <c r="P41" t="s">
        <v>6475</v>
      </c>
      <c r="Q41" t="s">
        <v>6476</v>
      </c>
      <c r="R41" t="s">
        <v>6477</v>
      </c>
      <c r="S41" t="s">
        <v>6478</v>
      </c>
      <c r="T41" t="s">
        <v>6479</v>
      </c>
      <c r="U41" t="s">
        <v>6480</v>
      </c>
      <c r="V41" t="s">
        <v>6481</v>
      </c>
      <c r="W41" t="s">
        <v>6482</v>
      </c>
      <c r="X41" t="s">
        <v>6483</v>
      </c>
      <c r="Y41" t="s">
        <v>6484</v>
      </c>
      <c r="Z41" t="s">
        <v>6485</v>
      </c>
      <c r="AA41" t="s">
        <v>6486</v>
      </c>
      <c r="AB41" t="s">
        <v>6487</v>
      </c>
      <c r="AC41" t="s">
        <v>6488</v>
      </c>
      <c r="AD41" t="s">
        <v>6489</v>
      </c>
      <c r="AE41" t="s">
        <v>6490</v>
      </c>
      <c r="AF41" t="s">
        <v>6491</v>
      </c>
      <c r="AG41" t="s">
        <v>6492</v>
      </c>
      <c r="AH41" t="s">
        <v>6493</v>
      </c>
      <c r="AI41" t="s">
        <v>6494</v>
      </c>
      <c r="AJ41" t="s">
        <v>6495</v>
      </c>
      <c r="AK41" t="s">
        <v>6496</v>
      </c>
      <c r="AL41" t="s">
        <v>6497</v>
      </c>
      <c r="AM41" t="s">
        <v>6498</v>
      </c>
      <c r="AN41" t="s">
        <v>6499</v>
      </c>
      <c r="AO41" t="s">
        <v>6500</v>
      </c>
      <c r="AP41" t="s">
        <v>6501</v>
      </c>
      <c r="AQ41" t="s">
        <v>6502</v>
      </c>
      <c r="AR41" t="s">
        <v>6503</v>
      </c>
      <c r="AS41" t="s">
        <v>6504</v>
      </c>
      <c r="AT41" t="s">
        <v>6505</v>
      </c>
      <c r="AU41" t="s">
        <v>6506</v>
      </c>
      <c r="AV41" t="s">
        <v>6507</v>
      </c>
      <c r="AW41" t="s">
        <v>6508</v>
      </c>
      <c r="AX41" t="s">
        <v>6509</v>
      </c>
      <c r="AY41" t="s">
        <v>6510</v>
      </c>
      <c r="AZ41" t="s">
        <v>6511</v>
      </c>
      <c r="BA41" t="s">
        <v>6512</v>
      </c>
      <c r="BB41" t="s">
        <v>6513</v>
      </c>
      <c r="BC41" t="s">
        <v>6514</v>
      </c>
      <c r="BD41" t="s">
        <v>6515</v>
      </c>
      <c r="BE41" t="s">
        <v>6516</v>
      </c>
      <c r="BF41" t="s">
        <v>6517</v>
      </c>
      <c r="BG41" t="s">
        <v>6518</v>
      </c>
      <c r="BH41" t="s">
        <v>6519</v>
      </c>
      <c r="BI41" t="s">
        <v>6520</v>
      </c>
      <c r="BJ41" t="s">
        <v>6521</v>
      </c>
      <c r="BK41" t="s">
        <v>6522</v>
      </c>
      <c r="BL41" t="s">
        <v>6523</v>
      </c>
      <c r="BM41" t="s">
        <v>6524</v>
      </c>
      <c r="BN41" t="s">
        <v>6525</v>
      </c>
      <c r="BO41" t="s">
        <v>6526</v>
      </c>
      <c r="BP41" t="s">
        <v>6527</v>
      </c>
      <c r="BR41" t="s">
        <v>274</v>
      </c>
    </row>
    <row r="42" spans="1:70" x14ac:dyDescent="0.3">
      <c r="A42" t="s">
        <v>1321</v>
      </c>
      <c r="B42" t="s">
        <v>1322</v>
      </c>
      <c r="C42" t="s">
        <v>4632</v>
      </c>
      <c r="D42" t="s">
        <v>4633</v>
      </c>
      <c r="F42" t="s">
        <v>274</v>
      </c>
      <c r="G42" t="s">
        <v>274</v>
      </c>
      <c r="H42" t="s">
        <v>274</v>
      </c>
      <c r="I42" t="s">
        <v>274</v>
      </c>
      <c r="J42" t="s">
        <v>274</v>
      </c>
      <c r="K42" t="s">
        <v>274</v>
      </c>
      <c r="L42" t="s">
        <v>274</v>
      </c>
      <c r="M42" t="s">
        <v>274</v>
      </c>
      <c r="N42" t="s">
        <v>274</v>
      </c>
      <c r="O42" t="s">
        <v>274</v>
      </c>
      <c r="P42" t="s">
        <v>274</v>
      </c>
      <c r="Q42" t="s">
        <v>274</v>
      </c>
      <c r="R42" t="s">
        <v>274</v>
      </c>
      <c r="S42" t="s">
        <v>274</v>
      </c>
      <c r="T42" t="s">
        <v>274</v>
      </c>
      <c r="U42" t="s">
        <v>274</v>
      </c>
      <c r="V42" t="s">
        <v>274</v>
      </c>
      <c r="W42" t="s">
        <v>274</v>
      </c>
      <c r="X42" t="s">
        <v>274</v>
      </c>
      <c r="Y42" t="s">
        <v>274</v>
      </c>
      <c r="Z42" t="s">
        <v>274</v>
      </c>
      <c r="AA42" t="s">
        <v>274</v>
      </c>
      <c r="AB42" t="s">
        <v>274</v>
      </c>
      <c r="AC42" t="s">
        <v>274</v>
      </c>
      <c r="AD42" t="s">
        <v>274</v>
      </c>
      <c r="AE42" t="s">
        <v>274</v>
      </c>
      <c r="AF42" t="s">
        <v>274</v>
      </c>
      <c r="AG42" t="s">
        <v>274</v>
      </c>
      <c r="AH42" t="s">
        <v>274</v>
      </c>
      <c r="AI42" t="s">
        <v>274</v>
      </c>
      <c r="AJ42" t="s">
        <v>6528</v>
      </c>
      <c r="AK42" t="s">
        <v>6529</v>
      </c>
      <c r="AL42" t="s">
        <v>5715</v>
      </c>
      <c r="AM42" t="s">
        <v>6530</v>
      </c>
      <c r="AN42" t="s">
        <v>6531</v>
      </c>
      <c r="AO42" t="s">
        <v>6532</v>
      </c>
      <c r="AP42" t="s">
        <v>6533</v>
      </c>
      <c r="AQ42" t="s">
        <v>6534</v>
      </c>
      <c r="AR42" t="s">
        <v>6535</v>
      </c>
      <c r="AS42" t="s">
        <v>6536</v>
      </c>
      <c r="AT42" t="s">
        <v>6537</v>
      </c>
      <c r="AU42" t="s">
        <v>5724</v>
      </c>
      <c r="AV42" t="s">
        <v>6538</v>
      </c>
      <c r="AW42" t="s">
        <v>6539</v>
      </c>
      <c r="AX42" t="s">
        <v>6540</v>
      </c>
      <c r="AY42" t="s">
        <v>6541</v>
      </c>
      <c r="AZ42" t="s">
        <v>6542</v>
      </c>
      <c r="BA42" t="s">
        <v>6543</v>
      </c>
      <c r="BB42" t="s">
        <v>6544</v>
      </c>
      <c r="BC42" t="s">
        <v>6545</v>
      </c>
      <c r="BD42" t="s">
        <v>6546</v>
      </c>
      <c r="BE42" t="s">
        <v>6547</v>
      </c>
      <c r="BF42" t="s">
        <v>6548</v>
      </c>
      <c r="BG42" t="s">
        <v>5736</v>
      </c>
      <c r="BH42" t="s">
        <v>6549</v>
      </c>
      <c r="BI42" t="s">
        <v>6550</v>
      </c>
      <c r="BJ42" t="s">
        <v>6551</v>
      </c>
      <c r="BK42" t="s">
        <v>6552</v>
      </c>
      <c r="BL42" t="s">
        <v>6553</v>
      </c>
      <c r="BM42" t="s">
        <v>6554</v>
      </c>
      <c r="BN42" t="s">
        <v>6555</v>
      </c>
      <c r="BO42" t="s">
        <v>6556</v>
      </c>
      <c r="BP42" t="s">
        <v>6557</v>
      </c>
      <c r="BR42" t="s">
        <v>274</v>
      </c>
    </row>
    <row r="43" spans="1:70" x14ac:dyDescent="0.3">
      <c r="A43" t="s">
        <v>60</v>
      </c>
      <c r="B43" t="s">
        <v>1323</v>
      </c>
      <c r="C43" t="s">
        <v>4632</v>
      </c>
      <c r="D43" t="s">
        <v>4633</v>
      </c>
      <c r="F43" t="s">
        <v>6558</v>
      </c>
      <c r="G43" t="s">
        <v>6559</v>
      </c>
      <c r="H43" t="s">
        <v>6560</v>
      </c>
      <c r="I43" t="s">
        <v>6561</v>
      </c>
      <c r="J43" t="s">
        <v>6562</v>
      </c>
      <c r="K43" t="s">
        <v>6563</v>
      </c>
      <c r="L43" t="s">
        <v>6564</v>
      </c>
      <c r="M43" t="s">
        <v>6565</v>
      </c>
      <c r="N43" t="s">
        <v>6566</v>
      </c>
      <c r="O43" t="s">
        <v>6567</v>
      </c>
      <c r="P43" t="s">
        <v>6568</v>
      </c>
      <c r="Q43" t="s">
        <v>6569</v>
      </c>
      <c r="R43" t="s">
        <v>6570</v>
      </c>
      <c r="S43" t="s">
        <v>6571</v>
      </c>
      <c r="T43" t="s">
        <v>6572</v>
      </c>
      <c r="U43" t="s">
        <v>6573</v>
      </c>
      <c r="V43" t="s">
        <v>6574</v>
      </c>
      <c r="W43" t="s">
        <v>6575</v>
      </c>
      <c r="X43" t="s">
        <v>6576</v>
      </c>
      <c r="Y43" t="s">
        <v>6577</v>
      </c>
      <c r="Z43" t="s">
        <v>6578</v>
      </c>
      <c r="AA43" t="s">
        <v>6579</v>
      </c>
      <c r="AB43" t="s">
        <v>6580</v>
      </c>
      <c r="AC43" t="s">
        <v>6581</v>
      </c>
      <c r="AD43" t="s">
        <v>6582</v>
      </c>
      <c r="AE43" t="s">
        <v>6583</v>
      </c>
      <c r="AF43" t="s">
        <v>6584</v>
      </c>
      <c r="AG43" t="s">
        <v>6585</v>
      </c>
      <c r="AH43" t="s">
        <v>6586</v>
      </c>
      <c r="AI43" t="s">
        <v>6587</v>
      </c>
      <c r="AJ43" t="s">
        <v>6588</v>
      </c>
      <c r="AK43" t="s">
        <v>6589</v>
      </c>
      <c r="AL43" t="s">
        <v>6590</v>
      </c>
      <c r="AM43" t="s">
        <v>6591</v>
      </c>
      <c r="AN43" t="s">
        <v>6592</v>
      </c>
      <c r="AO43" t="s">
        <v>6593</v>
      </c>
      <c r="AP43" t="s">
        <v>6594</v>
      </c>
      <c r="AQ43" t="s">
        <v>6595</v>
      </c>
      <c r="AR43" t="s">
        <v>6596</v>
      </c>
      <c r="AS43" t="s">
        <v>6597</v>
      </c>
      <c r="AT43" t="s">
        <v>6598</v>
      </c>
      <c r="AU43" t="s">
        <v>6599</v>
      </c>
      <c r="AV43" t="s">
        <v>6600</v>
      </c>
      <c r="AW43" t="s">
        <v>6601</v>
      </c>
      <c r="AX43" t="s">
        <v>6602</v>
      </c>
      <c r="AY43" t="s">
        <v>6603</v>
      </c>
      <c r="AZ43" t="s">
        <v>6604</v>
      </c>
      <c r="BA43" t="s">
        <v>6605</v>
      </c>
      <c r="BB43" t="s">
        <v>6606</v>
      </c>
      <c r="BC43" t="s">
        <v>6607</v>
      </c>
      <c r="BD43" t="s">
        <v>6608</v>
      </c>
      <c r="BE43" t="s">
        <v>6609</v>
      </c>
      <c r="BF43" t="s">
        <v>6610</v>
      </c>
      <c r="BG43" t="s">
        <v>6611</v>
      </c>
      <c r="BH43" t="s">
        <v>6612</v>
      </c>
      <c r="BI43" t="s">
        <v>6613</v>
      </c>
      <c r="BJ43" t="s">
        <v>6614</v>
      </c>
      <c r="BK43" t="s">
        <v>6615</v>
      </c>
      <c r="BL43" t="s">
        <v>6616</v>
      </c>
      <c r="BM43" t="s">
        <v>6617</v>
      </c>
      <c r="BN43" t="s">
        <v>6618</v>
      </c>
      <c r="BO43" t="s">
        <v>6619</v>
      </c>
      <c r="BP43" t="s">
        <v>6620</v>
      </c>
      <c r="BR43" t="s">
        <v>274</v>
      </c>
    </row>
    <row r="44" spans="1:70" x14ac:dyDescent="0.3">
      <c r="A44" t="s">
        <v>1341</v>
      </c>
      <c r="B44" t="s">
        <v>1342</v>
      </c>
      <c r="C44" t="s">
        <v>4632</v>
      </c>
      <c r="D44" t="s">
        <v>4633</v>
      </c>
      <c r="F44" t="s">
        <v>274</v>
      </c>
      <c r="G44" t="s">
        <v>274</v>
      </c>
      <c r="H44" t="s">
        <v>274</v>
      </c>
      <c r="I44" t="s">
        <v>274</v>
      </c>
      <c r="J44" t="s">
        <v>274</v>
      </c>
      <c r="K44" t="s">
        <v>274</v>
      </c>
      <c r="L44" t="s">
        <v>274</v>
      </c>
      <c r="M44" t="s">
        <v>274</v>
      </c>
      <c r="N44" t="s">
        <v>274</v>
      </c>
      <c r="O44" t="s">
        <v>274</v>
      </c>
      <c r="P44" t="s">
        <v>274</v>
      </c>
      <c r="Q44" t="s">
        <v>274</v>
      </c>
      <c r="R44" t="s">
        <v>274</v>
      </c>
      <c r="S44" t="s">
        <v>274</v>
      </c>
      <c r="T44" t="s">
        <v>274</v>
      </c>
      <c r="U44" t="s">
        <v>274</v>
      </c>
      <c r="V44" t="s">
        <v>274</v>
      </c>
      <c r="W44" t="s">
        <v>274</v>
      </c>
      <c r="X44" t="s">
        <v>274</v>
      </c>
      <c r="Y44" t="s">
        <v>274</v>
      </c>
      <c r="Z44" t="s">
        <v>274</v>
      </c>
      <c r="AA44" t="s">
        <v>274</v>
      </c>
      <c r="AB44" t="s">
        <v>274</v>
      </c>
      <c r="AC44" t="s">
        <v>274</v>
      </c>
      <c r="AD44" t="s">
        <v>274</v>
      </c>
      <c r="AE44" t="s">
        <v>274</v>
      </c>
      <c r="AF44" t="s">
        <v>274</v>
      </c>
      <c r="AG44" t="s">
        <v>274</v>
      </c>
      <c r="AH44" t="s">
        <v>274</v>
      </c>
      <c r="AI44" t="s">
        <v>274</v>
      </c>
      <c r="AJ44" t="s">
        <v>274</v>
      </c>
      <c r="AK44" t="s">
        <v>274</v>
      </c>
      <c r="AL44" t="s">
        <v>274</v>
      </c>
      <c r="AM44" t="s">
        <v>274</v>
      </c>
      <c r="AN44" t="s">
        <v>274</v>
      </c>
      <c r="AO44" t="s">
        <v>274</v>
      </c>
      <c r="AP44" t="s">
        <v>274</v>
      </c>
      <c r="AQ44" t="s">
        <v>274</v>
      </c>
      <c r="AR44" t="s">
        <v>274</v>
      </c>
      <c r="AS44" t="s">
        <v>274</v>
      </c>
      <c r="AT44" t="s">
        <v>274</v>
      </c>
      <c r="AU44" t="s">
        <v>274</v>
      </c>
      <c r="AV44" t="s">
        <v>274</v>
      </c>
      <c r="AW44" t="s">
        <v>274</v>
      </c>
      <c r="AX44" t="s">
        <v>274</v>
      </c>
      <c r="AY44" t="s">
        <v>274</v>
      </c>
      <c r="AZ44" t="s">
        <v>274</v>
      </c>
      <c r="BA44" t="s">
        <v>274</v>
      </c>
      <c r="BB44" t="s">
        <v>274</v>
      </c>
      <c r="BC44" t="s">
        <v>6621</v>
      </c>
      <c r="BD44" t="s">
        <v>6622</v>
      </c>
      <c r="BE44" t="s">
        <v>6623</v>
      </c>
      <c r="BF44" t="s">
        <v>6624</v>
      </c>
      <c r="BG44" t="s">
        <v>6625</v>
      </c>
      <c r="BH44" t="s">
        <v>6626</v>
      </c>
      <c r="BI44" t="s">
        <v>6627</v>
      </c>
      <c r="BJ44" t="s">
        <v>6628</v>
      </c>
      <c r="BK44" t="s">
        <v>6629</v>
      </c>
      <c r="BL44" t="s">
        <v>6630</v>
      </c>
      <c r="BM44" t="s">
        <v>6631</v>
      </c>
      <c r="BN44" t="s">
        <v>6632</v>
      </c>
      <c r="BO44" t="s">
        <v>6633</v>
      </c>
      <c r="BP44" t="s">
        <v>6634</v>
      </c>
      <c r="BR44" t="s">
        <v>274</v>
      </c>
    </row>
    <row r="45" spans="1:70" x14ac:dyDescent="0.3">
      <c r="A45" t="s">
        <v>61</v>
      </c>
      <c r="B45" t="s">
        <v>1343</v>
      </c>
      <c r="C45" t="s">
        <v>4632</v>
      </c>
      <c r="D45" t="s">
        <v>4633</v>
      </c>
      <c r="F45" t="s">
        <v>6635</v>
      </c>
      <c r="G45" t="s">
        <v>6636</v>
      </c>
      <c r="H45" t="s">
        <v>6637</v>
      </c>
      <c r="I45" t="s">
        <v>6638</v>
      </c>
      <c r="J45" t="s">
        <v>6639</v>
      </c>
      <c r="K45" t="s">
        <v>6640</v>
      </c>
      <c r="L45" t="s">
        <v>6641</v>
      </c>
      <c r="M45" t="s">
        <v>6642</v>
      </c>
      <c r="N45" t="s">
        <v>6643</v>
      </c>
      <c r="O45" t="s">
        <v>6644</v>
      </c>
      <c r="P45" t="s">
        <v>6645</v>
      </c>
      <c r="Q45" t="s">
        <v>6646</v>
      </c>
      <c r="R45" t="s">
        <v>6647</v>
      </c>
      <c r="S45" t="s">
        <v>6648</v>
      </c>
      <c r="T45" t="s">
        <v>6649</v>
      </c>
      <c r="U45" t="s">
        <v>6650</v>
      </c>
      <c r="V45" t="s">
        <v>6651</v>
      </c>
      <c r="W45" t="s">
        <v>6652</v>
      </c>
      <c r="X45" t="s">
        <v>6653</v>
      </c>
      <c r="Y45" t="s">
        <v>6654</v>
      </c>
      <c r="Z45" t="s">
        <v>6655</v>
      </c>
      <c r="AA45" t="s">
        <v>6656</v>
      </c>
      <c r="AB45" t="s">
        <v>6657</v>
      </c>
      <c r="AC45" t="s">
        <v>6658</v>
      </c>
      <c r="AD45" t="s">
        <v>6659</v>
      </c>
      <c r="AE45" t="s">
        <v>6660</v>
      </c>
      <c r="AF45" t="s">
        <v>6661</v>
      </c>
      <c r="AG45" t="s">
        <v>6662</v>
      </c>
      <c r="AH45" t="s">
        <v>6663</v>
      </c>
      <c r="AI45" t="s">
        <v>6664</v>
      </c>
      <c r="AJ45" t="s">
        <v>6665</v>
      </c>
      <c r="AK45" t="s">
        <v>6666</v>
      </c>
      <c r="AL45" t="s">
        <v>6667</v>
      </c>
      <c r="AM45" t="s">
        <v>6668</v>
      </c>
      <c r="AN45" t="s">
        <v>6669</v>
      </c>
      <c r="AO45" t="s">
        <v>6670</v>
      </c>
      <c r="AP45" t="s">
        <v>6671</v>
      </c>
      <c r="AQ45" t="s">
        <v>6672</v>
      </c>
      <c r="AR45" t="s">
        <v>6673</v>
      </c>
      <c r="AS45" t="s">
        <v>6674</v>
      </c>
      <c r="AT45" t="s">
        <v>6675</v>
      </c>
      <c r="AU45" t="s">
        <v>6676</v>
      </c>
      <c r="AV45" t="s">
        <v>6677</v>
      </c>
      <c r="AW45" t="s">
        <v>6678</v>
      </c>
      <c r="AX45" t="s">
        <v>6679</v>
      </c>
      <c r="AY45" t="s">
        <v>6680</v>
      </c>
      <c r="AZ45" t="s">
        <v>6681</v>
      </c>
      <c r="BA45" t="s">
        <v>6682</v>
      </c>
      <c r="BB45" t="s">
        <v>6683</v>
      </c>
      <c r="BC45" t="s">
        <v>6684</v>
      </c>
      <c r="BD45" t="s">
        <v>6685</v>
      </c>
      <c r="BE45" t="s">
        <v>6686</v>
      </c>
      <c r="BF45" t="s">
        <v>6687</v>
      </c>
      <c r="BG45" t="s">
        <v>6688</v>
      </c>
      <c r="BH45" t="s">
        <v>6689</v>
      </c>
      <c r="BI45" t="s">
        <v>6690</v>
      </c>
      <c r="BJ45" t="s">
        <v>6691</v>
      </c>
      <c r="BK45" t="s">
        <v>6692</v>
      </c>
      <c r="BL45" t="s">
        <v>6693</v>
      </c>
      <c r="BM45" t="s">
        <v>6694</v>
      </c>
      <c r="BN45" t="s">
        <v>6695</v>
      </c>
      <c r="BO45" t="s">
        <v>6696</v>
      </c>
      <c r="BP45" t="s">
        <v>6697</v>
      </c>
      <c r="BR45" t="s">
        <v>274</v>
      </c>
    </row>
    <row r="46" spans="1:70" x14ac:dyDescent="0.3">
      <c r="A46" t="s">
        <v>62</v>
      </c>
      <c r="B46" t="s">
        <v>1378</v>
      </c>
      <c r="C46" t="s">
        <v>4632</v>
      </c>
      <c r="D46" t="s">
        <v>4633</v>
      </c>
      <c r="F46" t="s">
        <v>6698</v>
      </c>
      <c r="G46" t="s">
        <v>6699</v>
      </c>
      <c r="H46" t="s">
        <v>6700</v>
      </c>
      <c r="I46" t="s">
        <v>6701</v>
      </c>
      <c r="J46" t="s">
        <v>6702</v>
      </c>
      <c r="K46" t="s">
        <v>6703</v>
      </c>
      <c r="L46" t="s">
        <v>6704</v>
      </c>
      <c r="M46" t="s">
        <v>6705</v>
      </c>
      <c r="N46" t="s">
        <v>6706</v>
      </c>
      <c r="O46" t="s">
        <v>6707</v>
      </c>
      <c r="P46" t="s">
        <v>6708</v>
      </c>
      <c r="Q46" t="s">
        <v>6709</v>
      </c>
      <c r="R46" t="s">
        <v>6710</v>
      </c>
      <c r="S46" t="s">
        <v>6711</v>
      </c>
      <c r="T46" t="s">
        <v>6712</v>
      </c>
      <c r="U46" t="s">
        <v>6713</v>
      </c>
      <c r="V46" t="s">
        <v>6714</v>
      </c>
      <c r="W46" t="s">
        <v>6715</v>
      </c>
      <c r="X46" t="s">
        <v>6716</v>
      </c>
      <c r="Y46" t="s">
        <v>6717</v>
      </c>
      <c r="Z46" t="s">
        <v>6718</v>
      </c>
      <c r="AA46" t="s">
        <v>6719</v>
      </c>
      <c r="AB46" t="s">
        <v>6720</v>
      </c>
      <c r="AC46" t="s">
        <v>6721</v>
      </c>
      <c r="AD46" t="s">
        <v>6722</v>
      </c>
      <c r="AE46" t="s">
        <v>6723</v>
      </c>
      <c r="AF46" t="s">
        <v>6724</v>
      </c>
      <c r="AG46" t="s">
        <v>6725</v>
      </c>
      <c r="AH46" t="s">
        <v>6726</v>
      </c>
      <c r="AI46" t="s">
        <v>6727</v>
      </c>
      <c r="AJ46" t="s">
        <v>6728</v>
      </c>
      <c r="AK46" t="s">
        <v>6729</v>
      </c>
      <c r="AL46" t="s">
        <v>6730</v>
      </c>
      <c r="AM46" t="s">
        <v>6731</v>
      </c>
      <c r="AN46" t="s">
        <v>6732</v>
      </c>
      <c r="AO46" t="s">
        <v>6733</v>
      </c>
      <c r="AP46" t="s">
        <v>6734</v>
      </c>
      <c r="AQ46" t="s">
        <v>6735</v>
      </c>
      <c r="AR46" t="s">
        <v>6736</v>
      </c>
      <c r="AS46" t="s">
        <v>6737</v>
      </c>
      <c r="AT46" t="s">
        <v>6738</v>
      </c>
      <c r="AU46" t="s">
        <v>6739</v>
      </c>
      <c r="AV46" t="s">
        <v>6740</v>
      </c>
      <c r="AW46" t="s">
        <v>6741</v>
      </c>
      <c r="AX46" t="s">
        <v>6742</v>
      </c>
      <c r="AY46" t="s">
        <v>6743</v>
      </c>
      <c r="AZ46" t="s">
        <v>6744</v>
      </c>
      <c r="BA46" t="s">
        <v>6745</v>
      </c>
      <c r="BB46" t="s">
        <v>6746</v>
      </c>
      <c r="BC46" t="s">
        <v>6747</v>
      </c>
      <c r="BD46" t="s">
        <v>6748</v>
      </c>
      <c r="BE46" t="s">
        <v>6749</v>
      </c>
      <c r="BF46" t="s">
        <v>6750</v>
      </c>
      <c r="BG46" t="s">
        <v>6751</v>
      </c>
      <c r="BH46" t="s">
        <v>6752</v>
      </c>
      <c r="BI46" t="s">
        <v>6753</v>
      </c>
      <c r="BJ46" t="s">
        <v>6754</v>
      </c>
      <c r="BK46" t="s">
        <v>6755</v>
      </c>
      <c r="BL46" t="s">
        <v>6756</v>
      </c>
      <c r="BM46" t="s">
        <v>6757</v>
      </c>
      <c r="BN46" t="s">
        <v>6758</v>
      </c>
      <c r="BO46" t="s">
        <v>6759</v>
      </c>
      <c r="BP46" t="s">
        <v>6760</v>
      </c>
      <c r="BR46" t="s">
        <v>274</v>
      </c>
    </row>
    <row r="47" spans="1:70" x14ac:dyDescent="0.3">
      <c r="A47" t="s">
        <v>63</v>
      </c>
      <c r="B47" t="s">
        <v>1398</v>
      </c>
      <c r="C47" t="s">
        <v>4632</v>
      </c>
      <c r="D47" t="s">
        <v>4633</v>
      </c>
      <c r="F47" t="s">
        <v>6761</v>
      </c>
      <c r="G47" t="s">
        <v>6762</v>
      </c>
      <c r="H47" t="s">
        <v>6763</v>
      </c>
      <c r="I47" t="s">
        <v>6764</v>
      </c>
      <c r="J47" t="s">
        <v>6765</v>
      </c>
      <c r="K47" t="s">
        <v>6766</v>
      </c>
      <c r="L47" t="s">
        <v>4763</v>
      </c>
      <c r="M47" t="s">
        <v>6767</v>
      </c>
      <c r="N47" t="s">
        <v>6768</v>
      </c>
      <c r="O47" t="s">
        <v>6769</v>
      </c>
      <c r="P47" t="s">
        <v>6770</v>
      </c>
      <c r="Q47" t="s">
        <v>6771</v>
      </c>
      <c r="R47" t="s">
        <v>6772</v>
      </c>
      <c r="S47" t="s">
        <v>6773</v>
      </c>
      <c r="T47" t="s">
        <v>6774</v>
      </c>
      <c r="U47" t="s">
        <v>6775</v>
      </c>
      <c r="V47" t="s">
        <v>6776</v>
      </c>
      <c r="W47" t="s">
        <v>6777</v>
      </c>
      <c r="X47" t="s">
        <v>6778</v>
      </c>
      <c r="Y47" t="s">
        <v>6779</v>
      </c>
      <c r="Z47" t="s">
        <v>6780</v>
      </c>
      <c r="AA47" t="s">
        <v>6781</v>
      </c>
      <c r="AB47" t="s">
        <v>6782</v>
      </c>
      <c r="AC47" t="s">
        <v>6783</v>
      </c>
      <c r="AD47" t="s">
        <v>6784</v>
      </c>
      <c r="AE47" t="s">
        <v>6785</v>
      </c>
      <c r="AF47" t="s">
        <v>6786</v>
      </c>
      <c r="AG47" t="s">
        <v>6787</v>
      </c>
      <c r="AH47" t="s">
        <v>6788</v>
      </c>
      <c r="AI47" t="s">
        <v>6789</v>
      </c>
      <c r="AJ47" t="s">
        <v>6790</v>
      </c>
      <c r="AK47" t="s">
        <v>6791</v>
      </c>
      <c r="AL47" t="s">
        <v>6792</v>
      </c>
      <c r="AM47" t="s">
        <v>6793</v>
      </c>
      <c r="AN47" t="s">
        <v>6794</v>
      </c>
      <c r="AO47" t="s">
        <v>6795</v>
      </c>
      <c r="AP47" t="s">
        <v>6796</v>
      </c>
      <c r="AQ47" t="s">
        <v>6797</v>
      </c>
      <c r="AR47" t="s">
        <v>6798</v>
      </c>
      <c r="AS47" t="s">
        <v>6799</v>
      </c>
      <c r="AT47" t="s">
        <v>6800</v>
      </c>
      <c r="AU47" t="s">
        <v>6801</v>
      </c>
      <c r="AV47" t="s">
        <v>6802</v>
      </c>
      <c r="AW47" t="s">
        <v>6803</v>
      </c>
      <c r="AX47" t="s">
        <v>6804</v>
      </c>
      <c r="AY47" t="s">
        <v>6805</v>
      </c>
      <c r="AZ47" t="s">
        <v>6806</v>
      </c>
      <c r="BA47" t="s">
        <v>6807</v>
      </c>
      <c r="BB47" t="s">
        <v>6808</v>
      </c>
      <c r="BC47" t="s">
        <v>6809</v>
      </c>
      <c r="BD47" t="s">
        <v>6810</v>
      </c>
      <c r="BE47" t="s">
        <v>6811</v>
      </c>
      <c r="BF47" t="s">
        <v>6812</v>
      </c>
      <c r="BG47" t="s">
        <v>6813</v>
      </c>
      <c r="BH47" t="s">
        <v>6814</v>
      </c>
      <c r="BI47" t="s">
        <v>6815</v>
      </c>
      <c r="BJ47" t="s">
        <v>6816</v>
      </c>
      <c r="BK47" t="s">
        <v>6817</v>
      </c>
      <c r="BL47" t="s">
        <v>6818</v>
      </c>
      <c r="BM47" t="s">
        <v>6819</v>
      </c>
      <c r="BN47" t="s">
        <v>6820</v>
      </c>
      <c r="BO47" t="s">
        <v>6821</v>
      </c>
      <c r="BP47" t="s">
        <v>6822</v>
      </c>
      <c r="BR47" t="s">
        <v>274</v>
      </c>
    </row>
    <row r="48" spans="1:70" x14ac:dyDescent="0.3">
      <c r="A48" t="s">
        <v>64</v>
      </c>
      <c r="B48" t="s">
        <v>1401</v>
      </c>
      <c r="C48" t="s">
        <v>4632</v>
      </c>
      <c r="D48" t="s">
        <v>4633</v>
      </c>
      <c r="F48" t="s">
        <v>6823</v>
      </c>
      <c r="G48" t="s">
        <v>6824</v>
      </c>
      <c r="H48" t="s">
        <v>6825</v>
      </c>
      <c r="I48" t="s">
        <v>6826</v>
      </c>
      <c r="J48" t="s">
        <v>6827</v>
      </c>
      <c r="K48" t="s">
        <v>6828</v>
      </c>
      <c r="L48" t="s">
        <v>6829</v>
      </c>
      <c r="M48" t="s">
        <v>6830</v>
      </c>
      <c r="N48" t="s">
        <v>6831</v>
      </c>
      <c r="O48" t="s">
        <v>6832</v>
      </c>
      <c r="P48" t="s">
        <v>6833</v>
      </c>
      <c r="Q48" t="s">
        <v>6834</v>
      </c>
      <c r="R48" t="s">
        <v>6835</v>
      </c>
      <c r="S48" t="s">
        <v>6836</v>
      </c>
      <c r="T48" t="s">
        <v>6837</v>
      </c>
      <c r="U48" t="s">
        <v>6838</v>
      </c>
      <c r="V48" t="s">
        <v>6839</v>
      </c>
      <c r="W48" t="s">
        <v>6840</v>
      </c>
      <c r="X48" t="s">
        <v>6841</v>
      </c>
      <c r="Y48" t="s">
        <v>6842</v>
      </c>
      <c r="Z48" t="s">
        <v>6843</v>
      </c>
      <c r="AA48" t="s">
        <v>6844</v>
      </c>
      <c r="AB48" t="s">
        <v>6845</v>
      </c>
      <c r="AC48" t="s">
        <v>6846</v>
      </c>
      <c r="AD48" t="s">
        <v>6847</v>
      </c>
      <c r="AE48" t="s">
        <v>6848</v>
      </c>
      <c r="AF48" t="s">
        <v>6849</v>
      </c>
      <c r="AG48" t="s">
        <v>6850</v>
      </c>
      <c r="AH48" t="s">
        <v>6851</v>
      </c>
      <c r="AI48" t="s">
        <v>6852</v>
      </c>
      <c r="AJ48" t="s">
        <v>6853</v>
      </c>
      <c r="AK48" t="s">
        <v>6854</v>
      </c>
      <c r="AL48" t="s">
        <v>6855</v>
      </c>
      <c r="AM48" t="s">
        <v>6856</v>
      </c>
      <c r="AN48" t="s">
        <v>6857</v>
      </c>
      <c r="AO48" t="s">
        <v>6858</v>
      </c>
      <c r="AP48" t="s">
        <v>6859</v>
      </c>
      <c r="AQ48" t="s">
        <v>6860</v>
      </c>
      <c r="AR48" t="s">
        <v>6861</v>
      </c>
      <c r="AS48" t="s">
        <v>6862</v>
      </c>
      <c r="AT48" t="s">
        <v>6863</v>
      </c>
      <c r="AU48" t="s">
        <v>6864</v>
      </c>
      <c r="AV48" t="s">
        <v>6865</v>
      </c>
      <c r="AW48" t="s">
        <v>6866</v>
      </c>
      <c r="AX48" t="s">
        <v>6867</v>
      </c>
      <c r="AY48" t="s">
        <v>6868</v>
      </c>
      <c r="AZ48" t="s">
        <v>6869</v>
      </c>
      <c r="BA48" t="s">
        <v>6870</v>
      </c>
      <c r="BB48" t="s">
        <v>6871</v>
      </c>
      <c r="BC48" t="s">
        <v>6872</v>
      </c>
      <c r="BD48" t="s">
        <v>6873</v>
      </c>
      <c r="BE48" t="s">
        <v>6874</v>
      </c>
      <c r="BF48" t="s">
        <v>6875</v>
      </c>
      <c r="BG48" t="s">
        <v>6876</v>
      </c>
      <c r="BH48" t="s">
        <v>6877</v>
      </c>
      <c r="BI48" t="s">
        <v>6878</v>
      </c>
      <c r="BJ48" t="s">
        <v>6879</v>
      </c>
      <c r="BK48" t="s">
        <v>6880</v>
      </c>
      <c r="BL48" t="s">
        <v>6881</v>
      </c>
      <c r="BM48" t="s">
        <v>6882</v>
      </c>
      <c r="BN48" t="s">
        <v>6883</v>
      </c>
      <c r="BO48" t="s">
        <v>6884</v>
      </c>
      <c r="BP48" t="s">
        <v>6885</v>
      </c>
      <c r="BR48" t="s">
        <v>274</v>
      </c>
    </row>
    <row r="49" spans="1:70" x14ac:dyDescent="0.3">
      <c r="A49" t="s">
        <v>187</v>
      </c>
      <c r="B49" t="s">
        <v>1402</v>
      </c>
      <c r="C49" t="s">
        <v>4632</v>
      </c>
      <c r="D49" t="s">
        <v>4633</v>
      </c>
      <c r="F49" t="s">
        <v>6886</v>
      </c>
      <c r="G49" t="s">
        <v>6887</v>
      </c>
      <c r="H49" t="s">
        <v>6888</v>
      </c>
      <c r="I49" t="s">
        <v>6889</v>
      </c>
      <c r="J49" t="s">
        <v>6890</v>
      </c>
      <c r="K49" t="s">
        <v>6891</v>
      </c>
      <c r="L49" t="s">
        <v>6892</v>
      </c>
      <c r="M49" t="s">
        <v>6893</v>
      </c>
      <c r="N49" t="s">
        <v>6894</v>
      </c>
      <c r="O49" t="s">
        <v>6895</v>
      </c>
      <c r="P49" t="s">
        <v>6896</v>
      </c>
      <c r="Q49" t="s">
        <v>6897</v>
      </c>
      <c r="R49" t="s">
        <v>6898</v>
      </c>
      <c r="S49" t="s">
        <v>6899</v>
      </c>
      <c r="T49" t="s">
        <v>6900</v>
      </c>
      <c r="U49" t="s">
        <v>6901</v>
      </c>
      <c r="V49" t="s">
        <v>6902</v>
      </c>
      <c r="W49" t="s">
        <v>6903</v>
      </c>
      <c r="X49" t="s">
        <v>6904</v>
      </c>
      <c r="Y49" t="s">
        <v>6905</v>
      </c>
      <c r="Z49" t="s">
        <v>6906</v>
      </c>
      <c r="AA49" t="s">
        <v>6907</v>
      </c>
      <c r="AB49" t="s">
        <v>6908</v>
      </c>
      <c r="AC49" t="s">
        <v>6909</v>
      </c>
      <c r="AD49" t="s">
        <v>6910</v>
      </c>
      <c r="AE49" t="s">
        <v>6911</v>
      </c>
      <c r="AF49" t="s">
        <v>6912</v>
      </c>
      <c r="AG49" t="s">
        <v>6913</v>
      </c>
      <c r="AH49" t="s">
        <v>6914</v>
      </c>
      <c r="AI49" t="s">
        <v>6915</v>
      </c>
      <c r="AJ49" t="s">
        <v>6916</v>
      </c>
      <c r="AK49" t="s">
        <v>6917</v>
      </c>
      <c r="AL49" t="s">
        <v>6918</v>
      </c>
      <c r="AM49" t="s">
        <v>6919</v>
      </c>
      <c r="AN49" t="s">
        <v>6920</v>
      </c>
      <c r="AO49" t="s">
        <v>6921</v>
      </c>
      <c r="AP49" t="s">
        <v>6922</v>
      </c>
      <c r="AQ49" t="s">
        <v>6923</v>
      </c>
      <c r="AR49" t="s">
        <v>6924</v>
      </c>
      <c r="AS49" t="s">
        <v>6925</v>
      </c>
      <c r="AT49" t="s">
        <v>6926</v>
      </c>
      <c r="AU49" t="s">
        <v>6927</v>
      </c>
      <c r="AV49" t="s">
        <v>6928</v>
      </c>
      <c r="AW49" t="s">
        <v>6929</v>
      </c>
      <c r="AX49" t="s">
        <v>6930</v>
      </c>
      <c r="AY49" t="s">
        <v>6931</v>
      </c>
      <c r="AZ49" t="s">
        <v>6932</v>
      </c>
      <c r="BA49" t="s">
        <v>6933</v>
      </c>
      <c r="BB49" t="s">
        <v>6934</v>
      </c>
      <c r="BC49" t="s">
        <v>6935</v>
      </c>
      <c r="BD49" t="s">
        <v>6936</v>
      </c>
      <c r="BE49" t="s">
        <v>6937</v>
      </c>
      <c r="BF49" t="s">
        <v>6938</v>
      </c>
      <c r="BG49" t="s">
        <v>6939</v>
      </c>
      <c r="BH49" t="s">
        <v>6940</v>
      </c>
      <c r="BI49" t="s">
        <v>6941</v>
      </c>
      <c r="BJ49" t="s">
        <v>6942</v>
      </c>
      <c r="BK49" t="s">
        <v>6943</v>
      </c>
      <c r="BL49" t="s">
        <v>6944</v>
      </c>
      <c r="BM49" t="s">
        <v>6945</v>
      </c>
      <c r="BN49" t="s">
        <v>6946</v>
      </c>
      <c r="BO49" t="s">
        <v>6947</v>
      </c>
      <c r="BP49" t="s">
        <v>6948</v>
      </c>
      <c r="BR49" t="s">
        <v>274</v>
      </c>
    </row>
    <row r="50" spans="1:70" x14ac:dyDescent="0.3">
      <c r="A50" t="s">
        <v>65</v>
      </c>
      <c r="B50" t="s">
        <v>1419</v>
      </c>
      <c r="C50" t="s">
        <v>4632</v>
      </c>
      <c r="D50" t="s">
        <v>4633</v>
      </c>
      <c r="F50" t="s">
        <v>6949</v>
      </c>
      <c r="G50" t="s">
        <v>6950</v>
      </c>
      <c r="H50" t="s">
        <v>6951</v>
      </c>
      <c r="I50" t="s">
        <v>6952</v>
      </c>
      <c r="J50" t="s">
        <v>6953</v>
      </c>
      <c r="K50" t="s">
        <v>6954</v>
      </c>
      <c r="L50" t="s">
        <v>6955</v>
      </c>
      <c r="M50" t="s">
        <v>6956</v>
      </c>
      <c r="N50" t="s">
        <v>6957</v>
      </c>
      <c r="O50" t="s">
        <v>6958</v>
      </c>
      <c r="P50" t="s">
        <v>6959</v>
      </c>
      <c r="Q50" t="s">
        <v>6960</v>
      </c>
      <c r="R50" t="s">
        <v>6961</v>
      </c>
      <c r="S50" t="s">
        <v>6962</v>
      </c>
      <c r="T50" t="s">
        <v>6963</v>
      </c>
      <c r="U50" t="s">
        <v>6964</v>
      </c>
      <c r="V50" t="s">
        <v>6965</v>
      </c>
      <c r="W50" t="s">
        <v>6966</v>
      </c>
      <c r="X50" t="s">
        <v>6967</v>
      </c>
      <c r="Y50" t="s">
        <v>6968</v>
      </c>
      <c r="Z50" t="s">
        <v>6969</v>
      </c>
      <c r="AA50" t="s">
        <v>6970</v>
      </c>
      <c r="AB50" t="s">
        <v>6971</v>
      </c>
      <c r="AC50" t="s">
        <v>6972</v>
      </c>
      <c r="AD50" t="s">
        <v>6973</v>
      </c>
      <c r="AE50" t="s">
        <v>6974</v>
      </c>
      <c r="AF50" t="s">
        <v>6975</v>
      </c>
      <c r="AG50" t="s">
        <v>6976</v>
      </c>
      <c r="AH50" t="s">
        <v>6977</v>
      </c>
      <c r="AI50" t="s">
        <v>6978</v>
      </c>
      <c r="AJ50" t="s">
        <v>6979</v>
      </c>
      <c r="AK50" t="s">
        <v>6980</v>
      </c>
      <c r="AL50" t="s">
        <v>6981</v>
      </c>
      <c r="AM50" t="s">
        <v>6982</v>
      </c>
      <c r="AN50" t="s">
        <v>6983</v>
      </c>
      <c r="AO50" t="s">
        <v>6984</v>
      </c>
      <c r="AP50" t="s">
        <v>6985</v>
      </c>
      <c r="AQ50" t="s">
        <v>6986</v>
      </c>
      <c r="AR50" t="s">
        <v>6987</v>
      </c>
      <c r="AS50" t="s">
        <v>6988</v>
      </c>
      <c r="AT50" t="s">
        <v>6989</v>
      </c>
      <c r="AU50" t="s">
        <v>6990</v>
      </c>
      <c r="AV50" t="s">
        <v>6991</v>
      </c>
      <c r="AW50" t="s">
        <v>6992</v>
      </c>
      <c r="AX50" t="s">
        <v>6993</v>
      </c>
      <c r="AY50" t="s">
        <v>6994</v>
      </c>
      <c r="AZ50" t="s">
        <v>6995</v>
      </c>
      <c r="BA50" t="s">
        <v>6996</v>
      </c>
      <c r="BB50" t="s">
        <v>6997</v>
      </c>
      <c r="BC50" t="s">
        <v>6998</v>
      </c>
      <c r="BD50" t="s">
        <v>6999</v>
      </c>
      <c r="BE50" t="s">
        <v>7000</v>
      </c>
      <c r="BF50" t="s">
        <v>7001</v>
      </c>
      <c r="BG50" t="s">
        <v>7002</v>
      </c>
      <c r="BH50" t="s">
        <v>7003</v>
      </c>
      <c r="BI50" t="s">
        <v>7004</v>
      </c>
      <c r="BJ50" t="s">
        <v>7005</v>
      </c>
      <c r="BK50" t="s">
        <v>7006</v>
      </c>
      <c r="BL50" t="s">
        <v>7007</v>
      </c>
      <c r="BM50" t="s">
        <v>7008</v>
      </c>
      <c r="BN50" t="s">
        <v>7009</v>
      </c>
      <c r="BO50" t="s">
        <v>7010</v>
      </c>
      <c r="BP50" t="s">
        <v>7011</v>
      </c>
      <c r="BR50" t="s">
        <v>274</v>
      </c>
    </row>
    <row r="51" spans="1:70" x14ac:dyDescent="0.3">
      <c r="A51" t="s">
        <v>66</v>
      </c>
      <c r="B51" t="s">
        <v>1420</v>
      </c>
      <c r="C51" t="s">
        <v>4632</v>
      </c>
      <c r="D51" t="s">
        <v>4633</v>
      </c>
      <c r="F51" t="s">
        <v>7012</v>
      </c>
      <c r="G51" t="s">
        <v>7013</v>
      </c>
      <c r="H51" t="s">
        <v>7014</v>
      </c>
      <c r="I51" t="s">
        <v>7015</v>
      </c>
      <c r="J51" t="s">
        <v>7016</v>
      </c>
      <c r="K51" t="s">
        <v>7017</v>
      </c>
      <c r="L51" t="s">
        <v>7018</v>
      </c>
      <c r="M51" t="s">
        <v>7019</v>
      </c>
      <c r="N51" t="s">
        <v>7020</v>
      </c>
      <c r="O51" t="s">
        <v>7021</v>
      </c>
      <c r="P51" t="s">
        <v>7022</v>
      </c>
      <c r="Q51" t="s">
        <v>7023</v>
      </c>
      <c r="R51" t="s">
        <v>7024</v>
      </c>
      <c r="S51" t="s">
        <v>7025</v>
      </c>
      <c r="T51" t="s">
        <v>7026</v>
      </c>
      <c r="U51" t="s">
        <v>7027</v>
      </c>
      <c r="V51" t="s">
        <v>7028</v>
      </c>
      <c r="W51" t="s">
        <v>7029</v>
      </c>
      <c r="X51" t="s">
        <v>7030</v>
      </c>
      <c r="Y51" t="s">
        <v>7031</v>
      </c>
      <c r="Z51" t="s">
        <v>7032</v>
      </c>
      <c r="AA51" t="s">
        <v>7033</v>
      </c>
      <c r="AB51" t="s">
        <v>7034</v>
      </c>
      <c r="AC51" t="s">
        <v>7035</v>
      </c>
      <c r="AD51" t="s">
        <v>7036</v>
      </c>
      <c r="AE51" t="s">
        <v>7037</v>
      </c>
      <c r="AF51" t="s">
        <v>7038</v>
      </c>
      <c r="AG51" t="s">
        <v>7039</v>
      </c>
      <c r="AH51" t="s">
        <v>7040</v>
      </c>
      <c r="AI51" t="s">
        <v>7041</v>
      </c>
      <c r="AJ51" t="s">
        <v>7042</v>
      </c>
      <c r="AK51" t="s">
        <v>7043</v>
      </c>
      <c r="AL51" t="s">
        <v>7044</v>
      </c>
      <c r="AM51" t="s">
        <v>7045</v>
      </c>
      <c r="AN51" t="s">
        <v>7046</v>
      </c>
      <c r="AO51" t="s">
        <v>7047</v>
      </c>
      <c r="AP51" t="s">
        <v>7048</v>
      </c>
      <c r="AQ51" t="s">
        <v>7049</v>
      </c>
      <c r="AR51" t="s">
        <v>7050</v>
      </c>
      <c r="AS51" t="s">
        <v>7051</v>
      </c>
      <c r="AT51" t="s">
        <v>7052</v>
      </c>
      <c r="AU51" t="s">
        <v>7053</v>
      </c>
      <c r="AV51" t="s">
        <v>7054</v>
      </c>
      <c r="AW51" t="s">
        <v>7055</v>
      </c>
      <c r="AX51" t="s">
        <v>7056</v>
      </c>
      <c r="AY51" t="s">
        <v>7057</v>
      </c>
      <c r="AZ51" t="s">
        <v>7058</v>
      </c>
      <c r="BA51" t="s">
        <v>7059</v>
      </c>
      <c r="BB51" t="s">
        <v>7060</v>
      </c>
      <c r="BC51" t="s">
        <v>7061</v>
      </c>
      <c r="BD51" t="s">
        <v>7062</v>
      </c>
      <c r="BE51" t="s">
        <v>7063</v>
      </c>
      <c r="BF51" t="s">
        <v>7064</v>
      </c>
      <c r="BG51" t="s">
        <v>7065</v>
      </c>
      <c r="BH51" t="s">
        <v>7066</v>
      </c>
      <c r="BI51" t="s">
        <v>7067</v>
      </c>
      <c r="BJ51" t="s">
        <v>7068</v>
      </c>
      <c r="BK51" t="s">
        <v>7069</v>
      </c>
      <c r="BL51" t="s">
        <v>7070</v>
      </c>
      <c r="BM51" t="s">
        <v>7071</v>
      </c>
      <c r="BN51" t="s">
        <v>7072</v>
      </c>
      <c r="BO51" t="s">
        <v>7073</v>
      </c>
      <c r="BP51" t="s">
        <v>7074</v>
      </c>
      <c r="BR51" t="s">
        <v>274</v>
      </c>
    </row>
    <row r="52" spans="1:70" x14ac:dyDescent="0.3">
      <c r="A52" t="s">
        <v>67</v>
      </c>
      <c r="B52" t="s">
        <v>1460</v>
      </c>
      <c r="C52" t="s">
        <v>4632</v>
      </c>
      <c r="D52" t="s">
        <v>4633</v>
      </c>
      <c r="F52" t="s">
        <v>274</v>
      </c>
      <c r="G52" t="s">
        <v>274</v>
      </c>
      <c r="H52" t="s">
        <v>274</v>
      </c>
      <c r="I52" t="s">
        <v>274</v>
      </c>
      <c r="J52" t="s">
        <v>274</v>
      </c>
      <c r="K52" t="s">
        <v>274</v>
      </c>
      <c r="L52" t="s">
        <v>274</v>
      </c>
      <c r="M52" t="s">
        <v>274</v>
      </c>
      <c r="N52" t="s">
        <v>274</v>
      </c>
      <c r="O52" t="s">
        <v>274</v>
      </c>
      <c r="P52" t="s">
        <v>274</v>
      </c>
      <c r="Q52" t="s">
        <v>274</v>
      </c>
      <c r="R52" t="s">
        <v>274</v>
      </c>
      <c r="S52" t="s">
        <v>274</v>
      </c>
      <c r="T52" t="s">
        <v>274</v>
      </c>
      <c r="U52" t="s">
        <v>274</v>
      </c>
      <c r="V52" t="s">
        <v>274</v>
      </c>
      <c r="W52" t="s">
        <v>274</v>
      </c>
      <c r="X52" t="s">
        <v>274</v>
      </c>
      <c r="Y52" t="s">
        <v>274</v>
      </c>
      <c r="Z52" t="s">
        <v>7075</v>
      </c>
      <c r="AA52" t="s">
        <v>7076</v>
      </c>
      <c r="AB52" t="s">
        <v>7077</v>
      </c>
      <c r="AC52" t="s">
        <v>7078</v>
      </c>
      <c r="AD52" t="s">
        <v>7079</v>
      </c>
      <c r="AE52" t="s">
        <v>7080</v>
      </c>
      <c r="AF52" t="s">
        <v>7081</v>
      </c>
      <c r="AG52" t="s">
        <v>7082</v>
      </c>
      <c r="AH52" t="s">
        <v>7083</v>
      </c>
      <c r="AI52" t="s">
        <v>7084</v>
      </c>
      <c r="AJ52" t="s">
        <v>7085</v>
      </c>
      <c r="AK52" t="s">
        <v>7086</v>
      </c>
      <c r="AL52" t="s">
        <v>7087</v>
      </c>
      <c r="AM52" t="s">
        <v>7088</v>
      </c>
      <c r="AN52" t="s">
        <v>7089</v>
      </c>
      <c r="AO52" t="s">
        <v>7090</v>
      </c>
      <c r="AP52" t="s">
        <v>7091</v>
      </c>
      <c r="AQ52" t="s">
        <v>7092</v>
      </c>
      <c r="AR52" t="s">
        <v>7093</v>
      </c>
      <c r="AS52" t="s">
        <v>7094</v>
      </c>
      <c r="AT52" t="s">
        <v>7095</v>
      </c>
      <c r="AU52" t="s">
        <v>7096</v>
      </c>
      <c r="AV52" t="s">
        <v>4999</v>
      </c>
      <c r="AW52" t="s">
        <v>7097</v>
      </c>
      <c r="AX52" t="s">
        <v>7098</v>
      </c>
      <c r="AY52" t="s">
        <v>7099</v>
      </c>
      <c r="AZ52" t="s">
        <v>7100</v>
      </c>
      <c r="BA52" t="s">
        <v>7101</v>
      </c>
      <c r="BB52" t="s">
        <v>7102</v>
      </c>
      <c r="BC52" t="s">
        <v>7103</v>
      </c>
      <c r="BD52" t="s">
        <v>7104</v>
      </c>
      <c r="BE52" t="s">
        <v>7105</v>
      </c>
      <c r="BF52" t="s">
        <v>7106</v>
      </c>
      <c r="BG52" t="s">
        <v>7107</v>
      </c>
      <c r="BH52" t="s">
        <v>7108</v>
      </c>
      <c r="BI52" t="s">
        <v>7109</v>
      </c>
      <c r="BJ52" t="s">
        <v>7110</v>
      </c>
      <c r="BK52" t="s">
        <v>7111</v>
      </c>
      <c r="BL52" t="s">
        <v>7112</v>
      </c>
      <c r="BM52" t="s">
        <v>7113</v>
      </c>
      <c r="BN52" t="s">
        <v>7114</v>
      </c>
      <c r="BO52" t="s">
        <v>7115</v>
      </c>
      <c r="BP52" t="s">
        <v>7116</v>
      </c>
      <c r="BR52" t="s">
        <v>274</v>
      </c>
    </row>
    <row r="53" spans="1:70" x14ac:dyDescent="0.3">
      <c r="A53" t="s">
        <v>1464</v>
      </c>
      <c r="B53" t="s">
        <v>1465</v>
      </c>
      <c r="C53" t="s">
        <v>4632</v>
      </c>
      <c r="D53" t="s">
        <v>4633</v>
      </c>
      <c r="F53" t="s">
        <v>274</v>
      </c>
      <c r="G53" t="s">
        <v>274</v>
      </c>
      <c r="H53" t="s">
        <v>274</v>
      </c>
      <c r="I53" t="s">
        <v>274</v>
      </c>
      <c r="J53" t="s">
        <v>274</v>
      </c>
      <c r="K53" t="s">
        <v>274</v>
      </c>
      <c r="L53" t="s">
        <v>274</v>
      </c>
      <c r="M53" t="s">
        <v>274</v>
      </c>
      <c r="N53" t="s">
        <v>274</v>
      </c>
      <c r="O53" t="s">
        <v>274</v>
      </c>
      <c r="P53" t="s">
        <v>274</v>
      </c>
      <c r="Q53" t="s">
        <v>274</v>
      </c>
      <c r="R53" t="s">
        <v>274</v>
      </c>
      <c r="S53" t="s">
        <v>274</v>
      </c>
      <c r="T53" t="s">
        <v>274</v>
      </c>
      <c r="U53" t="s">
        <v>274</v>
      </c>
      <c r="V53" t="s">
        <v>274</v>
      </c>
      <c r="W53" t="s">
        <v>274</v>
      </c>
      <c r="X53" t="s">
        <v>274</v>
      </c>
      <c r="Y53" t="s">
        <v>274</v>
      </c>
      <c r="Z53" t="s">
        <v>7117</v>
      </c>
      <c r="AA53" t="s">
        <v>7118</v>
      </c>
      <c r="AB53" t="s">
        <v>7119</v>
      </c>
      <c r="AC53" t="s">
        <v>7120</v>
      </c>
      <c r="AD53" t="s">
        <v>7121</v>
      </c>
      <c r="AE53" t="s">
        <v>7122</v>
      </c>
      <c r="AF53" t="s">
        <v>7123</v>
      </c>
      <c r="AG53" t="s">
        <v>7124</v>
      </c>
      <c r="AH53" t="s">
        <v>7125</v>
      </c>
      <c r="AI53" t="s">
        <v>7126</v>
      </c>
      <c r="AJ53" t="s">
        <v>7127</v>
      </c>
      <c r="AK53" t="s">
        <v>7128</v>
      </c>
      <c r="AL53" t="s">
        <v>7129</v>
      </c>
      <c r="AM53" t="s">
        <v>7130</v>
      </c>
      <c r="AN53" t="s">
        <v>7131</v>
      </c>
      <c r="AO53" t="s">
        <v>7132</v>
      </c>
      <c r="AP53" t="s">
        <v>7133</v>
      </c>
      <c r="AQ53" t="s">
        <v>7134</v>
      </c>
      <c r="AR53" t="s">
        <v>7135</v>
      </c>
      <c r="AS53" t="s">
        <v>7136</v>
      </c>
      <c r="AT53" t="s">
        <v>7137</v>
      </c>
      <c r="AU53" t="s">
        <v>7138</v>
      </c>
      <c r="AV53" t="s">
        <v>7139</v>
      </c>
      <c r="AW53" t="s">
        <v>7140</v>
      </c>
      <c r="AX53" t="s">
        <v>7141</v>
      </c>
      <c r="AY53" t="s">
        <v>7142</v>
      </c>
      <c r="AZ53" t="s">
        <v>7143</v>
      </c>
      <c r="BA53" t="s">
        <v>7144</v>
      </c>
      <c r="BB53" t="s">
        <v>7145</v>
      </c>
      <c r="BC53" t="s">
        <v>7146</v>
      </c>
      <c r="BD53" t="s">
        <v>7147</v>
      </c>
      <c r="BE53" t="s">
        <v>7148</v>
      </c>
      <c r="BF53" t="s">
        <v>7149</v>
      </c>
      <c r="BG53" t="s">
        <v>7150</v>
      </c>
      <c r="BH53" t="s">
        <v>7151</v>
      </c>
      <c r="BI53" t="s">
        <v>7152</v>
      </c>
      <c r="BJ53" t="s">
        <v>7153</v>
      </c>
      <c r="BK53" t="s">
        <v>7154</v>
      </c>
      <c r="BL53" t="s">
        <v>7155</v>
      </c>
      <c r="BM53" t="s">
        <v>7156</v>
      </c>
      <c r="BN53" t="s">
        <v>7157</v>
      </c>
      <c r="BO53" t="s">
        <v>7158</v>
      </c>
      <c r="BP53" t="s">
        <v>7159</v>
      </c>
      <c r="BR53" t="s">
        <v>274</v>
      </c>
    </row>
    <row r="54" spans="1:70" x14ac:dyDescent="0.3">
      <c r="A54" t="s">
        <v>68</v>
      </c>
      <c r="B54" t="s">
        <v>1485</v>
      </c>
      <c r="C54" t="s">
        <v>4632</v>
      </c>
      <c r="D54" t="s">
        <v>4633</v>
      </c>
      <c r="F54" t="s">
        <v>7160</v>
      </c>
      <c r="G54" t="s">
        <v>7161</v>
      </c>
      <c r="H54" t="s">
        <v>7162</v>
      </c>
      <c r="I54" t="s">
        <v>7163</v>
      </c>
      <c r="J54" t="s">
        <v>7164</v>
      </c>
      <c r="K54" t="s">
        <v>7165</v>
      </c>
      <c r="L54" t="s">
        <v>7166</v>
      </c>
      <c r="M54" t="s">
        <v>7167</v>
      </c>
      <c r="N54" t="s">
        <v>7168</v>
      </c>
      <c r="O54" t="s">
        <v>7169</v>
      </c>
      <c r="P54" t="s">
        <v>7170</v>
      </c>
      <c r="Q54" t="s">
        <v>7171</v>
      </c>
      <c r="R54" t="s">
        <v>7172</v>
      </c>
      <c r="S54" t="s">
        <v>7173</v>
      </c>
      <c r="T54" t="s">
        <v>7174</v>
      </c>
      <c r="U54" t="s">
        <v>7175</v>
      </c>
      <c r="V54" t="s">
        <v>7176</v>
      </c>
      <c r="W54" t="s">
        <v>7177</v>
      </c>
      <c r="X54" t="s">
        <v>7178</v>
      </c>
      <c r="Y54" t="s">
        <v>7179</v>
      </c>
      <c r="Z54" t="s">
        <v>7180</v>
      </c>
      <c r="AA54" t="s">
        <v>7181</v>
      </c>
      <c r="AB54" t="s">
        <v>7182</v>
      </c>
      <c r="AC54" t="s">
        <v>7183</v>
      </c>
      <c r="AD54" t="s">
        <v>7184</v>
      </c>
      <c r="AE54" t="s">
        <v>7185</v>
      </c>
      <c r="AF54" t="s">
        <v>7186</v>
      </c>
      <c r="AG54" t="s">
        <v>7187</v>
      </c>
      <c r="AH54" t="s">
        <v>7188</v>
      </c>
      <c r="AI54" t="s">
        <v>7189</v>
      </c>
      <c r="AJ54" t="s">
        <v>7190</v>
      </c>
      <c r="AK54" t="s">
        <v>7191</v>
      </c>
      <c r="AL54" t="s">
        <v>7192</v>
      </c>
      <c r="AM54" t="s">
        <v>7193</v>
      </c>
      <c r="AN54" t="s">
        <v>7194</v>
      </c>
      <c r="AO54" t="s">
        <v>7195</v>
      </c>
      <c r="AP54" t="s">
        <v>7196</v>
      </c>
      <c r="AQ54" t="s">
        <v>7197</v>
      </c>
      <c r="AR54" t="s">
        <v>7198</v>
      </c>
      <c r="AS54" t="s">
        <v>7199</v>
      </c>
      <c r="AT54" t="s">
        <v>7200</v>
      </c>
      <c r="AU54" t="s">
        <v>7201</v>
      </c>
      <c r="AV54" t="s">
        <v>7202</v>
      </c>
      <c r="AW54" t="s">
        <v>7203</v>
      </c>
      <c r="AX54" t="s">
        <v>7204</v>
      </c>
      <c r="AY54" t="s">
        <v>7205</v>
      </c>
      <c r="AZ54" t="s">
        <v>7206</v>
      </c>
      <c r="BA54" t="s">
        <v>7207</v>
      </c>
      <c r="BB54" t="s">
        <v>7208</v>
      </c>
      <c r="BC54" t="s">
        <v>7209</v>
      </c>
      <c r="BD54" t="s">
        <v>7210</v>
      </c>
      <c r="BE54" t="s">
        <v>7211</v>
      </c>
      <c r="BF54" t="s">
        <v>7212</v>
      </c>
      <c r="BG54" t="s">
        <v>7213</v>
      </c>
      <c r="BH54" t="s">
        <v>7214</v>
      </c>
      <c r="BI54" t="s">
        <v>7215</v>
      </c>
      <c r="BJ54" t="s">
        <v>7216</v>
      </c>
      <c r="BK54" t="s">
        <v>7217</v>
      </c>
      <c r="BL54" t="s">
        <v>7218</v>
      </c>
      <c r="BM54" t="s">
        <v>7219</v>
      </c>
      <c r="BN54" t="s">
        <v>7220</v>
      </c>
      <c r="BO54" t="s">
        <v>7221</v>
      </c>
      <c r="BP54" t="s">
        <v>7222</v>
      </c>
      <c r="BR54" t="s">
        <v>274</v>
      </c>
    </row>
    <row r="55" spans="1:70" x14ac:dyDescent="0.3">
      <c r="A55" t="s">
        <v>1529</v>
      </c>
      <c r="B55" t="s">
        <v>1530</v>
      </c>
      <c r="C55" t="s">
        <v>4632</v>
      </c>
      <c r="D55" t="s">
        <v>4633</v>
      </c>
      <c r="F55" t="s">
        <v>7223</v>
      </c>
      <c r="G55" t="s">
        <v>7224</v>
      </c>
      <c r="H55" t="s">
        <v>7225</v>
      </c>
      <c r="I55" t="s">
        <v>7226</v>
      </c>
      <c r="J55" t="s">
        <v>7227</v>
      </c>
      <c r="K55" t="s">
        <v>7228</v>
      </c>
      <c r="L55" t="s">
        <v>7229</v>
      </c>
      <c r="M55" t="s">
        <v>7230</v>
      </c>
      <c r="N55" t="s">
        <v>7231</v>
      </c>
      <c r="O55" t="s">
        <v>7232</v>
      </c>
      <c r="P55" t="s">
        <v>7233</v>
      </c>
      <c r="Q55" t="s">
        <v>7234</v>
      </c>
      <c r="R55" t="s">
        <v>7235</v>
      </c>
      <c r="S55" t="s">
        <v>7236</v>
      </c>
      <c r="T55" t="s">
        <v>7237</v>
      </c>
      <c r="U55" t="s">
        <v>7238</v>
      </c>
      <c r="V55" t="s">
        <v>7239</v>
      </c>
      <c r="W55" t="s">
        <v>7240</v>
      </c>
      <c r="X55" t="s">
        <v>7241</v>
      </c>
      <c r="Y55" t="s">
        <v>7242</v>
      </c>
      <c r="Z55" t="s">
        <v>7243</v>
      </c>
      <c r="AA55" t="s">
        <v>7244</v>
      </c>
      <c r="AB55" t="s">
        <v>5189</v>
      </c>
      <c r="AC55" t="s">
        <v>6201</v>
      </c>
      <c r="AD55" t="s">
        <v>7245</v>
      </c>
      <c r="AE55" t="s">
        <v>7246</v>
      </c>
      <c r="AF55" t="s">
        <v>6204</v>
      </c>
      <c r="AG55" t="s">
        <v>7247</v>
      </c>
      <c r="AH55" t="s">
        <v>7248</v>
      </c>
      <c r="AI55" t="s">
        <v>5826</v>
      </c>
      <c r="AJ55" t="s">
        <v>7249</v>
      </c>
      <c r="AK55" t="s">
        <v>5828</v>
      </c>
      <c r="AL55" t="s">
        <v>7250</v>
      </c>
      <c r="AM55" t="s">
        <v>7251</v>
      </c>
      <c r="AN55" t="s">
        <v>5201</v>
      </c>
      <c r="AO55" t="s">
        <v>5961</v>
      </c>
      <c r="AP55" t="s">
        <v>7252</v>
      </c>
      <c r="AQ55" t="s">
        <v>7253</v>
      </c>
      <c r="AR55" t="s">
        <v>7254</v>
      </c>
      <c r="AS55" t="s">
        <v>5965</v>
      </c>
      <c r="AT55" t="s">
        <v>5207</v>
      </c>
      <c r="AU55" t="s">
        <v>6219</v>
      </c>
      <c r="AV55" t="s">
        <v>6220</v>
      </c>
      <c r="AW55" t="s">
        <v>7255</v>
      </c>
      <c r="AX55" t="s">
        <v>5211</v>
      </c>
      <c r="AY55" t="s">
        <v>6223</v>
      </c>
      <c r="AZ55" t="s">
        <v>5213</v>
      </c>
      <c r="BA55" t="s">
        <v>7256</v>
      </c>
      <c r="BB55" t="s">
        <v>7257</v>
      </c>
      <c r="BC55" t="s">
        <v>5975</v>
      </c>
      <c r="BD55" t="s">
        <v>7258</v>
      </c>
      <c r="BE55" t="s">
        <v>7259</v>
      </c>
      <c r="BF55" t="s">
        <v>5978</v>
      </c>
      <c r="BG55" t="s">
        <v>5979</v>
      </c>
      <c r="BH55" t="s">
        <v>5221</v>
      </c>
      <c r="BI55" t="s">
        <v>7260</v>
      </c>
      <c r="BJ55" t="s">
        <v>7261</v>
      </c>
      <c r="BK55" t="s">
        <v>5854</v>
      </c>
      <c r="BL55" t="s">
        <v>7262</v>
      </c>
      <c r="BM55" t="s">
        <v>7263</v>
      </c>
      <c r="BN55" t="s">
        <v>7264</v>
      </c>
      <c r="BO55" t="s">
        <v>7265</v>
      </c>
      <c r="BP55" t="s">
        <v>7266</v>
      </c>
      <c r="BR55" t="s">
        <v>274</v>
      </c>
    </row>
    <row r="56" spans="1:70" x14ac:dyDescent="0.3">
      <c r="A56" t="s">
        <v>70</v>
      </c>
      <c r="B56" t="s">
        <v>1531</v>
      </c>
      <c r="C56" t="s">
        <v>4632</v>
      </c>
      <c r="D56" t="s">
        <v>4633</v>
      </c>
      <c r="F56" t="s">
        <v>274</v>
      </c>
      <c r="G56" t="s">
        <v>274</v>
      </c>
      <c r="H56" t="s">
        <v>274</v>
      </c>
      <c r="I56" t="s">
        <v>274</v>
      </c>
      <c r="J56" t="s">
        <v>274</v>
      </c>
      <c r="K56" t="s">
        <v>274</v>
      </c>
      <c r="L56" t="s">
        <v>274</v>
      </c>
      <c r="M56" t="s">
        <v>274</v>
      </c>
      <c r="N56" t="s">
        <v>274</v>
      </c>
      <c r="O56" t="s">
        <v>274</v>
      </c>
      <c r="P56" t="s">
        <v>7267</v>
      </c>
      <c r="Q56" t="s">
        <v>7268</v>
      </c>
      <c r="R56" t="s">
        <v>7269</v>
      </c>
      <c r="S56" t="s">
        <v>7270</v>
      </c>
      <c r="T56" t="s">
        <v>7271</v>
      </c>
      <c r="U56" t="s">
        <v>7272</v>
      </c>
      <c r="V56" t="s">
        <v>7273</v>
      </c>
      <c r="W56" t="s">
        <v>7274</v>
      </c>
      <c r="X56" t="s">
        <v>7275</v>
      </c>
      <c r="Y56" t="s">
        <v>7276</v>
      </c>
      <c r="Z56" t="s">
        <v>7277</v>
      </c>
      <c r="AA56" t="s">
        <v>7278</v>
      </c>
      <c r="AB56" t="s">
        <v>7279</v>
      </c>
      <c r="AC56" t="s">
        <v>7280</v>
      </c>
      <c r="AD56" t="s">
        <v>7281</v>
      </c>
      <c r="AE56" t="s">
        <v>7282</v>
      </c>
      <c r="AF56" t="s">
        <v>7283</v>
      </c>
      <c r="AG56" t="s">
        <v>7284</v>
      </c>
      <c r="AH56" t="s">
        <v>7285</v>
      </c>
      <c r="AI56" t="s">
        <v>7286</v>
      </c>
      <c r="AJ56" t="s">
        <v>7287</v>
      </c>
      <c r="AK56" t="s">
        <v>7288</v>
      </c>
      <c r="AL56" t="s">
        <v>7289</v>
      </c>
      <c r="AM56" t="s">
        <v>7290</v>
      </c>
      <c r="AN56" t="s">
        <v>7291</v>
      </c>
      <c r="AO56" t="s">
        <v>7292</v>
      </c>
      <c r="AP56" t="s">
        <v>7293</v>
      </c>
      <c r="AQ56" t="s">
        <v>7294</v>
      </c>
      <c r="AR56" t="s">
        <v>7295</v>
      </c>
      <c r="AS56" t="s">
        <v>7296</v>
      </c>
      <c r="AT56" t="s">
        <v>7297</v>
      </c>
      <c r="AU56" t="s">
        <v>7298</v>
      </c>
      <c r="AV56" t="s">
        <v>7299</v>
      </c>
      <c r="AW56" t="s">
        <v>7300</v>
      </c>
      <c r="AX56" t="s">
        <v>7301</v>
      </c>
      <c r="AY56" t="s">
        <v>7302</v>
      </c>
      <c r="AZ56" t="s">
        <v>7303</v>
      </c>
      <c r="BA56" t="s">
        <v>7304</v>
      </c>
      <c r="BB56" t="s">
        <v>7305</v>
      </c>
      <c r="BC56" t="s">
        <v>7306</v>
      </c>
      <c r="BD56" t="s">
        <v>7307</v>
      </c>
      <c r="BE56" t="s">
        <v>7308</v>
      </c>
      <c r="BF56" t="s">
        <v>7309</v>
      </c>
      <c r="BG56" t="s">
        <v>7310</v>
      </c>
      <c r="BH56" t="s">
        <v>7311</v>
      </c>
      <c r="BI56" t="s">
        <v>7312</v>
      </c>
      <c r="BJ56" t="s">
        <v>7313</v>
      </c>
      <c r="BK56" t="s">
        <v>7314</v>
      </c>
      <c r="BL56" t="s">
        <v>7315</v>
      </c>
      <c r="BM56" t="s">
        <v>7316</v>
      </c>
      <c r="BN56" t="s">
        <v>7317</v>
      </c>
      <c r="BO56" t="s">
        <v>7318</v>
      </c>
      <c r="BP56" t="s">
        <v>274</v>
      </c>
      <c r="BR56" t="s">
        <v>274</v>
      </c>
    </row>
    <row r="57" spans="1:70" x14ac:dyDescent="0.3">
      <c r="A57" t="s">
        <v>1532</v>
      </c>
      <c r="B57" t="s">
        <v>1533</v>
      </c>
      <c r="C57" t="s">
        <v>4632</v>
      </c>
      <c r="D57" t="s">
        <v>4633</v>
      </c>
      <c r="F57" t="s">
        <v>274</v>
      </c>
      <c r="G57" t="s">
        <v>274</v>
      </c>
      <c r="H57" t="s">
        <v>274</v>
      </c>
      <c r="I57" t="s">
        <v>274</v>
      </c>
      <c r="J57" t="s">
        <v>274</v>
      </c>
      <c r="K57" t="s">
        <v>274</v>
      </c>
      <c r="L57" t="s">
        <v>274</v>
      </c>
      <c r="M57" t="s">
        <v>274</v>
      </c>
      <c r="N57" t="s">
        <v>274</v>
      </c>
      <c r="O57" t="s">
        <v>274</v>
      </c>
      <c r="P57" t="s">
        <v>274</v>
      </c>
      <c r="Q57" t="s">
        <v>274</v>
      </c>
      <c r="R57" t="s">
        <v>274</v>
      </c>
      <c r="S57" t="s">
        <v>274</v>
      </c>
      <c r="T57" t="s">
        <v>274</v>
      </c>
      <c r="U57" t="s">
        <v>274</v>
      </c>
      <c r="V57" t="s">
        <v>274</v>
      </c>
      <c r="W57" t="s">
        <v>274</v>
      </c>
      <c r="X57" t="s">
        <v>274</v>
      </c>
      <c r="Y57" t="s">
        <v>274</v>
      </c>
      <c r="Z57" t="s">
        <v>274</v>
      </c>
      <c r="AA57" t="s">
        <v>274</v>
      </c>
      <c r="AB57" t="s">
        <v>274</v>
      </c>
      <c r="AC57" t="s">
        <v>274</v>
      </c>
      <c r="AD57" t="s">
        <v>274</v>
      </c>
      <c r="AE57" t="s">
        <v>274</v>
      </c>
      <c r="AF57" t="s">
        <v>274</v>
      </c>
      <c r="AG57" t="s">
        <v>274</v>
      </c>
      <c r="AH57" t="s">
        <v>274</v>
      </c>
      <c r="AI57" t="s">
        <v>274</v>
      </c>
      <c r="AJ57" t="s">
        <v>274</v>
      </c>
      <c r="AK57" t="s">
        <v>274</v>
      </c>
      <c r="AL57" t="s">
        <v>274</v>
      </c>
      <c r="AM57" t="s">
        <v>274</v>
      </c>
      <c r="AN57" t="s">
        <v>274</v>
      </c>
      <c r="AO57" t="s">
        <v>274</v>
      </c>
      <c r="AP57" t="s">
        <v>274</v>
      </c>
      <c r="AQ57" t="s">
        <v>274</v>
      </c>
      <c r="AR57" t="s">
        <v>274</v>
      </c>
      <c r="AS57" t="s">
        <v>274</v>
      </c>
      <c r="AT57" t="s">
        <v>7319</v>
      </c>
      <c r="AU57" t="s">
        <v>7320</v>
      </c>
      <c r="AV57" t="s">
        <v>7321</v>
      </c>
      <c r="AW57" t="s">
        <v>7322</v>
      </c>
      <c r="AX57" t="s">
        <v>7323</v>
      </c>
      <c r="AY57" t="s">
        <v>7324</v>
      </c>
      <c r="AZ57" t="s">
        <v>7325</v>
      </c>
      <c r="BA57" t="s">
        <v>7326</v>
      </c>
      <c r="BB57" t="s">
        <v>7327</v>
      </c>
      <c r="BC57" t="s">
        <v>7328</v>
      </c>
      <c r="BD57" t="s">
        <v>7329</v>
      </c>
      <c r="BE57" t="s">
        <v>7330</v>
      </c>
      <c r="BF57" t="s">
        <v>7331</v>
      </c>
      <c r="BG57" t="s">
        <v>7332</v>
      </c>
      <c r="BH57" t="s">
        <v>7333</v>
      </c>
      <c r="BI57" t="s">
        <v>7334</v>
      </c>
      <c r="BJ57" t="s">
        <v>7335</v>
      </c>
      <c r="BK57" t="s">
        <v>7336</v>
      </c>
      <c r="BL57" t="s">
        <v>7337</v>
      </c>
      <c r="BM57" t="s">
        <v>7338</v>
      </c>
      <c r="BN57" t="s">
        <v>7339</v>
      </c>
      <c r="BO57" t="s">
        <v>7340</v>
      </c>
      <c r="BP57" t="s">
        <v>7341</v>
      </c>
      <c r="BR57" t="s">
        <v>274</v>
      </c>
    </row>
    <row r="58" spans="1:70" x14ac:dyDescent="0.3">
      <c r="A58" t="s">
        <v>203</v>
      </c>
      <c r="B58" t="s">
        <v>1534</v>
      </c>
      <c r="C58" t="s">
        <v>4632</v>
      </c>
      <c r="D58" t="s">
        <v>4633</v>
      </c>
      <c r="F58" t="s">
        <v>274</v>
      </c>
      <c r="G58" t="s">
        <v>274</v>
      </c>
      <c r="H58" t="s">
        <v>274</v>
      </c>
      <c r="I58" t="s">
        <v>274</v>
      </c>
      <c r="J58" t="s">
        <v>274</v>
      </c>
      <c r="K58" t="s">
        <v>274</v>
      </c>
      <c r="L58" t="s">
        <v>274</v>
      </c>
      <c r="M58" t="s">
        <v>274</v>
      </c>
      <c r="N58" t="s">
        <v>274</v>
      </c>
      <c r="O58" t="s">
        <v>274</v>
      </c>
      <c r="P58" t="s">
        <v>274</v>
      </c>
      <c r="Q58" t="s">
        <v>274</v>
      </c>
      <c r="R58" t="s">
        <v>274</v>
      </c>
      <c r="S58" t="s">
        <v>274</v>
      </c>
      <c r="T58" t="s">
        <v>274</v>
      </c>
      <c r="U58" t="s">
        <v>274</v>
      </c>
      <c r="V58" t="s">
        <v>274</v>
      </c>
      <c r="W58" t="s">
        <v>274</v>
      </c>
      <c r="X58" t="s">
        <v>274</v>
      </c>
      <c r="Y58" t="s">
        <v>274</v>
      </c>
      <c r="Z58" t="s">
        <v>274</v>
      </c>
      <c r="AA58" t="s">
        <v>274</v>
      </c>
      <c r="AB58" t="s">
        <v>274</v>
      </c>
      <c r="AC58" t="s">
        <v>274</v>
      </c>
      <c r="AD58" t="s">
        <v>274</v>
      </c>
      <c r="AE58" t="s">
        <v>274</v>
      </c>
      <c r="AF58" t="s">
        <v>274</v>
      </c>
      <c r="AG58" t="s">
        <v>274</v>
      </c>
      <c r="AH58" t="s">
        <v>274</v>
      </c>
      <c r="AI58" t="s">
        <v>274</v>
      </c>
      <c r="AJ58" t="s">
        <v>274</v>
      </c>
      <c r="AK58" t="s">
        <v>274</v>
      </c>
      <c r="AL58" t="s">
        <v>274</v>
      </c>
      <c r="AM58" t="s">
        <v>274</v>
      </c>
      <c r="AN58" t="s">
        <v>274</v>
      </c>
      <c r="AO58" t="s">
        <v>274</v>
      </c>
      <c r="AP58" t="s">
        <v>274</v>
      </c>
      <c r="AQ58" t="s">
        <v>274</v>
      </c>
      <c r="AR58" t="s">
        <v>274</v>
      </c>
      <c r="AS58" t="s">
        <v>274</v>
      </c>
      <c r="AT58" t="s">
        <v>274</v>
      </c>
      <c r="AU58" t="s">
        <v>274</v>
      </c>
      <c r="AV58" t="s">
        <v>274</v>
      </c>
      <c r="AW58" t="s">
        <v>274</v>
      </c>
      <c r="AX58" t="s">
        <v>274</v>
      </c>
      <c r="AY58" t="s">
        <v>274</v>
      </c>
      <c r="AZ58" t="s">
        <v>7342</v>
      </c>
      <c r="BA58" t="s">
        <v>7343</v>
      </c>
      <c r="BB58" t="s">
        <v>7344</v>
      </c>
      <c r="BC58" t="s">
        <v>7345</v>
      </c>
      <c r="BD58" t="s">
        <v>7346</v>
      </c>
      <c r="BE58" t="s">
        <v>7347</v>
      </c>
      <c r="BF58" t="s">
        <v>7348</v>
      </c>
      <c r="BG58" t="s">
        <v>7349</v>
      </c>
      <c r="BH58" t="s">
        <v>7350</v>
      </c>
      <c r="BI58" t="s">
        <v>7351</v>
      </c>
      <c r="BJ58" t="s">
        <v>7352</v>
      </c>
      <c r="BK58" t="s">
        <v>7353</v>
      </c>
      <c r="BL58" t="s">
        <v>7354</v>
      </c>
      <c r="BM58" t="s">
        <v>7355</v>
      </c>
      <c r="BN58" t="s">
        <v>7356</v>
      </c>
      <c r="BO58" t="s">
        <v>7357</v>
      </c>
      <c r="BP58" t="s">
        <v>7358</v>
      </c>
      <c r="BR58" t="s">
        <v>274</v>
      </c>
    </row>
    <row r="59" spans="1:70" x14ac:dyDescent="0.3">
      <c r="A59" t="s">
        <v>71</v>
      </c>
      <c r="B59" t="s">
        <v>1535</v>
      </c>
      <c r="C59" t="s">
        <v>4632</v>
      </c>
      <c r="D59" t="s">
        <v>4633</v>
      </c>
      <c r="F59" t="s">
        <v>274</v>
      </c>
      <c r="G59" t="s">
        <v>274</v>
      </c>
      <c r="H59" t="s">
        <v>274</v>
      </c>
      <c r="I59" t="s">
        <v>274</v>
      </c>
      <c r="J59" t="s">
        <v>274</v>
      </c>
      <c r="K59" t="s">
        <v>274</v>
      </c>
      <c r="L59" t="s">
        <v>274</v>
      </c>
      <c r="M59" t="s">
        <v>274</v>
      </c>
      <c r="N59" t="s">
        <v>274</v>
      </c>
      <c r="O59" t="s">
        <v>274</v>
      </c>
      <c r="P59" t="s">
        <v>274</v>
      </c>
      <c r="Q59" t="s">
        <v>274</v>
      </c>
      <c r="R59" t="s">
        <v>274</v>
      </c>
      <c r="S59" t="s">
        <v>274</v>
      </c>
      <c r="T59" t="s">
        <v>274</v>
      </c>
      <c r="U59" t="s">
        <v>7359</v>
      </c>
      <c r="V59" t="s">
        <v>7360</v>
      </c>
      <c r="W59" t="s">
        <v>7361</v>
      </c>
      <c r="X59" t="s">
        <v>7362</v>
      </c>
      <c r="Y59" t="s">
        <v>7363</v>
      </c>
      <c r="Z59" t="s">
        <v>7364</v>
      </c>
      <c r="AA59" t="s">
        <v>7365</v>
      </c>
      <c r="AB59" t="s">
        <v>7366</v>
      </c>
      <c r="AC59" t="s">
        <v>7367</v>
      </c>
      <c r="AD59" t="s">
        <v>7368</v>
      </c>
      <c r="AE59" t="s">
        <v>7369</v>
      </c>
      <c r="AF59" t="s">
        <v>7370</v>
      </c>
      <c r="AG59" t="s">
        <v>7371</v>
      </c>
      <c r="AH59" t="s">
        <v>7372</v>
      </c>
      <c r="AI59" t="s">
        <v>7373</v>
      </c>
      <c r="AJ59" t="s">
        <v>7374</v>
      </c>
      <c r="AK59" t="s">
        <v>7375</v>
      </c>
      <c r="AL59" t="s">
        <v>7376</v>
      </c>
      <c r="AM59" t="s">
        <v>7377</v>
      </c>
      <c r="AN59" t="s">
        <v>7378</v>
      </c>
      <c r="AO59" t="s">
        <v>7379</v>
      </c>
      <c r="AP59" t="s">
        <v>7380</v>
      </c>
      <c r="AQ59" t="s">
        <v>7381</v>
      </c>
      <c r="AR59" t="s">
        <v>7382</v>
      </c>
      <c r="AS59" t="s">
        <v>7383</v>
      </c>
      <c r="AT59" t="s">
        <v>7384</v>
      </c>
      <c r="AU59" t="s">
        <v>7385</v>
      </c>
      <c r="AV59" t="s">
        <v>7386</v>
      </c>
      <c r="AW59" t="s">
        <v>7387</v>
      </c>
      <c r="AX59" t="s">
        <v>7388</v>
      </c>
      <c r="AY59" t="s">
        <v>7389</v>
      </c>
      <c r="AZ59" t="s">
        <v>7390</v>
      </c>
      <c r="BA59" t="s">
        <v>7391</v>
      </c>
      <c r="BB59" t="s">
        <v>7392</v>
      </c>
      <c r="BC59" t="s">
        <v>7393</v>
      </c>
      <c r="BD59" t="s">
        <v>7394</v>
      </c>
      <c r="BE59" t="s">
        <v>7395</v>
      </c>
      <c r="BF59" t="s">
        <v>7396</v>
      </c>
      <c r="BG59" t="s">
        <v>7397</v>
      </c>
      <c r="BH59" t="s">
        <v>7398</v>
      </c>
      <c r="BI59" t="s">
        <v>7399</v>
      </c>
      <c r="BJ59" t="s">
        <v>7400</v>
      </c>
      <c r="BK59" t="s">
        <v>7401</v>
      </c>
      <c r="BL59" t="s">
        <v>7402</v>
      </c>
      <c r="BM59" t="s">
        <v>7403</v>
      </c>
      <c r="BN59" t="s">
        <v>7404</v>
      </c>
      <c r="BO59" t="s">
        <v>7405</v>
      </c>
      <c r="BP59" t="s">
        <v>7406</v>
      </c>
      <c r="BR59" t="s">
        <v>274</v>
      </c>
    </row>
    <row r="60" spans="1:70" x14ac:dyDescent="0.3">
      <c r="A60" t="s">
        <v>1536</v>
      </c>
      <c r="B60" t="s">
        <v>1537</v>
      </c>
      <c r="C60" t="s">
        <v>4632</v>
      </c>
      <c r="D60" t="s">
        <v>4633</v>
      </c>
      <c r="F60" t="s">
        <v>274</v>
      </c>
      <c r="G60" t="s">
        <v>274</v>
      </c>
      <c r="H60" t="s">
        <v>274</v>
      </c>
      <c r="I60" t="s">
        <v>274</v>
      </c>
      <c r="J60" t="s">
        <v>274</v>
      </c>
      <c r="K60" t="s">
        <v>274</v>
      </c>
      <c r="L60" t="s">
        <v>274</v>
      </c>
      <c r="M60" t="s">
        <v>274</v>
      </c>
      <c r="N60" t="s">
        <v>274</v>
      </c>
      <c r="O60" t="s">
        <v>274</v>
      </c>
      <c r="P60" t="s">
        <v>274</v>
      </c>
      <c r="Q60" t="s">
        <v>274</v>
      </c>
      <c r="R60" t="s">
        <v>274</v>
      </c>
      <c r="S60" t="s">
        <v>274</v>
      </c>
      <c r="T60" t="s">
        <v>274</v>
      </c>
      <c r="U60" t="s">
        <v>274</v>
      </c>
      <c r="V60" t="s">
        <v>274</v>
      </c>
      <c r="W60" t="s">
        <v>274</v>
      </c>
      <c r="X60" t="s">
        <v>274</v>
      </c>
      <c r="Y60" t="s">
        <v>274</v>
      </c>
      <c r="Z60" t="s">
        <v>274</v>
      </c>
      <c r="AA60" t="s">
        <v>274</v>
      </c>
      <c r="AB60" t="s">
        <v>274</v>
      </c>
      <c r="AC60" t="s">
        <v>274</v>
      </c>
      <c r="AD60" t="s">
        <v>274</v>
      </c>
      <c r="AE60" t="s">
        <v>274</v>
      </c>
      <c r="AF60" t="s">
        <v>274</v>
      </c>
      <c r="AG60" t="s">
        <v>274</v>
      </c>
      <c r="AH60" t="s">
        <v>274</v>
      </c>
      <c r="AI60" t="s">
        <v>274</v>
      </c>
      <c r="AJ60" t="s">
        <v>7407</v>
      </c>
      <c r="AK60" t="s">
        <v>7408</v>
      </c>
      <c r="AL60" t="s">
        <v>7409</v>
      </c>
      <c r="AM60" t="s">
        <v>7410</v>
      </c>
      <c r="AN60" t="s">
        <v>7411</v>
      </c>
      <c r="AO60" t="s">
        <v>7412</v>
      </c>
      <c r="AP60" t="s">
        <v>7413</v>
      </c>
      <c r="AQ60" t="s">
        <v>7414</v>
      </c>
      <c r="AR60" t="s">
        <v>7415</v>
      </c>
      <c r="AS60" t="s">
        <v>7416</v>
      </c>
      <c r="AT60" t="s">
        <v>7417</v>
      </c>
      <c r="AU60" t="s">
        <v>7418</v>
      </c>
      <c r="AV60" t="s">
        <v>7419</v>
      </c>
      <c r="AW60" t="s">
        <v>7420</v>
      </c>
      <c r="AX60" t="s">
        <v>7421</v>
      </c>
      <c r="AY60" t="s">
        <v>7422</v>
      </c>
      <c r="AZ60" t="s">
        <v>7423</v>
      </c>
      <c r="BA60" t="s">
        <v>7424</v>
      </c>
      <c r="BB60" t="s">
        <v>7425</v>
      </c>
      <c r="BC60" t="s">
        <v>7426</v>
      </c>
      <c r="BD60" t="s">
        <v>7427</v>
      </c>
      <c r="BE60" t="s">
        <v>7428</v>
      </c>
      <c r="BF60" t="s">
        <v>7429</v>
      </c>
      <c r="BG60" t="s">
        <v>7430</v>
      </c>
      <c r="BH60" t="s">
        <v>6549</v>
      </c>
      <c r="BI60" t="s">
        <v>7431</v>
      </c>
      <c r="BJ60" t="s">
        <v>7432</v>
      </c>
      <c r="BK60" t="s">
        <v>7433</v>
      </c>
      <c r="BL60" t="s">
        <v>7434</v>
      </c>
      <c r="BM60" t="s">
        <v>7435</v>
      </c>
      <c r="BN60" t="s">
        <v>7436</v>
      </c>
      <c r="BO60" t="s">
        <v>7437</v>
      </c>
      <c r="BP60" t="s">
        <v>7438</v>
      </c>
      <c r="BR60" t="s">
        <v>274</v>
      </c>
    </row>
    <row r="61" spans="1:70" x14ac:dyDescent="0.3">
      <c r="A61" t="s">
        <v>72</v>
      </c>
      <c r="B61" t="s">
        <v>1570</v>
      </c>
      <c r="C61" t="s">
        <v>4632</v>
      </c>
      <c r="D61" t="s">
        <v>4633</v>
      </c>
      <c r="F61" t="s">
        <v>7439</v>
      </c>
      <c r="G61" t="s">
        <v>7440</v>
      </c>
      <c r="H61" t="s">
        <v>7441</v>
      </c>
      <c r="I61" t="s">
        <v>7442</v>
      </c>
      <c r="J61" t="s">
        <v>7443</v>
      </c>
      <c r="K61" t="s">
        <v>7444</v>
      </c>
      <c r="L61" t="s">
        <v>7445</v>
      </c>
      <c r="M61" t="s">
        <v>7446</v>
      </c>
      <c r="N61" t="s">
        <v>7447</v>
      </c>
      <c r="O61" t="s">
        <v>7448</v>
      </c>
      <c r="P61" t="s">
        <v>7449</v>
      </c>
      <c r="Q61" t="s">
        <v>7450</v>
      </c>
      <c r="R61" t="s">
        <v>7451</v>
      </c>
      <c r="S61" t="s">
        <v>7452</v>
      </c>
      <c r="T61" t="s">
        <v>7453</v>
      </c>
      <c r="U61" t="s">
        <v>7454</v>
      </c>
      <c r="V61" t="s">
        <v>7455</v>
      </c>
      <c r="W61" t="s">
        <v>7456</v>
      </c>
      <c r="X61" t="s">
        <v>7457</v>
      </c>
      <c r="Y61" t="s">
        <v>7458</v>
      </c>
      <c r="Z61" t="s">
        <v>7459</v>
      </c>
      <c r="AA61" t="s">
        <v>7460</v>
      </c>
      <c r="AB61" t="s">
        <v>7461</v>
      </c>
      <c r="AC61" t="s">
        <v>7462</v>
      </c>
      <c r="AD61" t="s">
        <v>7463</v>
      </c>
      <c r="AE61" t="s">
        <v>7464</v>
      </c>
      <c r="AF61" t="s">
        <v>7465</v>
      </c>
      <c r="AG61" t="s">
        <v>7466</v>
      </c>
      <c r="AH61" t="s">
        <v>7467</v>
      </c>
      <c r="AI61" t="s">
        <v>7468</v>
      </c>
      <c r="AJ61" t="s">
        <v>7469</v>
      </c>
      <c r="AK61" t="s">
        <v>7470</v>
      </c>
      <c r="AL61" t="s">
        <v>7471</v>
      </c>
      <c r="AM61" t="s">
        <v>7472</v>
      </c>
      <c r="AN61" t="s">
        <v>7473</v>
      </c>
      <c r="AO61" t="s">
        <v>7474</v>
      </c>
      <c r="AP61" t="s">
        <v>7475</v>
      </c>
      <c r="AQ61" t="s">
        <v>7476</v>
      </c>
      <c r="AR61" t="s">
        <v>7477</v>
      </c>
      <c r="AS61" t="s">
        <v>7478</v>
      </c>
      <c r="AT61" t="s">
        <v>7479</v>
      </c>
      <c r="AU61" t="s">
        <v>7480</v>
      </c>
      <c r="AV61" t="s">
        <v>7481</v>
      </c>
      <c r="AW61" t="s">
        <v>7482</v>
      </c>
      <c r="AX61" t="s">
        <v>7483</v>
      </c>
      <c r="AY61" t="s">
        <v>7484</v>
      </c>
      <c r="AZ61" t="s">
        <v>7485</v>
      </c>
      <c r="BA61" t="s">
        <v>7486</v>
      </c>
      <c r="BB61" t="s">
        <v>7487</v>
      </c>
      <c r="BC61" t="s">
        <v>7488</v>
      </c>
      <c r="BD61" t="s">
        <v>7489</v>
      </c>
      <c r="BE61" t="s">
        <v>7490</v>
      </c>
      <c r="BF61" t="s">
        <v>7491</v>
      </c>
      <c r="BG61" t="s">
        <v>7492</v>
      </c>
      <c r="BH61" t="s">
        <v>7493</v>
      </c>
      <c r="BI61" t="s">
        <v>7494</v>
      </c>
      <c r="BJ61" t="s">
        <v>7495</v>
      </c>
      <c r="BK61" t="s">
        <v>7496</v>
      </c>
      <c r="BL61" t="s">
        <v>7497</v>
      </c>
      <c r="BM61" t="s">
        <v>7498</v>
      </c>
      <c r="BN61" t="s">
        <v>7499</v>
      </c>
      <c r="BO61" t="s">
        <v>7500</v>
      </c>
      <c r="BP61" t="s">
        <v>7501</v>
      </c>
      <c r="BR61" t="s">
        <v>274</v>
      </c>
    </row>
    <row r="62" spans="1:70" x14ac:dyDescent="0.3">
      <c r="A62" t="s">
        <v>73</v>
      </c>
      <c r="B62" t="s">
        <v>1571</v>
      </c>
      <c r="C62" t="s">
        <v>4632</v>
      </c>
      <c r="D62" t="s">
        <v>4633</v>
      </c>
      <c r="F62" t="s">
        <v>274</v>
      </c>
      <c r="G62" t="s">
        <v>274</v>
      </c>
      <c r="H62" t="s">
        <v>274</v>
      </c>
      <c r="I62" t="s">
        <v>274</v>
      </c>
      <c r="J62" t="s">
        <v>274</v>
      </c>
      <c r="K62" t="s">
        <v>274</v>
      </c>
      <c r="L62" t="s">
        <v>274</v>
      </c>
      <c r="M62" t="s">
        <v>274</v>
      </c>
      <c r="N62" t="s">
        <v>274</v>
      </c>
      <c r="O62" t="s">
        <v>274</v>
      </c>
      <c r="P62" t="s">
        <v>274</v>
      </c>
      <c r="Q62" t="s">
        <v>274</v>
      </c>
      <c r="R62" t="s">
        <v>274</v>
      </c>
      <c r="S62" t="s">
        <v>274</v>
      </c>
      <c r="T62" t="s">
        <v>274</v>
      </c>
      <c r="U62" t="s">
        <v>274</v>
      </c>
      <c r="V62" t="s">
        <v>274</v>
      </c>
      <c r="W62" t="s">
        <v>274</v>
      </c>
      <c r="X62" t="s">
        <v>274</v>
      </c>
      <c r="Y62" t="s">
        <v>274</v>
      </c>
      <c r="Z62" t="s">
        <v>274</v>
      </c>
      <c r="AA62" t="s">
        <v>274</v>
      </c>
      <c r="AB62" t="s">
        <v>274</v>
      </c>
      <c r="AC62" t="s">
        <v>274</v>
      </c>
      <c r="AD62" t="s">
        <v>274</v>
      </c>
      <c r="AE62" t="s">
        <v>274</v>
      </c>
      <c r="AF62" t="s">
        <v>274</v>
      </c>
      <c r="AG62" t="s">
        <v>274</v>
      </c>
      <c r="AH62" t="s">
        <v>274</v>
      </c>
      <c r="AI62" t="s">
        <v>274</v>
      </c>
      <c r="AJ62" t="s">
        <v>274</v>
      </c>
      <c r="AK62" t="s">
        <v>274</v>
      </c>
      <c r="AL62" t="s">
        <v>274</v>
      </c>
      <c r="AM62" t="s">
        <v>274</v>
      </c>
      <c r="AN62" t="s">
        <v>274</v>
      </c>
      <c r="AO62" t="s">
        <v>274</v>
      </c>
      <c r="AP62" t="s">
        <v>274</v>
      </c>
      <c r="AQ62" t="s">
        <v>274</v>
      </c>
      <c r="AR62" t="s">
        <v>274</v>
      </c>
      <c r="AS62" t="s">
        <v>274</v>
      </c>
      <c r="AT62" t="s">
        <v>274</v>
      </c>
      <c r="AU62" t="s">
        <v>274</v>
      </c>
      <c r="AV62" t="s">
        <v>274</v>
      </c>
      <c r="AW62" t="s">
        <v>274</v>
      </c>
      <c r="AX62" t="s">
        <v>274</v>
      </c>
      <c r="AY62" t="s">
        <v>274</v>
      </c>
      <c r="AZ62" t="s">
        <v>274</v>
      </c>
      <c r="BA62" t="s">
        <v>274</v>
      </c>
      <c r="BB62" t="s">
        <v>274</v>
      </c>
      <c r="BC62" t="s">
        <v>274</v>
      </c>
      <c r="BD62" t="s">
        <v>274</v>
      </c>
      <c r="BE62" t="s">
        <v>274</v>
      </c>
      <c r="BF62" t="s">
        <v>274</v>
      </c>
      <c r="BG62" t="s">
        <v>7502</v>
      </c>
      <c r="BH62" t="s">
        <v>7503</v>
      </c>
      <c r="BI62" t="s">
        <v>7504</v>
      </c>
      <c r="BJ62" t="s">
        <v>7505</v>
      </c>
      <c r="BK62" t="s">
        <v>7506</v>
      </c>
      <c r="BL62" t="s">
        <v>7507</v>
      </c>
      <c r="BM62" t="s">
        <v>7508</v>
      </c>
      <c r="BN62" t="s">
        <v>7509</v>
      </c>
      <c r="BO62" t="s">
        <v>7510</v>
      </c>
      <c r="BP62" t="s">
        <v>7511</v>
      </c>
      <c r="BR62" t="s">
        <v>274</v>
      </c>
    </row>
    <row r="63" spans="1:70" x14ac:dyDescent="0.3">
      <c r="A63" t="s">
        <v>205</v>
      </c>
      <c r="B63" t="s">
        <v>1572</v>
      </c>
      <c r="C63" t="s">
        <v>4632</v>
      </c>
      <c r="D63" t="s">
        <v>4633</v>
      </c>
      <c r="F63" t="s">
        <v>274</v>
      </c>
      <c r="G63" t="s">
        <v>274</v>
      </c>
      <c r="H63" t="s">
        <v>274</v>
      </c>
      <c r="I63" t="s">
        <v>274</v>
      </c>
      <c r="J63" t="s">
        <v>274</v>
      </c>
      <c r="K63" t="s">
        <v>274</v>
      </c>
      <c r="L63" t="s">
        <v>274</v>
      </c>
      <c r="M63" t="s">
        <v>274</v>
      </c>
      <c r="N63" t="s">
        <v>274</v>
      </c>
      <c r="O63" t="s">
        <v>274</v>
      </c>
      <c r="P63" t="s">
        <v>274</v>
      </c>
      <c r="Q63" t="s">
        <v>274</v>
      </c>
      <c r="R63" t="s">
        <v>274</v>
      </c>
      <c r="S63" t="s">
        <v>274</v>
      </c>
      <c r="T63" t="s">
        <v>274</v>
      </c>
      <c r="U63" t="s">
        <v>274</v>
      </c>
      <c r="V63" t="s">
        <v>274</v>
      </c>
      <c r="W63" t="s">
        <v>7512</v>
      </c>
      <c r="X63" t="s">
        <v>7513</v>
      </c>
      <c r="Y63" t="s">
        <v>7514</v>
      </c>
      <c r="Z63" t="s">
        <v>7515</v>
      </c>
      <c r="AA63" t="s">
        <v>7244</v>
      </c>
      <c r="AB63" t="s">
        <v>7516</v>
      </c>
      <c r="AC63" t="s">
        <v>7517</v>
      </c>
      <c r="AD63" t="s">
        <v>7518</v>
      </c>
      <c r="AE63" t="s">
        <v>7519</v>
      </c>
      <c r="AF63" t="s">
        <v>7520</v>
      </c>
      <c r="AG63" t="s">
        <v>7247</v>
      </c>
      <c r="AH63" t="s">
        <v>7521</v>
      </c>
      <c r="AI63" t="s">
        <v>7522</v>
      </c>
      <c r="AJ63" t="s">
        <v>7523</v>
      </c>
      <c r="AK63" t="s">
        <v>7524</v>
      </c>
      <c r="AL63" t="s">
        <v>7525</v>
      </c>
      <c r="AM63" t="s">
        <v>7526</v>
      </c>
      <c r="AN63" t="s">
        <v>7527</v>
      </c>
      <c r="AO63" t="s">
        <v>7528</v>
      </c>
      <c r="AP63" t="s">
        <v>7529</v>
      </c>
      <c r="AQ63" t="s">
        <v>7530</v>
      </c>
      <c r="AR63" t="s">
        <v>7254</v>
      </c>
      <c r="AS63" t="s">
        <v>7531</v>
      </c>
      <c r="AT63" t="s">
        <v>7532</v>
      </c>
      <c r="AU63" t="s">
        <v>7533</v>
      </c>
      <c r="AV63" t="s">
        <v>7534</v>
      </c>
      <c r="AW63" t="s">
        <v>7535</v>
      </c>
      <c r="AX63" t="s">
        <v>7536</v>
      </c>
      <c r="AY63" t="s">
        <v>7537</v>
      </c>
      <c r="AZ63" t="s">
        <v>7538</v>
      </c>
      <c r="BA63" t="s">
        <v>7539</v>
      </c>
      <c r="BB63" t="s">
        <v>7540</v>
      </c>
      <c r="BC63" t="s">
        <v>7541</v>
      </c>
      <c r="BD63" t="s">
        <v>7258</v>
      </c>
      <c r="BE63" t="s">
        <v>7542</v>
      </c>
      <c r="BF63" t="s">
        <v>7543</v>
      </c>
      <c r="BG63" t="s">
        <v>7544</v>
      </c>
      <c r="BH63" t="s">
        <v>7545</v>
      </c>
      <c r="BI63" t="s">
        <v>7546</v>
      </c>
      <c r="BJ63" t="s">
        <v>7547</v>
      </c>
      <c r="BK63" t="s">
        <v>7548</v>
      </c>
      <c r="BL63" t="s">
        <v>7549</v>
      </c>
      <c r="BM63" t="s">
        <v>7550</v>
      </c>
      <c r="BN63" t="s">
        <v>7551</v>
      </c>
      <c r="BO63" t="s">
        <v>7552</v>
      </c>
      <c r="BP63" t="s">
        <v>7553</v>
      </c>
      <c r="BR63" t="s">
        <v>274</v>
      </c>
    </row>
    <row r="64" spans="1:70" x14ac:dyDescent="0.3">
      <c r="A64" t="s">
        <v>74</v>
      </c>
      <c r="B64" t="s">
        <v>1613</v>
      </c>
      <c r="C64" t="s">
        <v>4632</v>
      </c>
      <c r="D64" t="s">
        <v>4633</v>
      </c>
      <c r="F64" t="s">
        <v>7554</v>
      </c>
      <c r="G64" t="s">
        <v>7555</v>
      </c>
      <c r="H64" t="s">
        <v>7556</v>
      </c>
      <c r="I64" t="s">
        <v>7557</v>
      </c>
      <c r="J64" t="s">
        <v>7558</v>
      </c>
      <c r="K64" t="s">
        <v>7559</v>
      </c>
      <c r="L64" t="s">
        <v>7560</v>
      </c>
      <c r="M64" t="s">
        <v>7561</v>
      </c>
      <c r="N64" t="s">
        <v>7562</v>
      </c>
      <c r="O64" t="s">
        <v>7563</v>
      </c>
      <c r="P64" t="s">
        <v>7564</v>
      </c>
      <c r="Q64" t="s">
        <v>7565</v>
      </c>
      <c r="R64" t="s">
        <v>7566</v>
      </c>
      <c r="S64" t="s">
        <v>7567</v>
      </c>
      <c r="T64" t="s">
        <v>7568</v>
      </c>
      <c r="U64" t="s">
        <v>7569</v>
      </c>
      <c r="V64" t="s">
        <v>7570</v>
      </c>
      <c r="W64" t="s">
        <v>7571</v>
      </c>
      <c r="X64" t="s">
        <v>7572</v>
      </c>
      <c r="Y64" t="s">
        <v>7573</v>
      </c>
      <c r="Z64" t="s">
        <v>7574</v>
      </c>
      <c r="AA64" t="s">
        <v>7575</v>
      </c>
      <c r="AB64" t="s">
        <v>7576</v>
      </c>
      <c r="AC64" t="s">
        <v>7577</v>
      </c>
      <c r="AD64" t="s">
        <v>7578</v>
      </c>
      <c r="AE64" t="s">
        <v>7579</v>
      </c>
      <c r="AF64" t="s">
        <v>7580</v>
      </c>
      <c r="AG64" t="s">
        <v>7581</v>
      </c>
      <c r="AH64" t="s">
        <v>7582</v>
      </c>
      <c r="AI64" t="s">
        <v>7583</v>
      </c>
      <c r="AJ64" t="s">
        <v>7584</v>
      </c>
      <c r="AK64" t="s">
        <v>7585</v>
      </c>
      <c r="AL64" t="s">
        <v>7586</v>
      </c>
      <c r="AM64" t="s">
        <v>7587</v>
      </c>
      <c r="AN64" t="s">
        <v>7588</v>
      </c>
      <c r="AO64" t="s">
        <v>7589</v>
      </c>
      <c r="AP64" t="s">
        <v>7590</v>
      </c>
      <c r="AQ64" t="s">
        <v>7591</v>
      </c>
      <c r="AR64" t="s">
        <v>7592</v>
      </c>
      <c r="AS64" t="s">
        <v>7593</v>
      </c>
      <c r="AT64" t="s">
        <v>7594</v>
      </c>
      <c r="AU64" t="s">
        <v>7595</v>
      </c>
      <c r="AV64" t="s">
        <v>7596</v>
      </c>
      <c r="AW64" t="s">
        <v>7597</v>
      </c>
      <c r="AX64" t="s">
        <v>7598</v>
      </c>
      <c r="AY64" t="s">
        <v>7599</v>
      </c>
      <c r="AZ64" t="s">
        <v>7600</v>
      </c>
      <c r="BA64" t="s">
        <v>7601</v>
      </c>
      <c r="BB64" t="s">
        <v>7602</v>
      </c>
      <c r="BC64" t="s">
        <v>7603</v>
      </c>
      <c r="BD64" t="s">
        <v>7604</v>
      </c>
      <c r="BE64" t="s">
        <v>7605</v>
      </c>
      <c r="BF64" t="s">
        <v>7606</v>
      </c>
      <c r="BG64" t="s">
        <v>7607</v>
      </c>
      <c r="BH64" t="s">
        <v>7608</v>
      </c>
      <c r="BI64" t="s">
        <v>7609</v>
      </c>
      <c r="BJ64" t="s">
        <v>7610</v>
      </c>
      <c r="BK64" t="s">
        <v>7611</v>
      </c>
      <c r="BL64" t="s">
        <v>7612</v>
      </c>
      <c r="BM64" t="s">
        <v>7613</v>
      </c>
      <c r="BN64" t="s">
        <v>7614</v>
      </c>
      <c r="BO64" t="s">
        <v>7615</v>
      </c>
      <c r="BP64" t="s">
        <v>7616</v>
      </c>
      <c r="BR64" t="s">
        <v>274</v>
      </c>
    </row>
    <row r="65" spans="1:70" x14ac:dyDescent="0.3">
      <c r="A65" t="s">
        <v>75</v>
      </c>
      <c r="B65" t="s">
        <v>1614</v>
      </c>
      <c r="C65" t="s">
        <v>4632</v>
      </c>
      <c r="D65" t="s">
        <v>4633</v>
      </c>
      <c r="F65" t="s">
        <v>7617</v>
      </c>
      <c r="G65" t="s">
        <v>7618</v>
      </c>
      <c r="H65" t="s">
        <v>7619</v>
      </c>
      <c r="I65" t="s">
        <v>7620</v>
      </c>
      <c r="J65" t="s">
        <v>7621</v>
      </c>
      <c r="K65" t="s">
        <v>7622</v>
      </c>
      <c r="L65" t="s">
        <v>7623</v>
      </c>
      <c r="M65" t="s">
        <v>7624</v>
      </c>
      <c r="N65" t="s">
        <v>7625</v>
      </c>
      <c r="O65" t="s">
        <v>7626</v>
      </c>
      <c r="P65" t="s">
        <v>7627</v>
      </c>
      <c r="Q65" t="s">
        <v>7628</v>
      </c>
      <c r="R65" t="s">
        <v>7629</v>
      </c>
      <c r="S65" t="s">
        <v>7630</v>
      </c>
      <c r="T65" t="s">
        <v>7631</v>
      </c>
      <c r="U65" t="s">
        <v>7632</v>
      </c>
      <c r="V65" t="s">
        <v>7633</v>
      </c>
      <c r="W65" t="s">
        <v>7634</v>
      </c>
      <c r="X65" t="s">
        <v>7635</v>
      </c>
      <c r="Y65" t="s">
        <v>7636</v>
      </c>
      <c r="Z65" t="s">
        <v>7637</v>
      </c>
      <c r="AA65" t="s">
        <v>7638</v>
      </c>
      <c r="AB65" t="s">
        <v>7639</v>
      </c>
      <c r="AC65" t="s">
        <v>7640</v>
      </c>
      <c r="AD65" t="s">
        <v>7641</v>
      </c>
      <c r="AE65" t="s">
        <v>7642</v>
      </c>
      <c r="AF65" t="s">
        <v>7643</v>
      </c>
      <c r="AG65" t="s">
        <v>7644</v>
      </c>
      <c r="AH65" t="s">
        <v>7645</v>
      </c>
      <c r="AI65" t="s">
        <v>7646</v>
      </c>
      <c r="AJ65" t="s">
        <v>7647</v>
      </c>
      <c r="AK65" t="s">
        <v>7648</v>
      </c>
      <c r="AL65" t="s">
        <v>7649</v>
      </c>
      <c r="AM65" t="s">
        <v>7650</v>
      </c>
      <c r="AN65" t="s">
        <v>7651</v>
      </c>
      <c r="AO65" t="s">
        <v>7652</v>
      </c>
      <c r="AP65" t="s">
        <v>7653</v>
      </c>
      <c r="AQ65" t="s">
        <v>7654</v>
      </c>
      <c r="AR65" t="s">
        <v>7655</v>
      </c>
      <c r="AS65" t="s">
        <v>7656</v>
      </c>
      <c r="AT65" t="s">
        <v>7657</v>
      </c>
      <c r="AU65" t="s">
        <v>7658</v>
      </c>
      <c r="AV65" t="s">
        <v>7659</v>
      </c>
      <c r="AW65" t="s">
        <v>7660</v>
      </c>
      <c r="AX65" t="s">
        <v>7661</v>
      </c>
      <c r="AY65" t="s">
        <v>7662</v>
      </c>
      <c r="AZ65" t="s">
        <v>7663</v>
      </c>
      <c r="BA65" t="s">
        <v>7664</v>
      </c>
      <c r="BB65" t="s">
        <v>7665</v>
      </c>
      <c r="BC65" t="s">
        <v>7666</v>
      </c>
      <c r="BD65" t="s">
        <v>7667</v>
      </c>
      <c r="BE65" t="s">
        <v>7668</v>
      </c>
      <c r="BF65" t="s">
        <v>7669</v>
      </c>
      <c r="BG65" t="s">
        <v>7670</v>
      </c>
      <c r="BH65" t="s">
        <v>7671</v>
      </c>
      <c r="BI65" t="s">
        <v>7672</v>
      </c>
      <c r="BJ65" t="s">
        <v>7673</v>
      </c>
      <c r="BK65" t="s">
        <v>7674</v>
      </c>
      <c r="BL65" t="s">
        <v>7675</v>
      </c>
      <c r="BM65" t="s">
        <v>7676</v>
      </c>
      <c r="BN65" t="s">
        <v>7677</v>
      </c>
      <c r="BO65" t="s">
        <v>7678</v>
      </c>
      <c r="BP65" t="s">
        <v>7679</v>
      </c>
      <c r="BR65" t="s">
        <v>274</v>
      </c>
    </row>
    <row r="66" spans="1:70" x14ac:dyDescent="0.3">
      <c r="A66" t="s">
        <v>76</v>
      </c>
      <c r="B66" t="s">
        <v>1648</v>
      </c>
      <c r="C66" t="s">
        <v>4632</v>
      </c>
      <c r="D66" t="s">
        <v>4633</v>
      </c>
      <c r="F66" t="s">
        <v>7680</v>
      </c>
      <c r="G66" t="s">
        <v>7681</v>
      </c>
      <c r="H66" t="s">
        <v>7682</v>
      </c>
      <c r="I66" t="s">
        <v>7683</v>
      </c>
      <c r="J66" t="s">
        <v>7684</v>
      </c>
      <c r="K66" t="s">
        <v>7685</v>
      </c>
      <c r="L66" t="s">
        <v>7686</v>
      </c>
      <c r="M66" t="s">
        <v>7687</v>
      </c>
      <c r="N66" t="s">
        <v>7688</v>
      </c>
      <c r="O66" t="s">
        <v>7689</v>
      </c>
      <c r="P66" t="s">
        <v>7690</v>
      </c>
      <c r="Q66" t="s">
        <v>7691</v>
      </c>
      <c r="R66" t="s">
        <v>7692</v>
      </c>
      <c r="S66" t="s">
        <v>7693</v>
      </c>
      <c r="T66" t="s">
        <v>7694</v>
      </c>
      <c r="U66" t="s">
        <v>7695</v>
      </c>
      <c r="V66" t="s">
        <v>7696</v>
      </c>
      <c r="W66" t="s">
        <v>7697</v>
      </c>
      <c r="X66" t="s">
        <v>7698</v>
      </c>
      <c r="Y66" t="s">
        <v>7699</v>
      </c>
      <c r="Z66" t="s">
        <v>7700</v>
      </c>
      <c r="AA66" t="s">
        <v>7701</v>
      </c>
      <c r="AB66" t="s">
        <v>7702</v>
      </c>
      <c r="AC66" t="s">
        <v>7703</v>
      </c>
      <c r="AD66" t="s">
        <v>7704</v>
      </c>
      <c r="AE66" t="s">
        <v>7705</v>
      </c>
      <c r="AF66" t="s">
        <v>7706</v>
      </c>
      <c r="AG66" t="s">
        <v>7707</v>
      </c>
      <c r="AH66" t="s">
        <v>7708</v>
      </c>
      <c r="AI66" t="s">
        <v>7709</v>
      </c>
      <c r="AJ66" t="s">
        <v>7710</v>
      </c>
      <c r="AK66" t="s">
        <v>7711</v>
      </c>
      <c r="AL66" t="s">
        <v>7712</v>
      </c>
      <c r="AM66" t="s">
        <v>7713</v>
      </c>
      <c r="AN66" t="s">
        <v>7714</v>
      </c>
      <c r="AO66" t="s">
        <v>7715</v>
      </c>
      <c r="AP66" t="s">
        <v>7716</v>
      </c>
      <c r="AQ66" t="s">
        <v>4994</v>
      </c>
      <c r="AR66" t="s">
        <v>7717</v>
      </c>
      <c r="AS66" t="s">
        <v>7718</v>
      </c>
      <c r="AT66" t="s">
        <v>7719</v>
      </c>
      <c r="AU66" t="s">
        <v>7720</v>
      </c>
      <c r="AV66" t="s">
        <v>7721</v>
      </c>
      <c r="AW66" t="s">
        <v>7722</v>
      </c>
      <c r="AX66" t="s">
        <v>7723</v>
      </c>
      <c r="AY66" t="s">
        <v>7724</v>
      </c>
      <c r="AZ66" t="s">
        <v>7725</v>
      </c>
      <c r="BA66" t="s">
        <v>7726</v>
      </c>
      <c r="BB66" t="s">
        <v>7727</v>
      </c>
      <c r="BC66" t="s">
        <v>7728</v>
      </c>
      <c r="BD66" t="s">
        <v>7729</v>
      </c>
      <c r="BE66" t="s">
        <v>7730</v>
      </c>
      <c r="BF66" t="s">
        <v>7731</v>
      </c>
      <c r="BG66" t="s">
        <v>7732</v>
      </c>
      <c r="BH66" t="s">
        <v>7733</v>
      </c>
      <c r="BI66" t="s">
        <v>7734</v>
      </c>
      <c r="BJ66" t="s">
        <v>7735</v>
      </c>
      <c r="BK66" t="s">
        <v>7736</v>
      </c>
      <c r="BL66" t="s">
        <v>7737</v>
      </c>
      <c r="BM66" t="s">
        <v>7738</v>
      </c>
      <c r="BN66" t="s">
        <v>7739</v>
      </c>
      <c r="BO66" t="s">
        <v>7740</v>
      </c>
      <c r="BP66" t="s">
        <v>5019</v>
      </c>
      <c r="BR66" t="s">
        <v>274</v>
      </c>
    </row>
    <row r="67" spans="1:70" x14ac:dyDescent="0.3">
      <c r="A67" t="s">
        <v>1655</v>
      </c>
      <c r="B67" t="s">
        <v>1656</v>
      </c>
      <c r="C67" t="s">
        <v>4632</v>
      </c>
      <c r="D67" t="s">
        <v>4633</v>
      </c>
      <c r="F67" t="s">
        <v>274</v>
      </c>
      <c r="G67" t="s">
        <v>274</v>
      </c>
      <c r="H67" t="s">
        <v>274</v>
      </c>
      <c r="I67" t="s">
        <v>274</v>
      </c>
      <c r="J67" t="s">
        <v>274</v>
      </c>
      <c r="K67" t="s">
        <v>274</v>
      </c>
      <c r="L67" t="s">
        <v>274</v>
      </c>
      <c r="M67" t="s">
        <v>274</v>
      </c>
      <c r="N67" t="s">
        <v>274</v>
      </c>
      <c r="O67" t="s">
        <v>274</v>
      </c>
      <c r="P67" t="s">
        <v>7741</v>
      </c>
      <c r="Q67" t="s">
        <v>7742</v>
      </c>
      <c r="R67" t="s">
        <v>7743</v>
      </c>
      <c r="S67" t="s">
        <v>7744</v>
      </c>
      <c r="T67" t="s">
        <v>7745</v>
      </c>
      <c r="U67" t="s">
        <v>7746</v>
      </c>
      <c r="V67" t="s">
        <v>7747</v>
      </c>
      <c r="W67" t="s">
        <v>7748</v>
      </c>
      <c r="X67" t="s">
        <v>7749</v>
      </c>
      <c r="Y67" t="s">
        <v>7750</v>
      </c>
      <c r="Z67" t="s">
        <v>7751</v>
      </c>
      <c r="AA67" t="s">
        <v>7752</v>
      </c>
      <c r="AB67" t="s">
        <v>7753</v>
      </c>
      <c r="AC67" t="s">
        <v>7754</v>
      </c>
      <c r="AD67" t="s">
        <v>7755</v>
      </c>
      <c r="AE67" t="s">
        <v>7756</v>
      </c>
      <c r="AF67" t="s">
        <v>7757</v>
      </c>
      <c r="AG67" t="s">
        <v>7758</v>
      </c>
      <c r="AH67" t="s">
        <v>7759</v>
      </c>
      <c r="AI67" t="s">
        <v>7760</v>
      </c>
      <c r="AJ67" t="s">
        <v>7761</v>
      </c>
      <c r="AK67" t="s">
        <v>7762</v>
      </c>
      <c r="AL67" t="s">
        <v>7763</v>
      </c>
      <c r="AM67" t="s">
        <v>7764</v>
      </c>
      <c r="AN67" t="s">
        <v>7765</v>
      </c>
      <c r="AO67" t="s">
        <v>6733</v>
      </c>
      <c r="AP67" t="s">
        <v>7766</v>
      </c>
      <c r="AQ67" t="s">
        <v>7767</v>
      </c>
      <c r="AR67" t="s">
        <v>7768</v>
      </c>
      <c r="AS67" t="s">
        <v>7769</v>
      </c>
      <c r="AT67" t="s">
        <v>7770</v>
      </c>
      <c r="AU67" t="s">
        <v>7771</v>
      </c>
      <c r="AV67" t="s">
        <v>7772</v>
      </c>
      <c r="AW67" t="s">
        <v>7773</v>
      </c>
      <c r="AX67" t="s">
        <v>7774</v>
      </c>
      <c r="AY67" t="s">
        <v>7775</v>
      </c>
      <c r="AZ67" t="s">
        <v>7776</v>
      </c>
      <c r="BA67" t="s">
        <v>6745</v>
      </c>
      <c r="BB67" t="s">
        <v>7777</v>
      </c>
      <c r="BC67" t="s">
        <v>7778</v>
      </c>
      <c r="BD67" t="s">
        <v>7779</v>
      </c>
      <c r="BE67" t="s">
        <v>7780</v>
      </c>
      <c r="BF67" t="s">
        <v>7781</v>
      </c>
      <c r="BG67" t="s">
        <v>7782</v>
      </c>
      <c r="BH67" t="s">
        <v>7783</v>
      </c>
      <c r="BI67" t="s">
        <v>7784</v>
      </c>
      <c r="BJ67" t="s">
        <v>7785</v>
      </c>
      <c r="BK67" t="s">
        <v>7786</v>
      </c>
      <c r="BL67" t="s">
        <v>7787</v>
      </c>
      <c r="BM67" t="s">
        <v>7788</v>
      </c>
      <c r="BN67" t="s">
        <v>7789</v>
      </c>
      <c r="BO67" t="s">
        <v>7790</v>
      </c>
      <c r="BP67" t="s">
        <v>7791</v>
      </c>
      <c r="BR67" t="s">
        <v>274</v>
      </c>
    </row>
    <row r="68" spans="1:70" x14ac:dyDescent="0.3">
      <c r="A68" t="s">
        <v>1657</v>
      </c>
      <c r="B68" t="s">
        <v>1658</v>
      </c>
      <c r="C68" t="s">
        <v>4632</v>
      </c>
      <c r="D68" t="s">
        <v>4633</v>
      </c>
      <c r="F68" t="s">
        <v>7792</v>
      </c>
      <c r="G68" t="s">
        <v>7793</v>
      </c>
      <c r="H68" t="s">
        <v>7794</v>
      </c>
      <c r="I68" t="s">
        <v>7795</v>
      </c>
      <c r="J68" t="s">
        <v>7796</v>
      </c>
      <c r="K68" t="s">
        <v>7797</v>
      </c>
      <c r="L68" t="s">
        <v>7798</v>
      </c>
      <c r="M68" t="s">
        <v>7799</v>
      </c>
      <c r="N68" t="s">
        <v>7800</v>
      </c>
      <c r="O68" t="s">
        <v>7801</v>
      </c>
      <c r="P68" t="s">
        <v>7802</v>
      </c>
      <c r="Q68" t="s">
        <v>7803</v>
      </c>
      <c r="R68" t="s">
        <v>7804</v>
      </c>
      <c r="S68" t="s">
        <v>5939</v>
      </c>
      <c r="T68" t="s">
        <v>7805</v>
      </c>
      <c r="U68" t="s">
        <v>7806</v>
      </c>
      <c r="V68" t="s">
        <v>7633</v>
      </c>
      <c r="W68" t="s">
        <v>7807</v>
      </c>
      <c r="X68" t="s">
        <v>7808</v>
      </c>
      <c r="Y68" t="s">
        <v>7809</v>
      </c>
      <c r="Z68" t="s">
        <v>7810</v>
      </c>
      <c r="AA68" t="s">
        <v>7811</v>
      </c>
      <c r="AB68" t="s">
        <v>7812</v>
      </c>
      <c r="AC68" t="s">
        <v>6303</v>
      </c>
      <c r="AD68" t="s">
        <v>7813</v>
      </c>
      <c r="AE68" t="s">
        <v>6305</v>
      </c>
      <c r="AF68" t="s">
        <v>7814</v>
      </c>
      <c r="AG68" t="s">
        <v>7815</v>
      </c>
      <c r="AH68" t="s">
        <v>7816</v>
      </c>
      <c r="AI68" t="s">
        <v>7817</v>
      </c>
      <c r="AJ68" t="s">
        <v>7818</v>
      </c>
      <c r="AK68" t="s">
        <v>7819</v>
      </c>
      <c r="AL68" t="s">
        <v>7820</v>
      </c>
      <c r="AM68" t="s">
        <v>7821</v>
      </c>
      <c r="AN68" t="s">
        <v>7822</v>
      </c>
      <c r="AO68" t="s">
        <v>7823</v>
      </c>
      <c r="AP68" t="s">
        <v>7824</v>
      </c>
      <c r="AQ68" t="s">
        <v>7825</v>
      </c>
      <c r="AR68" t="s">
        <v>7826</v>
      </c>
      <c r="AS68" t="s">
        <v>7656</v>
      </c>
      <c r="AT68" t="s">
        <v>7657</v>
      </c>
      <c r="AU68" t="s">
        <v>7827</v>
      </c>
      <c r="AV68" t="s">
        <v>7828</v>
      </c>
      <c r="AW68" t="s">
        <v>7829</v>
      </c>
      <c r="AX68" t="s">
        <v>7830</v>
      </c>
      <c r="AY68" t="s">
        <v>7831</v>
      </c>
      <c r="AZ68" t="s">
        <v>7776</v>
      </c>
      <c r="BA68" t="s">
        <v>5782</v>
      </c>
      <c r="BB68" t="s">
        <v>7832</v>
      </c>
      <c r="BC68" t="s">
        <v>7833</v>
      </c>
      <c r="BD68" t="s">
        <v>7667</v>
      </c>
      <c r="BE68" t="s">
        <v>7834</v>
      </c>
      <c r="BF68" t="s">
        <v>7835</v>
      </c>
      <c r="BG68" t="s">
        <v>7836</v>
      </c>
      <c r="BH68" t="s">
        <v>7837</v>
      </c>
      <c r="BI68" t="s">
        <v>7838</v>
      </c>
      <c r="BJ68" t="s">
        <v>6336</v>
      </c>
      <c r="BK68" t="s">
        <v>7839</v>
      </c>
      <c r="BL68" t="s">
        <v>7840</v>
      </c>
      <c r="BM68" t="s">
        <v>7841</v>
      </c>
      <c r="BN68" t="s">
        <v>7842</v>
      </c>
      <c r="BO68" t="s">
        <v>7843</v>
      </c>
      <c r="BP68" t="s">
        <v>7844</v>
      </c>
      <c r="BR68" t="s">
        <v>274</v>
      </c>
    </row>
    <row r="69" spans="1:70" x14ac:dyDescent="0.3">
      <c r="A69" t="s">
        <v>77</v>
      </c>
      <c r="B69" t="s">
        <v>1659</v>
      </c>
      <c r="C69" t="s">
        <v>4632</v>
      </c>
      <c r="D69" t="s">
        <v>4633</v>
      </c>
      <c r="F69" t="s">
        <v>274</v>
      </c>
      <c r="G69" t="s">
        <v>274</v>
      </c>
      <c r="H69" t="s">
        <v>274</v>
      </c>
      <c r="I69" t="s">
        <v>274</v>
      </c>
      <c r="J69" t="s">
        <v>274</v>
      </c>
      <c r="K69" t="s">
        <v>274</v>
      </c>
      <c r="L69" t="s">
        <v>274</v>
      </c>
      <c r="M69" t="s">
        <v>274</v>
      </c>
      <c r="N69" t="s">
        <v>274</v>
      </c>
      <c r="O69" t="s">
        <v>274</v>
      </c>
      <c r="P69" t="s">
        <v>7845</v>
      </c>
      <c r="Q69" t="s">
        <v>7846</v>
      </c>
      <c r="R69" t="s">
        <v>7847</v>
      </c>
      <c r="S69" t="s">
        <v>7848</v>
      </c>
      <c r="T69" t="s">
        <v>7745</v>
      </c>
      <c r="U69" t="s">
        <v>7849</v>
      </c>
      <c r="V69" t="s">
        <v>7850</v>
      </c>
      <c r="W69" t="s">
        <v>7851</v>
      </c>
      <c r="X69" t="s">
        <v>7852</v>
      </c>
      <c r="Y69" t="s">
        <v>7853</v>
      </c>
      <c r="Z69" t="s">
        <v>7854</v>
      </c>
      <c r="AA69" t="s">
        <v>7855</v>
      </c>
      <c r="AB69" t="s">
        <v>7856</v>
      </c>
      <c r="AC69" t="s">
        <v>6721</v>
      </c>
      <c r="AD69" t="s">
        <v>7857</v>
      </c>
      <c r="AE69" t="s">
        <v>6723</v>
      </c>
      <c r="AF69" t="s">
        <v>7858</v>
      </c>
      <c r="AG69" t="s">
        <v>7859</v>
      </c>
      <c r="AH69" t="s">
        <v>7860</v>
      </c>
      <c r="AI69" t="s">
        <v>7861</v>
      </c>
      <c r="AJ69" t="s">
        <v>7862</v>
      </c>
      <c r="AK69" t="s">
        <v>7863</v>
      </c>
      <c r="AL69" t="s">
        <v>7864</v>
      </c>
      <c r="AM69" t="s">
        <v>7865</v>
      </c>
      <c r="AN69" t="s">
        <v>7866</v>
      </c>
      <c r="AO69" t="s">
        <v>7867</v>
      </c>
      <c r="AP69" t="s">
        <v>7868</v>
      </c>
      <c r="AQ69" t="s">
        <v>7869</v>
      </c>
      <c r="AR69" t="s">
        <v>7870</v>
      </c>
      <c r="AS69" t="s">
        <v>7871</v>
      </c>
      <c r="AT69" t="s">
        <v>7872</v>
      </c>
      <c r="AU69" t="s">
        <v>7873</v>
      </c>
      <c r="AV69" t="s">
        <v>7874</v>
      </c>
      <c r="AW69" t="s">
        <v>7875</v>
      </c>
      <c r="AX69" t="s">
        <v>7876</v>
      </c>
      <c r="AY69" t="s">
        <v>7877</v>
      </c>
      <c r="AZ69" t="s">
        <v>7878</v>
      </c>
      <c r="BA69" t="s">
        <v>7879</v>
      </c>
      <c r="BB69" t="s">
        <v>7880</v>
      </c>
      <c r="BC69" t="s">
        <v>7881</v>
      </c>
      <c r="BD69" t="s">
        <v>7882</v>
      </c>
      <c r="BE69" t="s">
        <v>7883</v>
      </c>
      <c r="BF69" t="s">
        <v>7884</v>
      </c>
      <c r="BG69" t="s">
        <v>7885</v>
      </c>
      <c r="BH69" t="s">
        <v>7886</v>
      </c>
      <c r="BI69" t="s">
        <v>7887</v>
      </c>
      <c r="BJ69" t="s">
        <v>7888</v>
      </c>
      <c r="BK69" t="s">
        <v>6755</v>
      </c>
      <c r="BL69" t="s">
        <v>7787</v>
      </c>
      <c r="BM69" t="s">
        <v>7889</v>
      </c>
      <c r="BN69" t="s">
        <v>7890</v>
      </c>
      <c r="BO69" t="s">
        <v>7891</v>
      </c>
      <c r="BP69" t="s">
        <v>7892</v>
      </c>
      <c r="BR69" t="s">
        <v>274</v>
      </c>
    </row>
    <row r="70" spans="1:70" x14ac:dyDescent="0.3">
      <c r="A70" t="s">
        <v>1660</v>
      </c>
      <c r="B70" t="s">
        <v>1661</v>
      </c>
      <c r="C70" t="s">
        <v>4632</v>
      </c>
      <c r="D70" t="s">
        <v>4633</v>
      </c>
      <c r="F70" t="s">
        <v>274</v>
      </c>
      <c r="G70" t="s">
        <v>274</v>
      </c>
      <c r="H70" t="s">
        <v>274</v>
      </c>
      <c r="I70" t="s">
        <v>274</v>
      </c>
      <c r="J70" t="s">
        <v>274</v>
      </c>
      <c r="K70" t="s">
        <v>274</v>
      </c>
      <c r="L70" t="s">
        <v>274</v>
      </c>
      <c r="M70" t="s">
        <v>274</v>
      </c>
      <c r="N70" t="s">
        <v>274</v>
      </c>
      <c r="O70" t="s">
        <v>274</v>
      </c>
      <c r="P70" t="s">
        <v>274</v>
      </c>
      <c r="Q70" t="s">
        <v>274</v>
      </c>
      <c r="R70" t="s">
        <v>274</v>
      </c>
      <c r="S70" t="s">
        <v>274</v>
      </c>
      <c r="T70" t="s">
        <v>274</v>
      </c>
      <c r="U70" t="s">
        <v>274</v>
      </c>
      <c r="V70" t="s">
        <v>274</v>
      </c>
      <c r="W70" t="s">
        <v>274</v>
      </c>
      <c r="X70" t="s">
        <v>274</v>
      </c>
      <c r="Y70" t="s">
        <v>274</v>
      </c>
      <c r="Z70" t="s">
        <v>274</v>
      </c>
      <c r="AA70" t="s">
        <v>274</v>
      </c>
      <c r="AB70" t="s">
        <v>274</v>
      </c>
      <c r="AC70" t="s">
        <v>274</v>
      </c>
      <c r="AD70" t="s">
        <v>274</v>
      </c>
      <c r="AE70" t="s">
        <v>274</v>
      </c>
      <c r="AF70" t="s">
        <v>274</v>
      </c>
      <c r="AG70" t="s">
        <v>274</v>
      </c>
      <c r="AH70" t="s">
        <v>274</v>
      </c>
      <c r="AI70" t="s">
        <v>274</v>
      </c>
      <c r="AJ70" t="s">
        <v>7893</v>
      </c>
      <c r="AK70" t="s">
        <v>5894</v>
      </c>
      <c r="AL70" t="s">
        <v>7894</v>
      </c>
      <c r="AM70" t="s">
        <v>7895</v>
      </c>
      <c r="AN70" t="s">
        <v>5135</v>
      </c>
      <c r="AO70" t="s">
        <v>7896</v>
      </c>
      <c r="AP70" t="s">
        <v>7897</v>
      </c>
      <c r="AQ70" t="s">
        <v>7898</v>
      </c>
      <c r="AR70" t="s">
        <v>7899</v>
      </c>
      <c r="AS70" t="s">
        <v>7900</v>
      </c>
      <c r="AT70" t="s">
        <v>7901</v>
      </c>
      <c r="AU70" t="s">
        <v>7902</v>
      </c>
      <c r="AV70" t="s">
        <v>7903</v>
      </c>
      <c r="AW70" t="s">
        <v>7904</v>
      </c>
      <c r="AX70" t="s">
        <v>7905</v>
      </c>
      <c r="AY70" t="s">
        <v>5908</v>
      </c>
      <c r="AZ70" t="s">
        <v>5909</v>
      </c>
      <c r="BA70" t="s">
        <v>7906</v>
      </c>
      <c r="BB70" t="s">
        <v>7907</v>
      </c>
      <c r="BC70" t="s">
        <v>7908</v>
      </c>
      <c r="BD70" t="s">
        <v>7909</v>
      </c>
      <c r="BE70" t="s">
        <v>7910</v>
      </c>
      <c r="BF70" t="s">
        <v>7911</v>
      </c>
      <c r="BG70" t="s">
        <v>7912</v>
      </c>
      <c r="BH70" t="s">
        <v>7913</v>
      </c>
      <c r="BI70" t="s">
        <v>7914</v>
      </c>
      <c r="BJ70" t="s">
        <v>7915</v>
      </c>
      <c r="BK70" t="s">
        <v>7916</v>
      </c>
      <c r="BL70" t="s">
        <v>7917</v>
      </c>
      <c r="BM70" t="s">
        <v>7918</v>
      </c>
      <c r="BN70" t="s">
        <v>7919</v>
      </c>
      <c r="BO70" t="s">
        <v>7920</v>
      </c>
      <c r="BP70" t="s">
        <v>7921</v>
      </c>
      <c r="BR70" t="s">
        <v>274</v>
      </c>
    </row>
    <row r="71" spans="1:70" x14ac:dyDescent="0.3">
      <c r="A71" t="s">
        <v>78</v>
      </c>
      <c r="B71" t="s">
        <v>1662</v>
      </c>
      <c r="C71" t="s">
        <v>4632</v>
      </c>
      <c r="D71" t="s">
        <v>4633</v>
      </c>
      <c r="F71" t="s">
        <v>274</v>
      </c>
      <c r="G71" t="s">
        <v>274</v>
      </c>
      <c r="H71" t="s">
        <v>274</v>
      </c>
      <c r="I71" t="s">
        <v>274</v>
      </c>
      <c r="J71" t="s">
        <v>274</v>
      </c>
      <c r="K71" t="s">
        <v>274</v>
      </c>
      <c r="L71" t="s">
        <v>274</v>
      </c>
      <c r="M71" t="s">
        <v>274</v>
      </c>
      <c r="N71" t="s">
        <v>274</v>
      </c>
      <c r="O71" t="s">
        <v>274</v>
      </c>
      <c r="P71" t="s">
        <v>274</v>
      </c>
      <c r="Q71" t="s">
        <v>274</v>
      </c>
      <c r="R71" t="s">
        <v>274</v>
      </c>
      <c r="S71" t="s">
        <v>274</v>
      </c>
      <c r="T71" t="s">
        <v>274</v>
      </c>
      <c r="U71" t="s">
        <v>274</v>
      </c>
      <c r="V71" t="s">
        <v>274</v>
      </c>
      <c r="W71" t="s">
        <v>274</v>
      </c>
      <c r="X71" t="s">
        <v>274</v>
      </c>
      <c r="Y71" t="s">
        <v>274</v>
      </c>
      <c r="Z71" t="s">
        <v>274</v>
      </c>
      <c r="AA71" t="s">
        <v>274</v>
      </c>
      <c r="AB71" t="s">
        <v>274</v>
      </c>
      <c r="AC71" t="s">
        <v>274</v>
      </c>
      <c r="AD71" t="s">
        <v>7922</v>
      </c>
      <c r="AE71" t="s">
        <v>7923</v>
      </c>
      <c r="AF71" t="s">
        <v>7924</v>
      </c>
      <c r="AG71" t="s">
        <v>7925</v>
      </c>
      <c r="AH71" t="s">
        <v>7926</v>
      </c>
      <c r="AI71" t="s">
        <v>7373</v>
      </c>
      <c r="AJ71" t="s">
        <v>4872</v>
      </c>
      <c r="AK71" t="s">
        <v>7927</v>
      </c>
      <c r="AL71" t="s">
        <v>7409</v>
      </c>
      <c r="AM71" t="s">
        <v>7928</v>
      </c>
      <c r="AN71" t="s">
        <v>7929</v>
      </c>
      <c r="AO71" t="s">
        <v>7930</v>
      </c>
      <c r="AP71" t="s">
        <v>7931</v>
      </c>
      <c r="AQ71" t="s">
        <v>7932</v>
      </c>
      <c r="AR71" t="s">
        <v>7933</v>
      </c>
      <c r="AS71" t="s">
        <v>7934</v>
      </c>
      <c r="AT71" t="s">
        <v>7935</v>
      </c>
      <c r="AU71" t="s">
        <v>7936</v>
      </c>
      <c r="AV71" t="s">
        <v>7937</v>
      </c>
      <c r="AW71" t="s">
        <v>7938</v>
      </c>
      <c r="AX71" t="s">
        <v>7939</v>
      </c>
      <c r="AY71" t="s">
        <v>7940</v>
      </c>
      <c r="AZ71" t="s">
        <v>7941</v>
      </c>
      <c r="BA71" t="s">
        <v>7942</v>
      </c>
      <c r="BB71" t="s">
        <v>7943</v>
      </c>
      <c r="BC71" t="s">
        <v>7944</v>
      </c>
      <c r="BD71" t="s">
        <v>7945</v>
      </c>
      <c r="BE71" t="s">
        <v>7946</v>
      </c>
      <c r="BF71" t="s">
        <v>7947</v>
      </c>
      <c r="BG71" t="s">
        <v>7948</v>
      </c>
      <c r="BH71" t="s">
        <v>7949</v>
      </c>
      <c r="BI71" t="s">
        <v>7950</v>
      </c>
      <c r="BJ71" t="s">
        <v>7951</v>
      </c>
      <c r="BK71" t="s">
        <v>7952</v>
      </c>
      <c r="BL71" t="s">
        <v>7953</v>
      </c>
      <c r="BM71" t="s">
        <v>7954</v>
      </c>
      <c r="BN71" t="s">
        <v>7955</v>
      </c>
      <c r="BO71" t="s">
        <v>7956</v>
      </c>
      <c r="BP71" t="s">
        <v>7957</v>
      </c>
      <c r="BR71" t="s">
        <v>274</v>
      </c>
    </row>
    <row r="72" spans="1:70" x14ac:dyDescent="0.3">
      <c r="A72" t="s">
        <v>79</v>
      </c>
      <c r="B72" t="s">
        <v>1663</v>
      </c>
      <c r="C72" t="s">
        <v>4632</v>
      </c>
      <c r="D72" t="s">
        <v>4633</v>
      </c>
      <c r="F72" t="s">
        <v>7958</v>
      </c>
      <c r="G72" t="s">
        <v>7959</v>
      </c>
      <c r="H72" t="s">
        <v>7960</v>
      </c>
      <c r="I72" t="s">
        <v>7961</v>
      </c>
      <c r="J72" t="s">
        <v>7796</v>
      </c>
      <c r="K72" t="s">
        <v>7962</v>
      </c>
      <c r="L72" t="s">
        <v>7963</v>
      </c>
      <c r="M72" t="s">
        <v>7964</v>
      </c>
      <c r="N72" t="s">
        <v>7965</v>
      </c>
      <c r="O72" t="s">
        <v>7966</v>
      </c>
      <c r="P72" t="s">
        <v>7967</v>
      </c>
      <c r="Q72" t="s">
        <v>7968</v>
      </c>
      <c r="R72" t="s">
        <v>7969</v>
      </c>
      <c r="S72" t="s">
        <v>7970</v>
      </c>
      <c r="T72" t="s">
        <v>7971</v>
      </c>
      <c r="U72" t="s">
        <v>7972</v>
      </c>
      <c r="V72" t="s">
        <v>7973</v>
      </c>
      <c r="W72" t="s">
        <v>7974</v>
      </c>
      <c r="X72" t="s">
        <v>7975</v>
      </c>
      <c r="Y72" t="s">
        <v>7976</v>
      </c>
      <c r="Z72" t="s">
        <v>7977</v>
      </c>
      <c r="AA72" t="s">
        <v>7978</v>
      </c>
      <c r="AB72" t="s">
        <v>7979</v>
      </c>
      <c r="AC72" t="s">
        <v>7980</v>
      </c>
      <c r="AD72" t="s">
        <v>7981</v>
      </c>
      <c r="AE72" t="s">
        <v>7982</v>
      </c>
      <c r="AF72" t="s">
        <v>7983</v>
      </c>
      <c r="AG72" t="s">
        <v>7984</v>
      </c>
      <c r="AH72" t="s">
        <v>7985</v>
      </c>
      <c r="AI72" t="s">
        <v>7986</v>
      </c>
      <c r="AJ72" t="s">
        <v>7987</v>
      </c>
      <c r="AK72" t="s">
        <v>7988</v>
      </c>
      <c r="AL72" t="s">
        <v>7989</v>
      </c>
      <c r="AM72" t="s">
        <v>7990</v>
      </c>
      <c r="AN72" t="s">
        <v>7991</v>
      </c>
      <c r="AO72" t="s">
        <v>7992</v>
      </c>
      <c r="AP72" t="s">
        <v>7993</v>
      </c>
      <c r="AQ72" t="s">
        <v>7994</v>
      </c>
      <c r="AR72" t="s">
        <v>7995</v>
      </c>
      <c r="AS72" t="s">
        <v>7996</v>
      </c>
      <c r="AT72" t="s">
        <v>7997</v>
      </c>
      <c r="AU72" t="s">
        <v>7998</v>
      </c>
      <c r="AV72" t="s">
        <v>7999</v>
      </c>
      <c r="AW72" t="s">
        <v>8000</v>
      </c>
      <c r="AX72" t="s">
        <v>8001</v>
      </c>
      <c r="AY72" t="s">
        <v>8002</v>
      </c>
      <c r="AZ72" t="s">
        <v>8003</v>
      </c>
      <c r="BA72" t="s">
        <v>8004</v>
      </c>
      <c r="BB72" t="s">
        <v>8005</v>
      </c>
      <c r="BC72" t="s">
        <v>8006</v>
      </c>
      <c r="BD72" t="s">
        <v>8007</v>
      </c>
      <c r="BE72" t="s">
        <v>7834</v>
      </c>
      <c r="BF72" t="s">
        <v>8008</v>
      </c>
      <c r="BG72" t="s">
        <v>8009</v>
      </c>
      <c r="BH72" t="s">
        <v>8010</v>
      </c>
      <c r="BI72" t="s">
        <v>8011</v>
      </c>
      <c r="BJ72" t="s">
        <v>8012</v>
      </c>
      <c r="BK72" t="s">
        <v>8013</v>
      </c>
      <c r="BL72" t="s">
        <v>8014</v>
      </c>
      <c r="BM72" t="s">
        <v>8015</v>
      </c>
      <c r="BN72" t="s">
        <v>8016</v>
      </c>
      <c r="BO72" t="s">
        <v>8017</v>
      </c>
      <c r="BP72" t="s">
        <v>8018</v>
      </c>
      <c r="BR72" t="s">
        <v>274</v>
      </c>
    </row>
    <row r="73" spans="1:70" x14ac:dyDescent="0.3">
      <c r="A73" t="s">
        <v>80</v>
      </c>
      <c r="B73" t="s">
        <v>1664</v>
      </c>
      <c r="C73" t="s">
        <v>4632</v>
      </c>
      <c r="D73" t="s">
        <v>4633</v>
      </c>
      <c r="F73" t="s">
        <v>8019</v>
      </c>
      <c r="G73" t="s">
        <v>8020</v>
      </c>
      <c r="H73" t="s">
        <v>8021</v>
      </c>
      <c r="I73" t="s">
        <v>8022</v>
      </c>
      <c r="J73" t="s">
        <v>8023</v>
      </c>
      <c r="K73" t="s">
        <v>4962</v>
      </c>
      <c r="L73" t="s">
        <v>8024</v>
      </c>
      <c r="M73" t="s">
        <v>8025</v>
      </c>
      <c r="N73" t="s">
        <v>8026</v>
      </c>
      <c r="O73" t="s">
        <v>8027</v>
      </c>
      <c r="P73" t="s">
        <v>8028</v>
      </c>
      <c r="Q73" t="s">
        <v>8029</v>
      </c>
      <c r="R73" t="s">
        <v>8030</v>
      </c>
      <c r="S73" t="s">
        <v>8031</v>
      </c>
      <c r="T73" t="s">
        <v>8032</v>
      </c>
      <c r="U73" t="s">
        <v>8033</v>
      </c>
      <c r="V73" t="s">
        <v>8034</v>
      </c>
      <c r="W73" t="s">
        <v>8035</v>
      </c>
      <c r="X73" t="s">
        <v>8036</v>
      </c>
      <c r="Y73" t="s">
        <v>8037</v>
      </c>
      <c r="Z73" t="s">
        <v>8038</v>
      </c>
      <c r="AA73" t="s">
        <v>8039</v>
      </c>
      <c r="AB73" t="s">
        <v>8040</v>
      </c>
      <c r="AC73" t="s">
        <v>8041</v>
      </c>
      <c r="AD73" t="s">
        <v>8042</v>
      </c>
      <c r="AE73" t="s">
        <v>8043</v>
      </c>
      <c r="AF73" t="s">
        <v>8044</v>
      </c>
      <c r="AG73" t="s">
        <v>8045</v>
      </c>
      <c r="AH73" t="s">
        <v>8046</v>
      </c>
      <c r="AI73" t="s">
        <v>8047</v>
      </c>
      <c r="AJ73" t="s">
        <v>8048</v>
      </c>
      <c r="AK73" t="s">
        <v>8049</v>
      </c>
      <c r="AL73" t="s">
        <v>8050</v>
      </c>
      <c r="AM73" t="s">
        <v>8051</v>
      </c>
      <c r="AN73" t="s">
        <v>8052</v>
      </c>
      <c r="AO73" t="s">
        <v>8053</v>
      </c>
      <c r="AP73" t="s">
        <v>8054</v>
      </c>
      <c r="AQ73" t="s">
        <v>8055</v>
      </c>
      <c r="AR73" t="s">
        <v>8056</v>
      </c>
      <c r="AS73" t="s">
        <v>8057</v>
      </c>
      <c r="AT73" t="s">
        <v>4997</v>
      </c>
      <c r="AU73" t="s">
        <v>8058</v>
      </c>
      <c r="AV73" t="s">
        <v>8059</v>
      </c>
      <c r="AW73" t="s">
        <v>8060</v>
      </c>
      <c r="AX73" t="s">
        <v>8061</v>
      </c>
      <c r="AY73" t="s">
        <v>8062</v>
      </c>
      <c r="AZ73" t="s">
        <v>8063</v>
      </c>
      <c r="BA73" t="s">
        <v>8064</v>
      </c>
      <c r="BB73" t="s">
        <v>8065</v>
      </c>
      <c r="BC73" t="s">
        <v>8066</v>
      </c>
      <c r="BD73" t="s">
        <v>8067</v>
      </c>
      <c r="BE73" t="s">
        <v>8068</v>
      </c>
      <c r="BF73" t="s">
        <v>8069</v>
      </c>
      <c r="BG73" t="s">
        <v>8070</v>
      </c>
      <c r="BH73" t="s">
        <v>8071</v>
      </c>
      <c r="BI73" t="s">
        <v>8072</v>
      </c>
      <c r="BJ73" t="s">
        <v>8073</v>
      </c>
      <c r="BK73" t="s">
        <v>8074</v>
      </c>
      <c r="BL73" t="s">
        <v>8075</v>
      </c>
      <c r="BM73" t="s">
        <v>8076</v>
      </c>
      <c r="BN73" t="s">
        <v>8077</v>
      </c>
      <c r="BO73" t="s">
        <v>8078</v>
      </c>
      <c r="BP73" t="s">
        <v>8079</v>
      </c>
      <c r="BR73" t="s">
        <v>274</v>
      </c>
    </row>
    <row r="74" spans="1:70" x14ac:dyDescent="0.3">
      <c r="A74" t="s">
        <v>1696</v>
      </c>
      <c r="B74" t="s">
        <v>1697</v>
      </c>
      <c r="C74" t="s">
        <v>4632</v>
      </c>
      <c r="D74" t="s">
        <v>4633</v>
      </c>
      <c r="F74" t="s">
        <v>8080</v>
      </c>
      <c r="G74" t="s">
        <v>8081</v>
      </c>
      <c r="H74" t="s">
        <v>8082</v>
      </c>
      <c r="I74" t="s">
        <v>8083</v>
      </c>
      <c r="J74" t="s">
        <v>8084</v>
      </c>
      <c r="K74" t="s">
        <v>8085</v>
      </c>
      <c r="L74" t="s">
        <v>8086</v>
      </c>
      <c r="M74" t="s">
        <v>8087</v>
      </c>
      <c r="N74" t="s">
        <v>8088</v>
      </c>
      <c r="O74" t="s">
        <v>8089</v>
      </c>
      <c r="P74" t="s">
        <v>5303</v>
      </c>
      <c r="Q74" t="s">
        <v>8090</v>
      </c>
      <c r="R74" t="s">
        <v>8091</v>
      </c>
      <c r="S74" t="s">
        <v>8092</v>
      </c>
      <c r="T74" t="s">
        <v>8093</v>
      </c>
      <c r="U74" t="s">
        <v>8094</v>
      </c>
      <c r="V74" t="s">
        <v>8095</v>
      </c>
      <c r="W74" t="s">
        <v>8096</v>
      </c>
      <c r="X74" t="s">
        <v>8097</v>
      </c>
      <c r="Y74" t="s">
        <v>8098</v>
      </c>
      <c r="Z74" t="s">
        <v>8099</v>
      </c>
      <c r="AA74" t="s">
        <v>8100</v>
      </c>
      <c r="AB74" t="s">
        <v>8101</v>
      </c>
      <c r="AC74" t="s">
        <v>8102</v>
      </c>
      <c r="AD74" t="s">
        <v>8103</v>
      </c>
      <c r="AE74" t="s">
        <v>8104</v>
      </c>
      <c r="AF74" t="s">
        <v>8105</v>
      </c>
      <c r="AG74" t="s">
        <v>7925</v>
      </c>
      <c r="AH74" t="s">
        <v>8106</v>
      </c>
      <c r="AI74" t="s">
        <v>8107</v>
      </c>
      <c r="AJ74" t="s">
        <v>8108</v>
      </c>
      <c r="AK74" t="s">
        <v>8109</v>
      </c>
      <c r="AL74" t="s">
        <v>8110</v>
      </c>
      <c r="AM74" t="s">
        <v>8111</v>
      </c>
      <c r="AN74" t="s">
        <v>8112</v>
      </c>
      <c r="AO74" t="s">
        <v>8113</v>
      </c>
      <c r="AP74" t="s">
        <v>8114</v>
      </c>
      <c r="AQ74" t="s">
        <v>8115</v>
      </c>
      <c r="AR74" t="s">
        <v>8116</v>
      </c>
      <c r="AS74" t="s">
        <v>8117</v>
      </c>
      <c r="AT74" t="s">
        <v>8118</v>
      </c>
      <c r="AU74" t="s">
        <v>8119</v>
      </c>
      <c r="AV74" t="s">
        <v>8120</v>
      </c>
      <c r="AW74" t="s">
        <v>8121</v>
      </c>
      <c r="AX74" t="s">
        <v>8122</v>
      </c>
      <c r="AY74" t="s">
        <v>8123</v>
      </c>
      <c r="AZ74" t="s">
        <v>8124</v>
      </c>
      <c r="BA74" t="s">
        <v>8125</v>
      </c>
      <c r="BB74" t="s">
        <v>8126</v>
      </c>
      <c r="BC74" t="s">
        <v>8127</v>
      </c>
      <c r="BD74" t="s">
        <v>8128</v>
      </c>
      <c r="BE74" t="s">
        <v>8129</v>
      </c>
      <c r="BF74" t="s">
        <v>8130</v>
      </c>
      <c r="BG74" t="s">
        <v>8131</v>
      </c>
      <c r="BH74" t="s">
        <v>8132</v>
      </c>
      <c r="BI74" t="s">
        <v>8133</v>
      </c>
      <c r="BJ74" t="s">
        <v>8134</v>
      </c>
      <c r="BK74" t="s">
        <v>8135</v>
      </c>
      <c r="BL74" t="s">
        <v>8136</v>
      </c>
      <c r="BM74" t="s">
        <v>8137</v>
      </c>
      <c r="BN74" t="s">
        <v>8138</v>
      </c>
      <c r="BO74" t="s">
        <v>8139</v>
      </c>
      <c r="BP74" t="s">
        <v>8140</v>
      </c>
      <c r="BR74" t="s">
        <v>274</v>
      </c>
    </row>
    <row r="75" spans="1:70" x14ac:dyDescent="0.3">
      <c r="A75" t="s">
        <v>1698</v>
      </c>
      <c r="B75" t="s">
        <v>1699</v>
      </c>
      <c r="C75" t="s">
        <v>4632</v>
      </c>
      <c r="D75" t="s">
        <v>4633</v>
      </c>
      <c r="F75" t="s">
        <v>274</v>
      </c>
      <c r="G75" t="s">
        <v>274</v>
      </c>
      <c r="H75" t="s">
        <v>274</v>
      </c>
      <c r="I75" t="s">
        <v>274</v>
      </c>
      <c r="J75" t="s">
        <v>274</v>
      </c>
      <c r="K75" t="s">
        <v>274</v>
      </c>
      <c r="L75" t="s">
        <v>274</v>
      </c>
      <c r="M75" t="s">
        <v>274</v>
      </c>
      <c r="N75" t="s">
        <v>274</v>
      </c>
      <c r="O75" t="s">
        <v>274</v>
      </c>
      <c r="P75" t="s">
        <v>274</v>
      </c>
      <c r="Q75" t="s">
        <v>274</v>
      </c>
      <c r="R75" t="s">
        <v>274</v>
      </c>
      <c r="S75" t="s">
        <v>274</v>
      </c>
      <c r="T75" t="s">
        <v>274</v>
      </c>
      <c r="U75" t="s">
        <v>274</v>
      </c>
      <c r="V75" t="s">
        <v>274</v>
      </c>
      <c r="W75" t="s">
        <v>274</v>
      </c>
      <c r="X75" t="s">
        <v>274</v>
      </c>
      <c r="Y75" t="s">
        <v>274</v>
      </c>
      <c r="Z75" t="s">
        <v>274</v>
      </c>
      <c r="AA75" t="s">
        <v>274</v>
      </c>
      <c r="AB75" t="s">
        <v>274</v>
      </c>
      <c r="AC75" t="s">
        <v>274</v>
      </c>
      <c r="AD75" t="s">
        <v>274</v>
      </c>
      <c r="AE75" t="s">
        <v>274</v>
      </c>
      <c r="AF75" t="s">
        <v>274</v>
      </c>
      <c r="AG75" t="s">
        <v>274</v>
      </c>
      <c r="AH75" t="s">
        <v>274</v>
      </c>
      <c r="AI75" t="s">
        <v>274</v>
      </c>
      <c r="AJ75" t="s">
        <v>274</v>
      </c>
      <c r="AK75" t="s">
        <v>274</v>
      </c>
      <c r="AL75" t="s">
        <v>8141</v>
      </c>
      <c r="AM75" t="s">
        <v>8142</v>
      </c>
      <c r="AN75" t="s">
        <v>8143</v>
      </c>
      <c r="AO75" t="s">
        <v>8144</v>
      </c>
      <c r="AP75" t="s">
        <v>8145</v>
      </c>
      <c r="AQ75" t="s">
        <v>4708</v>
      </c>
      <c r="AR75" t="s">
        <v>8146</v>
      </c>
      <c r="AS75" t="s">
        <v>8147</v>
      </c>
      <c r="AT75" t="s">
        <v>8148</v>
      </c>
      <c r="AU75" t="s">
        <v>8149</v>
      </c>
      <c r="AV75" t="s">
        <v>8150</v>
      </c>
      <c r="AW75" t="s">
        <v>8151</v>
      </c>
      <c r="AX75" t="s">
        <v>4715</v>
      </c>
      <c r="AY75" t="s">
        <v>8152</v>
      </c>
      <c r="AZ75" t="s">
        <v>8153</v>
      </c>
      <c r="BA75" t="s">
        <v>8154</v>
      </c>
      <c r="BB75" t="s">
        <v>8155</v>
      </c>
      <c r="BC75" t="s">
        <v>8156</v>
      </c>
      <c r="BD75" t="s">
        <v>8157</v>
      </c>
      <c r="BE75" t="s">
        <v>274</v>
      </c>
      <c r="BF75" t="s">
        <v>274</v>
      </c>
      <c r="BG75" t="s">
        <v>274</v>
      </c>
      <c r="BH75" t="s">
        <v>274</v>
      </c>
      <c r="BI75" t="s">
        <v>274</v>
      </c>
      <c r="BJ75" t="s">
        <v>274</v>
      </c>
      <c r="BK75" t="s">
        <v>274</v>
      </c>
      <c r="BL75" t="s">
        <v>274</v>
      </c>
      <c r="BM75" t="s">
        <v>274</v>
      </c>
      <c r="BN75" t="s">
        <v>274</v>
      </c>
      <c r="BO75" t="s">
        <v>274</v>
      </c>
      <c r="BP75" t="s">
        <v>274</v>
      </c>
      <c r="BR75" t="s">
        <v>274</v>
      </c>
    </row>
    <row r="76" spans="1:70" x14ac:dyDescent="0.3">
      <c r="A76" t="s">
        <v>81</v>
      </c>
      <c r="B76" t="s">
        <v>1700</v>
      </c>
      <c r="C76" t="s">
        <v>4632</v>
      </c>
      <c r="D76" t="s">
        <v>4633</v>
      </c>
      <c r="F76" t="s">
        <v>8158</v>
      </c>
      <c r="G76" t="s">
        <v>8159</v>
      </c>
      <c r="H76" t="s">
        <v>8160</v>
      </c>
      <c r="I76" t="s">
        <v>8161</v>
      </c>
      <c r="J76" t="s">
        <v>8162</v>
      </c>
      <c r="K76" t="s">
        <v>8163</v>
      </c>
      <c r="L76" t="s">
        <v>8164</v>
      </c>
      <c r="M76" t="s">
        <v>8165</v>
      </c>
      <c r="N76" t="s">
        <v>8166</v>
      </c>
      <c r="O76" t="s">
        <v>8167</v>
      </c>
      <c r="P76" t="s">
        <v>8168</v>
      </c>
      <c r="Q76" t="s">
        <v>8169</v>
      </c>
      <c r="R76" t="s">
        <v>8170</v>
      </c>
      <c r="S76" t="s">
        <v>8171</v>
      </c>
      <c r="T76" t="s">
        <v>8172</v>
      </c>
      <c r="U76" t="s">
        <v>8173</v>
      </c>
      <c r="V76" t="s">
        <v>8174</v>
      </c>
      <c r="W76" t="s">
        <v>8175</v>
      </c>
      <c r="X76" t="s">
        <v>8176</v>
      </c>
      <c r="Y76" t="s">
        <v>8177</v>
      </c>
      <c r="Z76" t="s">
        <v>8178</v>
      </c>
      <c r="AA76" t="s">
        <v>8179</v>
      </c>
      <c r="AB76" t="s">
        <v>8180</v>
      </c>
      <c r="AC76" t="s">
        <v>8181</v>
      </c>
      <c r="AD76" t="s">
        <v>8182</v>
      </c>
      <c r="AE76" t="s">
        <v>8183</v>
      </c>
      <c r="AF76" t="s">
        <v>8184</v>
      </c>
      <c r="AG76" t="s">
        <v>8185</v>
      </c>
      <c r="AH76" t="s">
        <v>8186</v>
      </c>
      <c r="AI76" t="s">
        <v>8187</v>
      </c>
      <c r="AJ76" t="s">
        <v>8188</v>
      </c>
      <c r="AK76" t="s">
        <v>8189</v>
      </c>
      <c r="AL76" t="s">
        <v>8190</v>
      </c>
      <c r="AM76" t="s">
        <v>8191</v>
      </c>
      <c r="AN76" t="s">
        <v>8192</v>
      </c>
      <c r="AO76" t="s">
        <v>8193</v>
      </c>
      <c r="AP76" t="s">
        <v>8194</v>
      </c>
      <c r="AQ76" t="s">
        <v>8195</v>
      </c>
      <c r="AR76" t="s">
        <v>8196</v>
      </c>
      <c r="AS76" t="s">
        <v>8197</v>
      </c>
      <c r="AT76" t="s">
        <v>8198</v>
      </c>
      <c r="AU76" t="s">
        <v>8199</v>
      </c>
      <c r="AV76" t="s">
        <v>8200</v>
      </c>
      <c r="AW76" t="s">
        <v>8201</v>
      </c>
      <c r="AX76" t="s">
        <v>8202</v>
      </c>
      <c r="AY76" t="s">
        <v>8203</v>
      </c>
      <c r="AZ76" t="s">
        <v>8204</v>
      </c>
      <c r="BA76" t="s">
        <v>8205</v>
      </c>
      <c r="BB76" t="s">
        <v>8206</v>
      </c>
      <c r="BC76" t="s">
        <v>8207</v>
      </c>
      <c r="BD76" t="s">
        <v>8208</v>
      </c>
      <c r="BE76" t="s">
        <v>8209</v>
      </c>
      <c r="BF76" t="s">
        <v>8210</v>
      </c>
      <c r="BG76" t="s">
        <v>8211</v>
      </c>
      <c r="BH76" t="s">
        <v>8212</v>
      </c>
      <c r="BI76" t="s">
        <v>8213</v>
      </c>
      <c r="BJ76" t="s">
        <v>8214</v>
      </c>
      <c r="BK76" t="s">
        <v>8215</v>
      </c>
      <c r="BL76" t="s">
        <v>8216</v>
      </c>
      <c r="BM76" t="s">
        <v>8217</v>
      </c>
      <c r="BN76" t="s">
        <v>8218</v>
      </c>
      <c r="BO76" t="s">
        <v>8219</v>
      </c>
      <c r="BP76" t="s">
        <v>8220</v>
      </c>
      <c r="BR76" t="s">
        <v>274</v>
      </c>
    </row>
    <row r="77" spans="1:70" x14ac:dyDescent="0.3">
      <c r="A77" t="s">
        <v>206</v>
      </c>
      <c r="B77" t="s">
        <v>1701</v>
      </c>
      <c r="C77" t="s">
        <v>4632</v>
      </c>
      <c r="D77" t="s">
        <v>4633</v>
      </c>
      <c r="F77" t="s">
        <v>274</v>
      </c>
      <c r="G77" t="s">
        <v>274</v>
      </c>
      <c r="H77" t="s">
        <v>274</v>
      </c>
      <c r="I77" t="s">
        <v>274</v>
      </c>
      <c r="J77" t="s">
        <v>274</v>
      </c>
      <c r="K77" t="s">
        <v>274</v>
      </c>
      <c r="L77" t="s">
        <v>274</v>
      </c>
      <c r="M77" t="s">
        <v>274</v>
      </c>
      <c r="N77" t="s">
        <v>274</v>
      </c>
      <c r="O77" t="s">
        <v>274</v>
      </c>
      <c r="P77" t="s">
        <v>274</v>
      </c>
      <c r="Q77" t="s">
        <v>274</v>
      </c>
      <c r="R77" t="s">
        <v>274</v>
      </c>
      <c r="S77" t="s">
        <v>274</v>
      </c>
      <c r="T77" t="s">
        <v>274</v>
      </c>
      <c r="U77" t="s">
        <v>274</v>
      </c>
      <c r="V77" t="s">
        <v>274</v>
      </c>
      <c r="W77" t="s">
        <v>274</v>
      </c>
      <c r="X77" t="s">
        <v>274</v>
      </c>
      <c r="Y77" t="s">
        <v>274</v>
      </c>
      <c r="Z77" t="s">
        <v>274</v>
      </c>
      <c r="AA77" t="s">
        <v>274</v>
      </c>
      <c r="AB77" t="s">
        <v>274</v>
      </c>
      <c r="AC77" t="s">
        <v>274</v>
      </c>
      <c r="AD77" t="s">
        <v>274</v>
      </c>
      <c r="AE77" t="s">
        <v>274</v>
      </c>
      <c r="AF77" t="s">
        <v>274</v>
      </c>
      <c r="AG77" t="s">
        <v>274</v>
      </c>
      <c r="AH77" t="s">
        <v>274</v>
      </c>
      <c r="AI77" t="s">
        <v>274</v>
      </c>
      <c r="AJ77" t="s">
        <v>8221</v>
      </c>
      <c r="AK77" t="s">
        <v>8222</v>
      </c>
      <c r="AL77" t="s">
        <v>8223</v>
      </c>
      <c r="AM77" t="s">
        <v>8224</v>
      </c>
      <c r="AN77" t="s">
        <v>8225</v>
      </c>
      <c r="AO77" t="s">
        <v>8226</v>
      </c>
      <c r="AP77" t="s">
        <v>6533</v>
      </c>
      <c r="AQ77" t="s">
        <v>8227</v>
      </c>
      <c r="AR77" t="s">
        <v>8228</v>
      </c>
      <c r="AS77" t="s">
        <v>8229</v>
      </c>
      <c r="AT77" t="s">
        <v>8230</v>
      </c>
      <c r="AU77" t="s">
        <v>8231</v>
      </c>
      <c r="AV77" t="s">
        <v>6538</v>
      </c>
      <c r="AW77" t="s">
        <v>8232</v>
      </c>
      <c r="AX77" t="s">
        <v>8233</v>
      </c>
      <c r="AY77" t="s">
        <v>8234</v>
      </c>
      <c r="AZ77" t="s">
        <v>8235</v>
      </c>
      <c r="BA77" t="s">
        <v>8236</v>
      </c>
      <c r="BB77" t="s">
        <v>8237</v>
      </c>
      <c r="BC77" t="s">
        <v>8238</v>
      </c>
      <c r="BD77" t="s">
        <v>8239</v>
      </c>
      <c r="BE77" t="s">
        <v>8240</v>
      </c>
      <c r="BF77" t="s">
        <v>8241</v>
      </c>
      <c r="BG77" t="s">
        <v>8242</v>
      </c>
      <c r="BH77" t="s">
        <v>8243</v>
      </c>
      <c r="BI77" t="s">
        <v>8244</v>
      </c>
      <c r="BJ77" t="s">
        <v>8245</v>
      </c>
      <c r="BK77" t="s">
        <v>8246</v>
      </c>
      <c r="BL77" t="s">
        <v>6553</v>
      </c>
      <c r="BM77" t="s">
        <v>8247</v>
      </c>
      <c r="BN77" t="s">
        <v>8248</v>
      </c>
      <c r="BO77" t="s">
        <v>8249</v>
      </c>
      <c r="BP77" t="s">
        <v>8250</v>
      </c>
      <c r="BR77" t="s">
        <v>274</v>
      </c>
    </row>
    <row r="78" spans="1:70" x14ac:dyDescent="0.3">
      <c r="A78" t="s">
        <v>1702</v>
      </c>
      <c r="B78" t="s">
        <v>1703</v>
      </c>
      <c r="C78" t="s">
        <v>4632</v>
      </c>
      <c r="D78" t="s">
        <v>4633</v>
      </c>
      <c r="F78" t="s">
        <v>274</v>
      </c>
      <c r="G78" t="s">
        <v>8251</v>
      </c>
      <c r="H78" t="s">
        <v>8252</v>
      </c>
      <c r="I78" t="s">
        <v>8253</v>
      </c>
      <c r="J78" t="s">
        <v>8254</v>
      </c>
      <c r="K78" t="s">
        <v>8255</v>
      </c>
      <c r="L78" t="s">
        <v>8256</v>
      </c>
      <c r="M78" t="s">
        <v>8257</v>
      </c>
      <c r="N78" t="s">
        <v>8258</v>
      </c>
      <c r="O78" t="s">
        <v>8259</v>
      </c>
      <c r="P78" t="s">
        <v>8260</v>
      </c>
      <c r="Q78" t="s">
        <v>8261</v>
      </c>
      <c r="R78" t="s">
        <v>8262</v>
      </c>
      <c r="S78" t="s">
        <v>8263</v>
      </c>
      <c r="T78" t="s">
        <v>8264</v>
      </c>
      <c r="U78" t="s">
        <v>8265</v>
      </c>
      <c r="V78" t="s">
        <v>8266</v>
      </c>
      <c r="W78" t="s">
        <v>8267</v>
      </c>
      <c r="X78" t="s">
        <v>8268</v>
      </c>
      <c r="Y78" t="s">
        <v>8269</v>
      </c>
      <c r="Z78" t="s">
        <v>8270</v>
      </c>
      <c r="AA78" t="s">
        <v>8271</v>
      </c>
      <c r="AB78" t="s">
        <v>8272</v>
      </c>
      <c r="AC78" t="s">
        <v>8273</v>
      </c>
      <c r="AD78" t="s">
        <v>8274</v>
      </c>
      <c r="AE78" t="s">
        <v>8275</v>
      </c>
      <c r="AF78" t="s">
        <v>8276</v>
      </c>
      <c r="AG78" t="s">
        <v>8277</v>
      </c>
      <c r="AH78" t="s">
        <v>8278</v>
      </c>
      <c r="AI78" t="s">
        <v>8279</v>
      </c>
      <c r="AJ78" t="s">
        <v>8280</v>
      </c>
      <c r="AK78" t="s">
        <v>8281</v>
      </c>
      <c r="AL78" t="s">
        <v>8282</v>
      </c>
      <c r="AM78" t="s">
        <v>8283</v>
      </c>
      <c r="AN78" t="s">
        <v>8284</v>
      </c>
      <c r="AO78" t="s">
        <v>8285</v>
      </c>
      <c r="AP78" t="s">
        <v>8286</v>
      </c>
      <c r="AQ78" t="s">
        <v>8287</v>
      </c>
      <c r="AR78" t="s">
        <v>8288</v>
      </c>
      <c r="AS78" t="s">
        <v>8289</v>
      </c>
      <c r="AT78" t="s">
        <v>8290</v>
      </c>
      <c r="AU78" t="s">
        <v>8291</v>
      </c>
      <c r="AV78" t="s">
        <v>8292</v>
      </c>
      <c r="AW78" t="s">
        <v>8293</v>
      </c>
      <c r="AX78" t="s">
        <v>8294</v>
      </c>
      <c r="AY78" t="s">
        <v>8295</v>
      </c>
      <c r="AZ78" t="s">
        <v>8296</v>
      </c>
      <c r="BA78" t="s">
        <v>8297</v>
      </c>
      <c r="BB78" t="s">
        <v>8298</v>
      </c>
      <c r="BC78" t="s">
        <v>8299</v>
      </c>
      <c r="BD78" t="s">
        <v>8300</v>
      </c>
      <c r="BE78" t="s">
        <v>8301</v>
      </c>
      <c r="BF78" t="s">
        <v>8302</v>
      </c>
      <c r="BG78" t="s">
        <v>8303</v>
      </c>
      <c r="BH78" t="s">
        <v>8304</v>
      </c>
      <c r="BI78" t="s">
        <v>8305</v>
      </c>
      <c r="BJ78" t="s">
        <v>8306</v>
      </c>
      <c r="BK78" t="s">
        <v>8307</v>
      </c>
      <c r="BL78" t="s">
        <v>8308</v>
      </c>
      <c r="BM78" t="s">
        <v>8309</v>
      </c>
      <c r="BN78" t="s">
        <v>8310</v>
      </c>
      <c r="BO78" t="s">
        <v>8311</v>
      </c>
      <c r="BP78" t="s">
        <v>8312</v>
      </c>
      <c r="BR78" t="s">
        <v>274</v>
      </c>
    </row>
    <row r="79" spans="1:70" x14ac:dyDescent="0.3">
      <c r="A79" t="s">
        <v>1708</v>
      </c>
      <c r="B79" t="s">
        <v>1709</v>
      </c>
      <c r="C79" t="s">
        <v>4632</v>
      </c>
      <c r="D79" t="s">
        <v>4633</v>
      </c>
      <c r="F79" t="s">
        <v>8313</v>
      </c>
      <c r="G79" t="s">
        <v>8314</v>
      </c>
      <c r="H79" t="s">
        <v>7441</v>
      </c>
      <c r="I79" t="s">
        <v>7557</v>
      </c>
      <c r="J79" t="s">
        <v>8315</v>
      </c>
      <c r="K79" t="s">
        <v>8316</v>
      </c>
      <c r="L79" t="s">
        <v>8317</v>
      </c>
      <c r="M79" t="s">
        <v>8318</v>
      </c>
      <c r="N79" t="s">
        <v>7447</v>
      </c>
      <c r="O79" t="s">
        <v>8319</v>
      </c>
      <c r="P79" t="s">
        <v>8320</v>
      </c>
      <c r="Q79" t="s">
        <v>8321</v>
      </c>
      <c r="R79" t="s">
        <v>8322</v>
      </c>
      <c r="S79" t="s">
        <v>8323</v>
      </c>
      <c r="T79" t="s">
        <v>8324</v>
      </c>
      <c r="U79" t="s">
        <v>8325</v>
      </c>
      <c r="V79" t="s">
        <v>8326</v>
      </c>
      <c r="W79" t="s">
        <v>7571</v>
      </c>
      <c r="X79" t="s">
        <v>8327</v>
      </c>
      <c r="Y79" t="s">
        <v>8328</v>
      </c>
      <c r="Z79" t="s">
        <v>8329</v>
      </c>
      <c r="AA79" t="s">
        <v>8330</v>
      </c>
      <c r="AB79" t="s">
        <v>8331</v>
      </c>
      <c r="AC79" t="s">
        <v>8332</v>
      </c>
      <c r="AD79" t="s">
        <v>8103</v>
      </c>
      <c r="AE79" t="s">
        <v>8333</v>
      </c>
      <c r="AF79" t="s">
        <v>8334</v>
      </c>
      <c r="AG79" t="s">
        <v>8335</v>
      </c>
      <c r="AH79" t="s">
        <v>8336</v>
      </c>
      <c r="AI79" t="s">
        <v>8337</v>
      </c>
      <c r="AJ79" t="s">
        <v>8338</v>
      </c>
      <c r="AK79" t="s">
        <v>8189</v>
      </c>
      <c r="AL79" t="s">
        <v>8339</v>
      </c>
      <c r="AM79" t="s">
        <v>7377</v>
      </c>
      <c r="AN79" t="s">
        <v>8340</v>
      </c>
      <c r="AO79" t="s">
        <v>8341</v>
      </c>
      <c r="AP79" t="s">
        <v>8342</v>
      </c>
      <c r="AQ79" t="s">
        <v>8343</v>
      </c>
      <c r="AR79" t="s">
        <v>8196</v>
      </c>
      <c r="AS79" t="s">
        <v>8344</v>
      </c>
      <c r="AT79" t="s">
        <v>7384</v>
      </c>
      <c r="AU79" t="s">
        <v>8345</v>
      </c>
      <c r="AV79" t="s">
        <v>8346</v>
      </c>
      <c r="AW79" t="s">
        <v>8347</v>
      </c>
      <c r="AX79" t="s">
        <v>8348</v>
      </c>
      <c r="AY79" t="s">
        <v>8349</v>
      </c>
      <c r="AZ79" t="s">
        <v>8350</v>
      </c>
      <c r="BA79" t="s">
        <v>8351</v>
      </c>
      <c r="BB79" t="s">
        <v>5341</v>
      </c>
      <c r="BC79" t="s">
        <v>6545</v>
      </c>
      <c r="BD79" t="s">
        <v>8352</v>
      </c>
      <c r="BE79" t="s">
        <v>8353</v>
      </c>
      <c r="BF79" t="s">
        <v>8354</v>
      </c>
      <c r="BG79" t="s">
        <v>8355</v>
      </c>
      <c r="BH79" t="s">
        <v>6549</v>
      </c>
      <c r="BI79" t="s">
        <v>8356</v>
      </c>
      <c r="BJ79" t="s">
        <v>8357</v>
      </c>
      <c r="BK79" t="s">
        <v>8358</v>
      </c>
      <c r="BL79" t="s">
        <v>8359</v>
      </c>
      <c r="BM79" t="s">
        <v>8360</v>
      </c>
      <c r="BN79" t="s">
        <v>5511</v>
      </c>
      <c r="BO79" t="s">
        <v>7405</v>
      </c>
      <c r="BP79" t="s">
        <v>7957</v>
      </c>
      <c r="BR79" t="s">
        <v>274</v>
      </c>
    </row>
    <row r="80" spans="1:70" x14ac:dyDescent="0.3">
      <c r="A80" t="s">
        <v>1710</v>
      </c>
      <c r="B80" t="s">
        <v>1711</v>
      </c>
      <c r="C80" t="s">
        <v>4632</v>
      </c>
      <c r="D80" t="s">
        <v>4633</v>
      </c>
      <c r="F80" t="s">
        <v>274</v>
      </c>
      <c r="G80" t="s">
        <v>8361</v>
      </c>
      <c r="H80" t="s">
        <v>8362</v>
      </c>
      <c r="I80" t="s">
        <v>8363</v>
      </c>
      <c r="J80" t="s">
        <v>8364</v>
      </c>
      <c r="K80" t="s">
        <v>8365</v>
      </c>
      <c r="L80" t="s">
        <v>8366</v>
      </c>
      <c r="M80" t="s">
        <v>8367</v>
      </c>
      <c r="N80" t="s">
        <v>8368</v>
      </c>
      <c r="O80" t="s">
        <v>8369</v>
      </c>
      <c r="P80" t="s">
        <v>8370</v>
      </c>
      <c r="Q80" t="s">
        <v>8371</v>
      </c>
      <c r="R80" t="s">
        <v>8372</v>
      </c>
      <c r="S80" t="s">
        <v>8373</v>
      </c>
      <c r="T80" t="s">
        <v>8374</v>
      </c>
      <c r="U80" t="s">
        <v>8375</v>
      </c>
      <c r="V80" t="s">
        <v>8376</v>
      </c>
      <c r="W80" t="s">
        <v>8377</v>
      </c>
      <c r="X80" t="s">
        <v>8378</v>
      </c>
      <c r="Y80" t="s">
        <v>8379</v>
      </c>
      <c r="Z80" t="s">
        <v>8380</v>
      </c>
      <c r="AA80" t="s">
        <v>7811</v>
      </c>
      <c r="AB80" t="s">
        <v>8381</v>
      </c>
      <c r="AC80" t="s">
        <v>8382</v>
      </c>
      <c r="AD80" t="s">
        <v>8383</v>
      </c>
      <c r="AE80" t="s">
        <v>8384</v>
      </c>
      <c r="AF80" t="s">
        <v>8385</v>
      </c>
      <c r="AG80" t="s">
        <v>8386</v>
      </c>
      <c r="AH80" t="s">
        <v>7083</v>
      </c>
      <c r="AI80" t="s">
        <v>8387</v>
      </c>
      <c r="AJ80" t="s">
        <v>8388</v>
      </c>
      <c r="AK80" t="s">
        <v>8389</v>
      </c>
      <c r="AL80" t="s">
        <v>5421</v>
      </c>
      <c r="AM80" t="s">
        <v>8390</v>
      </c>
      <c r="AN80" t="s">
        <v>8391</v>
      </c>
      <c r="AO80" t="s">
        <v>8392</v>
      </c>
      <c r="AP80" t="s">
        <v>8393</v>
      </c>
      <c r="AQ80" t="s">
        <v>8394</v>
      </c>
      <c r="AR80" t="s">
        <v>8395</v>
      </c>
      <c r="AS80" t="s">
        <v>8396</v>
      </c>
      <c r="AT80" t="s">
        <v>8397</v>
      </c>
      <c r="AU80" t="s">
        <v>8398</v>
      </c>
      <c r="AV80" t="s">
        <v>8399</v>
      </c>
      <c r="AW80" t="s">
        <v>8400</v>
      </c>
      <c r="AX80" t="s">
        <v>8401</v>
      </c>
      <c r="AY80" t="s">
        <v>8402</v>
      </c>
      <c r="AZ80" t="s">
        <v>8403</v>
      </c>
      <c r="BA80" t="s">
        <v>8404</v>
      </c>
      <c r="BB80" t="s">
        <v>8405</v>
      </c>
      <c r="BC80" t="s">
        <v>8406</v>
      </c>
      <c r="BD80" t="s">
        <v>8407</v>
      </c>
      <c r="BE80" t="s">
        <v>8408</v>
      </c>
      <c r="BF80" t="s">
        <v>8409</v>
      </c>
      <c r="BG80" t="s">
        <v>6876</v>
      </c>
      <c r="BH80" t="s">
        <v>8410</v>
      </c>
      <c r="BI80" t="s">
        <v>8411</v>
      </c>
      <c r="BJ80" t="s">
        <v>8412</v>
      </c>
      <c r="BK80" t="s">
        <v>8413</v>
      </c>
      <c r="BL80" t="s">
        <v>8414</v>
      </c>
      <c r="BM80" t="s">
        <v>8415</v>
      </c>
      <c r="BN80" t="s">
        <v>8416</v>
      </c>
      <c r="BO80" t="s">
        <v>8417</v>
      </c>
      <c r="BP80" t="s">
        <v>6885</v>
      </c>
      <c r="BR80" t="s">
        <v>274</v>
      </c>
    </row>
    <row r="81" spans="1:70" x14ac:dyDescent="0.3">
      <c r="A81" t="s">
        <v>82</v>
      </c>
      <c r="B81" t="s">
        <v>1712</v>
      </c>
      <c r="C81" t="s">
        <v>4632</v>
      </c>
      <c r="D81" t="s">
        <v>4633</v>
      </c>
      <c r="F81" t="s">
        <v>8418</v>
      </c>
      <c r="G81" t="s">
        <v>8314</v>
      </c>
      <c r="H81" t="s">
        <v>8419</v>
      </c>
      <c r="I81" t="s">
        <v>8420</v>
      </c>
      <c r="J81" t="s">
        <v>8421</v>
      </c>
      <c r="K81" t="s">
        <v>8422</v>
      </c>
      <c r="L81" t="s">
        <v>8423</v>
      </c>
      <c r="M81" t="s">
        <v>8424</v>
      </c>
      <c r="N81" t="s">
        <v>8425</v>
      </c>
      <c r="O81" t="s">
        <v>8426</v>
      </c>
      <c r="P81" t="s">
        <v>8427</v>
      </c>
      <c r="Q81" t="s">
        <v>8428</v>
      </c>
      <c r="R81" t="s">
        <v>8429</v>
      </c>
      <c r="S81" t="s">
        <v>8430</v>
      </c>
      <c r="T81" t="s">
        <v>8431</v>
      </c>
      <c r="U81" t="s">
        <v>8432</v>
      </c>
      <c r="V81" t="s">
        <v>8433</v>
      </c>
      <c r="W81" t="s">
        <v>8434</v>
      </c>
      <c r="X81" t="s">
        <v>8435</v>
      </c>
      <c r="Y81" t="s">
        <v>8436</v>
      </c>
      <c r="Z81" t="s">
        <v>8437</v>
      </c>
      <c r="AA81" t="s">
        <v>8438</v>
      </c>
      <c r="AB81" t="s">
        <v>8439</v>
      </c>
      <c r="AC81" t="s">
        <v>8440</v>
      </c>
      <c r="AD81" t="s">
        <v>8441</v>
      </c>
      <c r="AE81" t="s">
        <v>8442</v>
      </c>
      <c r="AF81" t="s">
        <v>8443</v>
      </c>
      <c r="AG81" t="s">
        <v>8444</v>
      </c>
      <c r="AH81" t="s">
        <v>8445</v>
      </c>
      <c r="AI81" t="s">
        <v>8446</v>
      </c>
      <c r="AJ81" t="s">
        <v>8447</v>
      </c>
      <c r="AK81" t="s">
        <v>8448</v>
      </c>
      <c r="AL81" t="s">
        <v>8449</v>
      </c>
      <c r="AM81" t="s">
        <v>8450</v>
      </c>
      <c r="AN81" t="s">
        <v>8451</v>
      </c>
      <c r="AO81" t="s">
        <v>8452</v>
      </c>
      <c r="AP81" t="s">
        <v>8453</v>
      </c>
      <c r="AQ81" t="s">
        <v>8454</v>
      </c>
      <c r="AR81" t="s">
        <v>8455</v>
      </c>
      <c r="AS81" t="s">
        <v>8456</v>
      </c>
      <c r="AT81" t="s">
        <v>8457</v>
      </c>
      <c r="AU81" t="s">
        <v>8458</v>
      </c>
      <c r="AV81" t="s">
        <v>8459</v>
      </c>
      <c r="AW81" t="s">
        <v>8460</v>
      </c>
      <c r="AX81" t="s">
        <v>8461</v>
      </c>
      <c r="AY81" t="s">
        <v>8462</v>
      </c>
      <c r="AZ81" t="s">
        <v>8463</v>
      </c>
      <c r="BA81" t="s">
        <v>8464</v>
      </c>
      <c r="BB81" t="s">
        <v>8465</v>
      </c>
      <c r="BC81" t="s">
        <v>8466</v>
      </c>
      <c r="BD81" t="s">
        <v>8467</v>
      </c>
      <c r="BE81" t="s">
        <v>8468</v>
      </c>
      <c r="BF81" t="s">
        <v>8469</v>
      </c>
      <c r="BG81" t="s">
        <v>8470</v>
      </c>
      <c r="BH81" t="s">
        <v>8471</v>
      </c>
      <c r="BI81" t="s">
        <v>8472</v>
      </c>
      <c r="BJ81" t="s">
        <v>8473</v>
      </c>
      <c r="BK81" t="s">
        <v>8358</v>
      </c>
      <c r="BL81" t="s">
        <v>8474</v>
      </c>
      <c r="BM81" t="s">
        <v>8475</v>
      </c>
      <c r="BN81" t="s">
        <v>8476</v>
      </c>
      <c r="BO81" t="s">
        <v>8477</v>
      </c>
      <c r="BP81" t="s">
        <v>8478</v>
      </c>
      <c r="BR81" t="s">
        <v>274</v>
      </c>
    </row>
    <row r="82" spans="1:70" x14ac:dyDescent="0.3">
      <c r="A82" t="s">
        <v>208</v>
      </c>
      <c r="B82" t="s">
        <v>1713</v>
      </c>
      <c r="C82" t="s">
        <v>4632</v>
      </c>
      <c r="D82" t="s">
        <v>4633</v>
      </c>
      <c r="F82" t="s">
        <v>8479</v>
      </c>
      <c r="G82" t="s">
        <v>8480</v>
      </c>
      <c r="H82" t="s">
        <v>8481</v>
      </c>
      <c r="I82" t="s">
        <v>8482</v>
      </c>
      <c r="J82" t="s">
        <v>8483</v>
      </c>
      <c r="K82" t="s">
        <v>8484</v>
      </c>
      <c r="L82" t="s">
        <v>8485</v>
      </c>
      <c r="M82" t="s">
        <v>8486</v>
      </c>
      <c r="N82" t="s">
        <v>8487</v>
      </c>
      <c r="O82" t="s">
        <v>8488</v>
      </c>
      <c r="P82" t="s">
        <v>8489</v>
      </c>
      <c r="Q82" t="s">
        <v>8490</v>
      </c>
      <c r="R82" t="s">
        <v>7743</v>
      </c>
      <c r="S82" t="s">
        <v>8491</v>
      </c>
      <c r="T82" t="s">
        <v>8492</v>
      </c>
      <c r="U82" t="s">
        <v>8493</v>
      </c>
      <c r="V82" t="s">
        <v>8494</v>
      </c>
      <c r="W82" t="s">
        <v>8495</v>
      </c>
      <c r="X82" t="s">
        <v>8496</v>
      </c>
      <c r="Y82" t="s">
        <v>8497</v>
      </c>
      <c r="Z82" t="s">
        <v>8498</v>
      </c>
      <c r="AA82" t="s">
        <v>8499</v>
      </c>
      <c r="AB82" t="s">
        <v>8500</v>
      </c>
      <c r="AC82" t="s">
        <v>8501</v>
      </c>
      <c r="AD82" t="s">
        <v>8502</v>
      </c>
      <c r="AE82" t="s">
        <v>8503</v>
      </c>
      <c r="AF82" t="s">
        <v>8504</v>
      </c>
      <c r="AG82" t="s">
        <v>7859</v>
      </c>
      <c r="AH82" t="s">
        <v>8505</v>
      </c>
      <c r="AI82" t="s">
        <v>7861</v>
      </c>
      <c r="AJ82" t="s">
        <v>8506</v>
      </c>
      <c r="AK82" t="s">
        <v>8507</v>
      </c>
      <c r="AL82" t="s">
        <v>8508</v>
      </c>
      <c r="AM82" t="s">
        <v>8509</v>
      </c>
      <c r="AN82" t="s">
        <v>8510</v>
      </c>
      <c r="AO82" t="s">
        <v>8511</v>
      </c>
      <c r="AP82" t="s">
        <v>8512</v>
      </c>
      <c r="AQ82" t="s">
        <v>7767</v>
      </c>
      <c r="AR82" t="s">
        <v>8513</v>
      </c>
      <c r="AS82" t="s">
        <v>8514</v>
      </c>
      <c r="AT82" t="s">
        <v>8515</v>
      </c>
      <c r="AU82" t="s">
        <v>8516</v>
      </c>
      <c r="AV82" t="s">
        <v>8517</v>
      </c>
      <c r="AW82" t="s">
        <v>8518</v>
      </c>
      <c r="AX82" t="s">
        <v>7774</v>
      </c>
      <c r="AY82" t="s">
        <v>8519</v>
      </c>
      <c r="AZ82" t="s">
        <v>8520</v>
      </c>
      <c r="BA82" t="s">
        <v>8521</v>
      </c>
      <c r="BB82" t="s">
        <v>8522</v>
      </c>
      <c r="BC82" t="s">
        <v>8523</v>
      </c>
      <c r="BD82" t="s">
        <v>8524</v>
      </c>
      <c r="BE82" t="s">
        <v>7780</v>
      </c>
      <c r="BF82" t="s">
        <v>8525</v>
      </c>
      <c r="BG82" t="s">
        <v>8526</v>
      </c>
      <c r="BH82" t="s">
        <v>7783</v>
      </c>
      <c r="BI82" t="s">
        <v>8527</v>
      </c>
      <c r="BJ82" t="s">
        <v>8528</v>
      </c>
      <c r="BK82" t="s">
        <v>8529</v>
      </c>
      <c r="BL82" t="s">
        <v>8530</v>
      </c>
      <c r="BM82" t="s">
        <v>8531</v>
      </c>
      <c r="BN82" t="s">
        <v>8532</v>
      </c>
      <c r="BO82" t="s">
        <v>8533</v>
      </c>
      <c r="BP82" t="s">
        <v>8534</v>
      </c>
      <c r="BR82" t="s">
        <v>274</v>
      </c>
    </row>
    <row r="83" spans="1:70" x14ac:dyDescent="0.3">
      <c r="A83" t="s">
        <v>84</v>
      </c>
      <c r="B83" t="s">
        <v>1747</v>
      </c>
      <c r="C83" t="s">
        <v>4632</v>
      </c>
      <c r="D83" t="s">
        <v>4633</v>
      </c>
      <c r="F83" t="s">
        <v>8535</v>
      </c>
      <c r="G83" t="s">
        <v>8536</v>
      </c>
      <c r="H83" t="s">
        <v>8537</v>
      </c>
      <c r="I83" t="s">
        <v>8538</v>
      </c>
      <c r="J83" t="s">
        <v>8539</v>
      </c>
      <c r="K83" t="s">
        <v>8540</v>
      </c>
      <c r="L83" t="s">
        <v>8541</v>
      </c>
      <c r="M83" t="s">
        <v>8542</v>
      </c>
      <c r="N83" t="s">
        <v>8543</v>
      </c>
      <c r="O83" t="s">
        <v>8319</v>
      </c>
      <c r="P83" t="s">
        <v>8544</v>
      </c>
      <c r="Q83" t="s">
        <v>8090</v>
      </c>
      <c r="R83" t="s">
        <v>8545</v>
      </c>
      <c r="S83" t="s">
        <v>8546</v>
      </c>
      <c r="T83" t="s">
        <v>8547</v>
      </c>
      <c r="U83" t="s">
        <v>8325</v>
      </c>
      <c r="V83" t="s">
        <v>8326</v>
      </c>
      <c r="W83" t="s">
        <v>8548</v>
      </c>
      <c r="X83" t="s">
        <v>8549</v>
      </c>
      <c r="Y83" t="s">
        <v>8328</v>
      </c>
      <c r="Z83" t="s">
        <v>8550</v>
      </c>
      <c r="AA83" t="s">
        <v>8551</v>
      </c>
      <c r="AB83" t="s">
        <v>8552</v>
      </c>
      <c r="AC83" t="s">
        <v>8553</v>
      </c>
      <c r="AD83" t="s">
        <v>8554</v>
      </c>
      <c r="AE83" t="s">
        <v>8555</v>
      </c>
      <c r="AF83" t="s">
        <v>8556</v>
      </c>
      <c r="AG83" t="s">
        <v>8557</v>
      </c>
      <c r="AH83" t="s">
        <v>8558</v>
      </c>
      <c r="AI83" t="s">
        <v>8559</v>
      </c>
      <c r="AJ83" t="s">
        <v>8560</v>
      </c>
      <c r="AK83" t="s">
        <v>8561</v>
      </c>
      <c r="AL83" t="s">
        <v>8562</v>
      </c>
      <c r="AM83" t="s">
        <v>8563</v>
      </c>
      <c r="AN83" t="s">
        <v>8564</v>
      </c>
      <c r="AO83" t="s">
        <v>8565</v>
      </c>
      <c r="AP83" t="s">
        <v>8566</v>
      </c>
      <c r="AQ83" t="s">
        <v>8567</v>
      </c>
      <c r="AR83" t="s">
        <v>8568</v>
      </c>
      <c r="AS83" t="s">
        <v>8569</v>
      </c>
      <c r="AT83" t="s">
        <v>8570</v>
      </c>
      <c r="AU83" t="s">
        <v>8571</v>
      </c>
      <c r="AV83" t="s">
        <v>8572</v>
      </c>
      <c r="AW83" t="s">
        <v>8573</v>
      </c>
      <c r="AX83" t="s">
        <v>8574</v>
      </c>
      <c r="AY83" t="s">
        <v>8575</v>
      </c>
      <c r="AZ83" t="s">
        <v>8576</v>
      </c>
      <c r="BA83" t="s">
        <v>8577</v>
      </c>
      <c r="BB83" t="s">
        <v>8578</v>
      </c>
      <c r="BC83" t="s">
        <v>8579</v>
      </c>
      <c r="BD83" t="s">
        <v>8580</v>
      </c>
      <c r="BE83" t="s">
        <v>8581</v>
      </c>
      <c r="BF83" t="s">
        <v>8582</v>
      </c>
      <c r="BG83" t="s">
        <v>8583</v>
      </c>
      <c r="BH83" t="s">
        <v>8584</v>
      </c>
      <c r="BI83" t="s">
        <v>8585</v>
      </c>
      <c r="BJ83" t="s">
        <v>8586</v>
      </c>
      <c r="BK83" t="s">
        <v>8587</v>
      </c>
      <c r="BL83" t="s">
        <v>8588</v>
      </c>
      <c r="BM83" t="s">
        <v>8589</v>
      </c>
      <c r="BN83" t="s">
        <v>8590</v>
      </c>
      <c r="BO83" t="s">
        <v>8591</v>
      </c>
      <c r="BP83" t="s">
        <v>8592</v>
      </c>
      <c r="BR83" t="s">
        <v>274</v>
      </c>
    </row>
    <row r="84" spans="1:70" x14ac:dyDescent="0.3">
      <c r="A84" t="s">
        <v>1748</v>
      </c>
      <c r="B84" t="s">
        <v>1749</v>
      </c>
      <c r="C84" t="s">
        <v>4632</v>
      </c>
      <c r="D84" t="s">
        <v>4633</v>
      </c>
      <c r="F84" t="s">
        <v>274</v>
      </c>
      <c r="G84" t="s">
        <v>274</v>
      </c>
      <c r="H84" t="s">
        <v>274</v>
      </c>
      <c r="I84" t="s">
        <v>274</v>
      </c>
      <c r="J84" t="s">
        <v>274</v>
      </c>
      <c r="K84" t="s">
        <v>274</v>
      </c>
      <c r="L84" t="s">
        <v>274</v>
      </c>
      <c r="M84" t="s">
        <v>274</v>
      </c>
      <c r="N84" t="s">
        <v>274</v>
      </c>
      <c r="O84" t="s">
        <v>274</v>
      </c>
      <c r="P84" t="s">
        <v>274</v>
      </c>
      <c r="Q84" t="s">
        <v>274</v>
      </c>
      <c r="R84" t="s">
        <v>274</v>
      </c>
      <c r="S84" t="s">
        <v>274</v>
      </c>
      <c r="T84" t="s">
        <v>274</v>
      </c>
      <c r="U84" t="s">
        <v>274</v>
      </c>
      <c r="V84" t="s">
        <v>274</v>
      </c>
      <c r="W84" t="s">
        <v>274</v>
      </c>
      <c r="X84" t="s">
        <v>274</v>
      </c>
      <c r="Y84" t="s">
        <v>274</v>
      </c>
      <c r="Z84" t="s">
        <v>274</v>
      </c>
      <c r="AA84" t="s">
        <v>274</v>
      </c>
      <c r="AB84" t="s">
        <v>274</v>
      </c>
      <c r="AC84" t="s">
        <v>274</v>
      </c>
      <c r="AD84" t="s">
        <v>274</v>
      </c>
      <c r="AE84" t="s">
        <v>274</v>
      </c>
      <c r="AF84" t="s">
        <v>274</v>
      </c>
      <c r="AG84" t="s">
        <v>274</v>
      </c>
      <c r="AH84" t="s">
        <v>274</v>
      </c>
      <c r="AI84" t="s">
        <v>274</v>
      </c>
      <c r="AJ84" t="s">
        <v>274</v>
      </c>
      <c r="AK84" t="s">
        <v>274</v>
      </c>
      <c r="AL84" t="s">
        <v>274</v>
      </c>
      <c r="AM84" t="s">
        <v>274</v>
      </c>
      <c r="AN84" t="s">
        <v>274</v>
      </c>
      <c r="AO84" t="s">
        <v>274</v>
      </c>
      <c r="AP84" t="s">
        <v>274</v>
      </c>
      <c r="AQ84" t="s">
        <v>274</v>
      </c>
      <c r="AR84" t="s">
        <v>274</v>
      </c>
      <c r="AS84" t="s">
        <v>274</v>
      </c>
      <c r="AT84" t="s">
        <v>274</v>
      </c>
      <c r="AU84" t="s">
        <v>274</v>
      </c>
      <c r="AV84" t="s">
        <v>274</v>
      </c>
      <c r="AW84" t="s">
        <v>274</v>
      </c>
      <c r="AX84" t="s">
        <v>274</v>
      </c>
      <c r="AY84" t="s">
        <v>274</v>
      </c>
      <c r="AZ84" t="s">
        <v>274</v>
      </c>
      <c r="BA84" t="s">
        <v>274</v>
      </c>
      <c r="BB84" t="s">
        <v>8593</v>
      </c>
      <c r="BC84" t="s">
        <v>8594</v>
      </c>
      <c r="BD84" t="s">
        <v>8595</v>
      </c>
      <c r="BE84" t="s">
        <v>8596</v>
      </c>
      <c r="BF84" t="s">
        <v>8597</v>
      </c>
      <c r="BG84" t="s">
        <v>8598</v>
      </c>
      <c r="BH84" t="s">
        <v>8599</v>
      </c>
      <c r="BI84" t="s">
        <v>8600</v>
      </c>
      <c r="BJ84" t="s">
        <v>8601</v>
      </c>
      <c r="BK84" t="s">
        <v>8602</v>
      </c>
      <c r="BL84" t="s">
        <v>8603</v>
      </c>
      <c r="BM84" t="s">
        <v>8604</v>
      </c>
      <c r="BN84" t="s">
        <v>8605</v>
      </c>
      <c r="BO84" t="s">
        <v>8606</v>
      </c>
      <c r="BP84" t="s">
        <v>8607</v>
      </c>
      <c r="BR84" t="s">
        <v>274</v>
      </c>
    </row>
    <row r="85" spans="1:70" x14ac:dyDescent="0.3">
      <c r="A85" t="s">
        <v>209</v>
      </c>
      <c r="B85" t="s">
        <v>1750</v>
      </c>
      <c r="C85" t="s">
        <v>4632</v>
      </c>
      <c r="D85" t="s">
        <v>4633</v>
      </c>
      <c r="F85" t="s">
        <v>274</v>
      </c>
      <c r="G85" t="s">
        <v>274</v>
      </c>
      <c r="H85" t="s">
        <v>274</v>
      </c>
      <c r="I85" t="s">
        <v>274</v>
      </c>
      <c r="J85" t="s">
        <v>274</v>
      </c>
      <c r="K85" t="s">
        <v>274</v>
      </c>
      <c r="L85" t="s">
        <v>274</v>
      </c>
      <c r="M85" t="s">
        <v>274</v>
      </c>
      <c r="N85" t="s">
        <v>274</v>
      </c>
      <c r="O85" t="s">
        <v>274</v>
      </c>
      <c r="P85" t="s">
        <v>8608</v>
      </c>
      <c r="Q85" t="s">
        <v>8609</v>
      </c>
      <c r="R85" t="s">
        <v>8610</v>
      </c>
      <c r="S85" t="s">
        <v>7744</v>
      </c>
      <c r="T85" t="s">
        <v>8611</v>
      </c>
      <c r="U85" t="s">
        <v>8612</v>
      </c>
      <c r="V85" t="s">
        <v>8613</v>
      </c>
      <c r="W85" t="s">
        <v>8614</v>
      </c>
      <c r="X85" t="s">
        <v>8615</v>
      </c>
      <c r="Y85" t="s">
        <v>8616</v>
      </c>
      <c r="Z85" t="s">
        <v>8617</v>
      </c>
      <c r="AA85" t="s">
        <v>7811</v>
      </c>
      <c r="AB85" t="s">
        <v>8618</v>
      </c>
      <c r="AC85" t="s">
        <v>8619</v>
      </c>
      <c r="AD85" t="s">
        <v>8620</v>
      </c>
      <c r="AE85" t="s">
        <v>8621</v>
      </c>
      <c r="AF85" t="s">
        <v>8622</v>
      </c>
      <c r="AG85" t="s">
        <v>8623</v>
      </c>
      <c r="AH85" t="s">
        <v>8624</v>
      </c>
      <c r="AI85" t="s">
        <v>8625</v>
      </c>
      <c r="AJ85" t="s">
        <v>8626</v>
      </c>
      <c r="AK85" t="s">
        <v>8627</v>
      </c>
      <c r="AL85" t="s">
        <v>8628</v>
      </c>
      <c r="AM85" t="s">
        <v>8629</v>
      </c>
      <c r="AN85" t="s">
        <v>8630</v>
      </c>
      <c r="AO85" t="s">
        <v>8631</v>
      </c>
      <c r="AP85" t="s">
        <v>8632</v>
      </c>
      <c r="AQ85" t="s">
        <v>8633</v>
      </c>
      <c r="AR85" t="s">
        <v>8634</v>
      </c>
      <c r="AS85" t="s">
        <v>8635</v>
      </c>
      <c r="AT85" t="s">
        <v>8636</v>
      </c>
      <c r="AU85" t="s">
        <v>8637</v>
      </c>
      <c r="AV85" t="s">
        <v>8638</v>
      </c>
      <c r="AW85" t="s">
        <v>8639</v>
      </c>
      <c r="AX85" t="s">
        <v>8640</v>
      </c>
      <c r="AY85" t="s">
        <v>8641</v>
      </c>
      <c r="AZ85" t="s">
        <v>8642</v>
      </c>
      <c r="BA85" t="s">
        <v>8643</v>
      </c>
      <c r="BB85" t="s">
        <v>8644</v>
      </c>
      <c r="BC85" t="s">
        <v>8645</v>
      </c>
      <c r="BD85" t="s">
        <v>8646</v>
      </c>
      <c r="BE85" t="s">
        <v>8647</v>
      </c>
      <c r="BF85" t="s">
        <v>8648</v>
      </c>
      <c r="BG85" t="s">
        <v>8649</v>
      </c>
      <c r="BH85" t="s">
        <v>8650</v>
      </c>
      <c r="BI85" t="s">
        <v>8651</v>
      </c>
      <c r="BJ85" t="s">
        <v>8652</v>
      </c>
      <c r="BK85" t="s">
        <v>8653</v>
      </c>
      <c r="BL85" t="s">
        <v>8654</v>
      </c>
      <c r="BM85" t="s">
        <v>8655</v>
      </c>
      <c r="BN85" t="s">
        <v>8656</v>
      </c>
      <c r="BO85" t="s">
        <v>8657</v>
      </c>
      <c r="BP85" t="s">
        <v>8658</v>
      </c>
      <c r="BR85" t="s">
        <v>274</v>
      </c>
    </row>
    <row r="86" spans="1:70" x14ac:dyDescent="0.3">
      <c r="A86" t="s">
        <v>85</v>
      </c>
      <c r="B86" t="s">
        <v>1767</v>
      </c>
      <c r="C86" t="s">
        <v>4632</v>
      </c>
      <c r="D86" t="s">
        <v>4633</v>
      </c>
      <c r="F86" t="s">
        <v>4757</v>
      </c>
      <c r="G86" t="s">
        <v>7793</v>
      </c>
      <c r="H86" t="s">
        <v>8659</v>
      </c>
      <c r="I86" t="s">
        <v>8660</v>
      </c>
      <c r="J86" t="s">
        <v>8661</v>
      </c>
      <c r="K86" t="s">
        <v>8662</v>
      </c>
      <c r="L86" t="s">
        <v>8663</v>
      </c>
      <c r="M86" t="s">
        <v>8664</v>
      </c>
      <c r="N86" t="s">
        <v>8665</v>
      </c>
      <c r="O86" t="s">
        <v>8666</v>
      </c>
      <c r="P86" t="s">
        <v>8667</v>
      </c>
      <c r="Q86" t="s">
        <v>8668</v>
      </c>
      <c r="R86" t="s">
        <v>8669</v>
      </c>
      <c r="S86" t="s">
        <v>8670</v>
      </c>
      <c r="T86" t="s">
        <v>8671</v>
      </c>
      <c r="U86" t="s">
        <v>8672</v>
      </c>
      <c r="V86" t="s">
        <v>8673</v>
      </c>
      <c r="W86" t="s">
        <v>8674</v>
      </c>
      <c r="X86" t="s">
        <v>8675</v>
      </c>
      <c r="Y86" t="s">
        <v>8676</v>
      </c>
      <c r="Z86" t="s">
        <v>8677</v>
      </c>
      <c r="AA86" t="s">
        <v>8678</v>
      </c>
      <c r="AB86" t="s">
        <v>8679</v>
      </c>
      <c r="AC86" t="s">
        <v>8680</v>
      </c>
      <c r="AD86" t="s">
        <v>8681</v>
      </c>
      <c r="AE86" t="s">
        <v>8682</v>
      </c>
      <c r="AF86" t="s">
        <v>8683</v>
      </c>
      <c r="AG86" t="s">
        <v>8684</v>
      </c>
      <c r="AH86" t="s">
        <v>8685</v>
      </c>
      <c r="AI86" t="s">
        <v>8686</v>
      </c>
      <c r="AJ86" t="s">
        <v>8687</v>
      </c>
      <c r="AK86" t="s">
        <v>8688</v>
      </c>
      <c r="AL86" t="s">
        <v>8689</v>
      </c>
      <c r="AM86" t="s">
        <v>8690</v>
      </c>
      <c r="AN86" t="s">
        <v>8691</v>
      </c>
      <c r="AO86" t="s">
        <v>8692</v>
      </c>
      <c r="AP86" t="s">
        <v>8693</v>
      </c>
      <c r="AQ86" t="s">
        <v>8694</v>
      </c>
      <c r="AR86" t="s">
        <v>8695</v>
      </c>
      <c r="AS86" t="s">
        <v>8696</v>
      </c>
      <c r="AT86" t="s">
        <v>8697</v>
      </c>
      <c r="AU86" t="s">
        <v>8698</v>
      </c>
      <c r="AV86" t="s">
        <v>8699</v>
      </c>
      <c r="AW86" t="s">
        <v>8700</v>
      </c>
      <c r="AX86" t="s">
        <v>8701</v>
      </c>
      <c r="AY86" t="s">
        <v>8702</v>
      </c>
      <c r="AZ86" t="s">
        <v>8703</v>
      </c>
      <c r="BA86" t="s">
        <v>8704</v>
      </c>
      <c r="BB86" t="s">
        <v>8705</v>
      </c>
      <c r="BC86" t="s">
        <v>8706</v>
      </c>
      <c r="BD86" t="s">
        <v>8707</v>
      </c>
      <c r="BE86" t="s">
        <v>8708</v>
      </c>
      <c r="BF86" t="s">
        <v>8709</v>
      </c>
      <c r="BG86" t="s">
        <v>8710</v>
      </c>
      <c r="BH86" t="s">
        <v>8711</v>
      </c>
      <c r="BI86" t="s">
        <v>8712</v>
      </c>
      <c r="BJ86" t="s">
        <v>8713</v>
      </c>
      <c r="BK86" t="s">
        <v>8714</v>
      </c>
      <c r="BL86" t="s">
        <v>8715</v>
      </c>
      <c r="BM86" t="s">
        <v>8716</v>
      </c>
      <c r="BN86" t="s">
        <v>8717</v>
      </c>
      <c r="BO86" t="s">
        <v>8718</v>
      </c>
      <c r="BP86" t="s">
        <v>8719</v>
      </c>
      <c r="BR86" t="s">
        <v>274</v>
      </c>
    </row>
    <row r="87" spans="1:70" x14ac:dyDescent="0.3">
      <c r="A87" t="s">
        <v>86</v>
      </c>
      <c r="B87" t="s">
        <v>1768</v>
      </c>
      <c r="C87" t="s">
        <v>4632</v>
      </c>
      <c r="D87" t="s">
        <v>4633</v>
      </c>
      <c r="F87" t="s">
        <v>8720</v>
      </c>
      <c r="G87" t="s">
        <v>8721</v>
      </c>
      <c r="H87" t="s">
        <v>8722</v>
      </c>
      <c r="I87" t="s">
        <v>8723</v>
      </c>
      <c r="J87" t="s">
        <v>8724</v>
      </c>
      <c r="K87" t="s">
        <v>8725</v>
      </c>
      <c r="L87" t="s">
        <v>8726</v>
      </c>
      <c r="M87" t="s">
        <v>8727</v>
      </c>
      <c r="N87" t="s">
        <v>8728</v>
      </c>
      <c r="O87" t="s">
        <v>8729</v>
      </c>
      <c r="P87" t="s">
        <v>8730</v>
      </c>
      <c r="Q87" t="s">
        <v>8731</v>
      </c>
      <c r="R87" t="s">
        <v>8732</v>
      </c>
      <c r="S87" t="s">
        <v>8733</v>
      </c>
      <c r="T87" t="s">
        <v>8734</v>
      </c>
      <c r="U87" t="s">
        <v>8735</v>
      </c>
      <c r="V87" t="s">
        <v>8736</v>
      </c>
      <c r="W87" t="s">
        <v>8737</v>
      </c>
      <c r="X87" t="s">
        <v>8738</v>
      </c>
      <c r="Y87" t="s">
        <v>8739</v>
      </c>
      <c r="Z87" t="s">
        <v>8740</v>
      </c>
      <c r="AA87" t="s">
        <v>8741</v>
      </c>
      <c r="AB87" t="s">
        <v>8742</v>
      </c>
      <c r="AC87" t="s">
        <v>8743</v>
      </c>
      <c r="AD87" t="s">
        <v>8744</v>
      </c>
      <c r="AE87" t="s">
        <v>8745</v>
      </c>
      <c r="AF87" t="s">
        <v>8746</v>
      </c>
      <c r="AG87" t="s">
        <v>8747</v>
      </c>
      <c r="AH87" t="s">
        <v>8748</v>
      </c>
      <c r="AI87" t="s">
        <v>8749</v>
      </c>
      <c r="AJ87" t="s">
        <v>8750</v>
      </c>
      <c r="AK87" t="s">
        <v>8751</v>
      </c>
      <c r="AL87" t="s">
        <v>8752</v>
      </c>
      <c r="AM87" t="s">
        <v>8753</v>
      </c>
      <c r="AN87" t="s">
        <v>7929</v>
      </c>
      <c r="AO87" t="s">
        <v>8754</v>
      </c>
      <c r="AP87" t="s">
        <v>8755</v>
      </c>
      <c r="AQ87" t="s">
        <v>8756</v>
      </c>
      <c r="AR87" t="s">
        <v>8757</v>
      </c>
      <c r="AS87" t="s">
        <v>8758</v>
      </c>
      <c r="AT87" t="s">
        <v>8759</v>
      </c>
      <c r="AU87" t="s">
        <v>8760</v>
      </c>
      <c r="AV87" t="s">
        <v>8761</v>
      </c>
      <c r="AW87" t="s">
        <v>8762</v>
      </c>
      <c r="AX87" t="s">
        <v>8763</v>
      </c>
      <c r="AY87" t="s">
        <v>8764</v>
      </c>
      <c r="AZ87" t="s">
        <v>8765</v>
      </c>
      <c r="BA87" t="s">
        <v>8766</v>
      </c>
      <c r="BB87" t="s">
        <v>8767</v>
      </c>
      <c r="BC87" t="s">
        <v>8768</v>
      </c>
      <c r="BD87" t="s">
        <v>8769</v>
      </c>
      <c r="BE87" t="s">
        <v>8770</v>
      </c>
      <c r="BF87" t="s">
        <v>8771</v>
      </c>
      <c r="BG87" t="s">
        <v>8772</v>
      </c>
      <c r="BH87" t="s">
        <v>8773</v>
      </c>
      <c r="BI87" t="s">
        <v>8774</v>
      </c>
      <c r="BJ87" t="s">
        <v>8775</v>
      </c>
      <c r="BK87" t="s">
        <v>8776</v>
      </c>
      <c r="BL87" t="s">
        <v>8777</v>
      </c>
      <c r="BM87" t="s">
        <v>8778</v>
      </c>
      <c r="BN87" t="s">
        <v>8779</v>
      </c>
      <c r="BO87" t="s">
        <v>8780</v>
      </c>
      <c r="BP87" t="s">
        <v>8781</v>
      </c>
      <c r="BR87" t="s">
        <v>274</v>
      </c>
    </row>
    <row r="88" spans="1:70" x14ac:dyDescent="0.3">
      <c r="A88" t="s">
        <v>210</v>
      </c>
      <c r="B88" t="s">
        <v>1806</v>
      </c>
      <c r="C88" t="s">
        <v>4632</v>
      </c>
      <c r="D88" t="s">
        <v>4633</v>
      </c>
      <c r="F88" t="s">
        <v>8782</v>
      </c>
      <c r="G88" t="s">
        <v>8783</v>
      </c>
      <c r="H88" t="s">
        <v>8784</v>
      </c>
      <c r="I88" t="s">
        <v>8785</v>
      </c>
      <c r="J88" t="s">
        <v>8786</v>
      </c>
      <c r="K88" t="s">
        <v>8787</v>
      </c>
      <c r="L88" t="s">
        <v>8788</v>
      </c>
      <c r="M88" t="s">
        <v>8789</v>
      </c>
      <c r="N88" t="s">
        <v>8790</v>
      </c>
      <c r="O88" t="s">
        <v>8791</v>
      </c>
      <c r="P88" t="s">
        <v>8792</v>
      </c>
      <c r="Q88" t="s">
        <v>8793</v>
      </c>
      <c r="R88" t="s">
        <v>8794</v>
      </c>
      <c r="S88" t="s">
        <v>8795</v>
      </c>
      <c r="T88" t="s">
        <v>8796</v>
      </c>
      <c r="U88" t="s">
        <v>8797</v>
      </c>
      <c r="V88" t="s">
        <v>8798</v>
      </c>
      <c r="W88" t="s">
        <v>8799</v>
      </c>
      <c r="X88" t="s">
        <v>8800</v>
      </c>
      <c r="Y88" t="s">
        <v>8801</v>
      </c>
      <c r="Z88" t="s">
        <v>8802</v>
      </c>
      <c r="AA88" t="s">
        <v>8803</v>
      </c>
      <c r="AB88" t="s">
        <v>8804</v>
      </c>
      <c r="AC88" t="s">
        <v>8805</v>
      </c>
      <c r="AD88" t="s">
        <v>8806</v>
      </c>
      <c r="AE88" t="s">
        <v>8807</v>
      </c>
      <c r="AF88" t="s">
        <v>8808</v>
      </c>
      <c r="AG88" t="s">
        <v>8809</v>
      </c>
      <c r="AH88" t="s">
        <v>8810</v>
      </c>
      <c r="AI88" t="s">
        <v>8811</v>
      </c>
      <c r="AJ88" t="s">
        <v>8812</v>
      </c>
      <c r="AK88" t="s">
        <v>8813</v>
      </c>
      <c r="AL88" t="s">
        <v>8814</v>
      </c>
      <c r="AM88" t="s">
        <v>8815</v>
      </c>
      <c r="AN88" t="s">
        <v>8816</v>
      </c>
      <c r="AO88" t="s">
        <v>8817</v>
      </c>
      <c r="AP88" t="s">
        <v>8818</v>
      </c>
      <c r="AQ88" t="s">
        <v>8819</v>
      </c>
      <c r="AR88" t="s">
        <v>8820</v>
      </c>
      <c r="AS88" t="s">
        <v>8821</v>
      </c>
      <c r="AT88" t="s">
        <v>8822</v>
      </c>
      <c r="AU88" t="s">
        <v>8823</v>
      </c>
      <c r="AV88" t="s">
        <v>8824</v>
      </c>
      <c r="AW88" t="s">
        <v>7904</v>
      </c>
      <c r="AX88" t="s">
        <v>7905</v>
      </c>
      <c r="AY88" t="s">
        <v>8825</v>
      </c>
      <c r="AZ88" t="s">
        <v>8826</v>
      </c>
      <c r="BA88" t="s">
        <v>8827</v>
      </c>
      <c r="BB88" t="s">
        <v>8828</v>
      </c>
      <c r="BC88" t="s">
        <v>8829</v>
      </c>
      <c r="BD88" t="s">
        <v>8830</v>
      </c>
      <c r="BE88" t="s">
        <v>8831</v>
      </c>
      <c r="BF88" t="s">
        <v>8832</v>
      </c>
      <c r="BG88" t="s">
        <v>8833</v>
      </c>
      <c r="BH88" t="s">
        <v>8834</v>
      </c>
      <c r="BI88" t="s">
        <v>8835</v>
      </c>
      <c r="BJ88" t="s">
        <v>8836</v>
      </c>
      <c r="BK88" t="s">
        <v>8837</v>
      </c>
      <c r="BL88" t="s">
        <v>8838</v>
      </c>
      <c r="BM88" t="s">
        <v>8839</v>
      </c>
      <c r="BN88" t="s">
        <v>8840</v>
      </c>
      <c r="BO88" t="s">
        <v>8841</v>
      </c>
      <c r="BP88" t="s">
        <v>8842</v>
      </c>
      <c r="BR88" t="s">
        <v>274</v>
      </c>
    </row>
    <row r="89" spans="1:70" x14ac:dyDescent="0.3">
      <c r="A89" t="s">
        <v>87</v>
      </c>
      <c r="B89" t="s">
        <v>1829</v>
      </c>
      <c r="C89" t="s">
        <v>4632</v>
      </c>
      <c r="D89" t="s">
        <v>4633</v>
      </c>
      <c r="F89" t="s">
        <v>8843</v>
      </c>
      <c r="G89" t="s">
        <v>8844</v>
      </c>
      <c r="H89" t="s">
        <v>8845</v>
      </c>
      <c r="I89" t="s">
        <v>8846</v>
      </c>
      <c r="J89" t="s">
        <v>8847</v>
      </c>
      <c r="K89" t="s">
        <v>8848</v>
      </c>
      <c r="L89" t="s">
        <v>8849</v>
      </c>
      <c r="M89" t="s">
        <v>8850</v>
      </c>
      <c r="N89" t="s">
        <v>8851</v>
      </c>
      <c r="O89" t="s">
        <v>8852</v>
      </c>
      <c r="P89" t="s">
        <v>8853</v>
      </c>
      <c r="Q89" t="s">
        <v>8854</v>
      </c>
      <c r="R89" t="s">
        <v>8855</v>
      </c>
      <c r="S89" t="s">
        <v>8856</v>
      </c>
      <c r="T89" t="s">
        <v>8857</v>
      </c>
      <c r="U89" t="s">
        <v>8858</v>
      </c>
      <c r="V89" t="s">
        <v>8859</v>
      </c>
      <c r="W89" t="s">
        <v>8860</v>
      </c>
      <c r="X89" t="s">
        <v>8861</v>
      </c>
      <c r="Y89" t="s">
        <v>8862</v>
      </c>
      <c r="Z89" t="s">
        <v>8863</v>
      </c>
      <c r="AA89" t="s">
        <v>8864</v>
      </c>
      <c r="AB89" t="s">
        <v>8865</v>
      </c>
      <c r="AC89" t="s">
        <v>8866</v>
      </c>
      <c r="AD89" t="s">
        <v>8867</v>
      </c>
      <c r="AE89" t="s">
        <v>8868</v>
      </c>
      <c r="AF89" t="s">
        <v>8869</v>
      </c>
      <c r="AG89" t="s">
        <v>8870</v>
      </c>
      <c r="AH89" t="s">
        <v>8871</v>
      </c>
      <c r="AI89" t="s">
        <v>8872</v>
      </c>
      <c r="AJ89" t="s">
        <v>8873</v>
      </c>
      <c r="AK89" t="s">
        <v>8874</v>
      </c>
      <c r="AL89" t="s">
        <v>8875</v>
      </c>
      <c r="AM89" t="s">
        <v>8876</v>
      </c>
      <c r="AN89" t="s">
        <v>8877</v>
      </c>
      <c r="AO89" t="s">
        <v>8878</v>
      </c>
      <c r="AP89" t="s">
        <v>8879</v>
      </c>
      <c r="AQ89" t="s">
        <v>8880</v>
      </c>
      <c r="AR89" t="s">
        <v>8881</v>
      </c>
      <c r="AS89" t="s">
        <v>8882</v>
      </c>
      <c r="AT89" t="s">
        <v>8883</v>
      </c>
      <c r="AU89" t="s">
        <v>8884</v>
      </c>
      <c r="AV89" t="s">
        <v>8885</v>
      </c>
      <c r="AW89" t="s">
        <v>8886</v>
      </c>
      <c r="AX89" t="s">
        <v>8887</v>
      </c>
      <c r="AY89" t="s">
        <v>8888</v>
      </c>
      <c r="AZ89" t="s">
        <v>8889</v>
      </c>
      <c r="BA89" t="s">
        <v>8890</v>
      </c>
      <c r="BB89" t="s">
        <v>8891</v>
      </c>
      <c r="BC89" t="s">
        <v>8892</v>
      </c>
      <c r="BD89" t="s">
        <v>8893</v>
      </c>
      <c r="BE89" t="s">
        <v>8894</v>
      </c>
      <c r="BF89" t="s">
        <v>8895</v>
      </c>
      <c r="BG89" t="s">
        <v>8896</v>
      </c>
      <c r="BH89" t="s">
        <v>8897</v>
      </c>
      <c r="BI89" t="s">
        <v>8898</v>
      </c>
      <c r="BJ89" t="s">
        <v>8899</v>
      </c>
      <c r="BK89" t="s">
        <v>8900</v>
      </c>
      <c r="BL89" t="s">
        <v>8901</v>
      </c>
      <c r="BM89" t="s">
        <v>8902</v>
      </c>
      <c r="BN89" t="s">
        <v>8903</v>
      </c>
      <c r="BO89" t="s">
        <v>8904</v>
      </c>
      <c r="BP89" t="s">
        <v>8905</v>
      </c>
      <c r="BR89" t="s">
        <v>274</v>
      </c>
    </row>
    <row r="90" spans="1:70" x14ac:dyDescent="0.3">
      <c r="A90" t="s">
        <v>88</v>
      </c>
      <c r="B90" t="s">
        <v>1830</v>
      </c>
      <c r="C90" t="s">
        <v>4632</v>
      </c>
      <c r="D90" t="s">
        <v>4633</v>
      </c>
      <c r="F90" t="s">
        <v>274</v>
      </c>
      <c r="G90" t="s">
        <v>274</v>
      </c>
      <c r="H90" t="s">
        <v>274</v>
      </c>
      <c r="I90" t="s">
        <v>274</v>
      </c>
      <c r="J90" t="s">
        <v>274</v>
      </c>
      <c r="K90" t="s">
        <v>274</v>
      </c>
      <c r="L90" t="s">
        <v>274</v>
      </c>
      <c r="M90" t="s">
        <v>274</v>
      </c>
      <c r="N90" t="s">
        <v>274</v>
      </c>
      <c r="O90" t="s">
        <v>274</v>
      </c>
      <c r="P90" t="s">
        <v>274</v>
      </c>
      <c r="Q90" t="s">
        <v>274</v>
      </c>
      <c r="R90" t="s">
        <v>274</v>
      </c>
      <c r="S90" t="s">
        <v>274</v>
      </c>
      <c r="T90" t="s">
        <v>274</v>
      </c>
      <c r="U90" t="s">
        <v>274</v>
      </c>
      <c r="V90" t="s">
        <v>274</v>
      </c>
      <c r="W90" t="s">
        <v>274</v>
      </c>
      <c r="X90" t="s">
        <v>274</v>
      </c>
      <c r="Y90" t="s">
        <v>274</v>
      </c>
      <c r="Z90" t="s">
        <v>274</v>
      </c>
      <c r="AA90" t="s">
        <v>274</v>
      </c>
      <c r="AB90" t="s">
        <v>274</v>
      </c>
      <c r="AC90" t="s">
        <v>274</v>
      </c>
      <c r="AD90" t="s">
        <v>274</v>
      </c>
      <c r="AE90" t="s">
        <v>274</v>
      </c>
      <c r="AF90" t="s">
        <v>274</v>
      </c>
      <c r="AG90" t="s">
        <v>274</v>
      </c>
      <c r="AH90" t="s">
        <v>274</v>
      </c>
      <c r="AI90" t="s">
        <v>274</v>
      </c>
      <c r="AJ90" t="s">
        <v>274</v>
      </c>
      <c r="AK90" t="s">
        <v>274</v>
      </c>
      <c r="AL90" t="s">
        <v>274</v>
      </c>
      <c r="AM90" t="s">
        <v>274</v>
      </c>
      <c r="AN90" t="s">
        <v>274</v>
      </c>
      <c r="AO90" t="s">
        <v>274</v>
      </c>
      <c r="AP90" t="s">
        <v>274</v>
      </c>
      <c r="AQ90" t="s">
        <v>274</v>
      </c>
      <c r="AR90" t="s">
        <v>274</v>
      </c>
      <c r="AS90" t="s">
        <v>274</v>
      </c>
      <c r="AT90" t="s">
        <v>274</v>
      </c>
      <c r="AU90" t="s">
        <v>274</v>
      </c>
      <c r="AV90" t="s">
        <v>274</v>
      </c>
      <c r="AW90" t="s">
        <v>274</v>
      </c>
      <c r="AX90" t="s">
        <v>274</v>
      </c>
      <c r="AY90" t="s">
        <v>274</v>
      </c>
      <c r="AZ90" t="s">
        <v>274</v>
      </c>
      <c r="BA90" t="s">
        <v>274</v>
      </c>
      <c r="BB90" t="s">
        <v>274</v>
      </c>
      <c r="BC90" t="s">
        <v>274</v>
      </c>
      <c r="BD90" t="s">
        <v>274</v>
      </c>
      <c r="BE90" t="s">
        <v>274</v>
      </c>
      <c r="BF90" t="s">
        <v>274</v>
      </c>
      <c r="BG90" t="s">
        <v>274</v>
      </c>
      <c r="BH90" t="s">
        <v>274</v>
      </c>
      <c r="BI90" t="s">
        <v>274</v>
      </c>
      <c r="BJ90" t="s">
        <v>274</v>
      </c>
      <c r="BK90" t="s">
        <v>274</v>
      </c>
      <c r="BL90" t="s">
        <v>274</v>
      </c>
      <c r="BM90" t="s">
        <v>274</v>
      </c>
      <c r="BN90" t="s">
        <v>274</v>
      </c>
      <c r="BO90" t="s">
        <v>274</v>
      </c>
      <c r="BP90" t="s">
        <v>274</v>
      </c>
      <c r="BR90" t="s">
        <v>274</v>
      </c>
    </row>
    <row r="91" spans="1:70" x14ac:dyDescent="0.3">
      <c r="A91" t="s">
        <v>89</v>
      </c>
      <c r="B91" t="s">
        <v>1831</v>
      </c>
      <c r="C91" t="s">
        <v>4632</v>
      </c>
      <c r="D91" t="s">
        <v>4633</v>
      </c>
      <c r="F91" t="s">
        <v>274</v>
      </c>
      <c r="G91" t="s">
        <v>274</v>
      </c>
      <c r="H91" t="s">
        <v>274</v>
      </c>
      <c r="I91" t="s">
        <v>274</v>
      </c>
      <c r="J91" t="s">
        <v>274</v>
      </c>
      <c r="K91" t="s">
        <v>274</v>
      </c>
      <c r="L91" t="s">
        <v>274</v>
      </c>
      <c r="M91" t="s">
        <v>274</v>
      </c>
      <c r="N91" t="s">
        <v>274</v>
      </c>
      <c r="O91" t="s">
        <v>274</v>
      </c>
      <c r="P91" t="s">
        <v>8906</v>
      </c>
      <c r="Q91" t="s">
        <v>8907</v>
      </c>
      <c r="R91" t="s">
        <v>8908</v>
      </c>
      <c r="S91" t="s">
        <v>8909</v>
      </c>
      <c r="T91" t="s">
        <v>8910</v>
      </c>
      <c r="U91" t="s">
        <v>8911</v>
      </c>
      <c r="V91" t="s">
        <v>8912</v>
      </c>
      <c r="W91" t="s">
        <v>8913</v>
      </c>
      <c r="X91" t="s">
        <v>8914</v>
      </c>
      <c r="Y91" t="s">
        <v>8915</v>
      </c>
      <c r="Z91" t="s">
        <v>8916</v>
      </c>
      <c r="AA91" t="s">
        <v>8917</v>
      </c>
      <c r="AB91" t="s">
        <v>8918</v>
      </c>
      <c r="AC91" t="s">
        <v>8919</v>
      </c>
      <c r="AD91" t="s">
        <v>8920</v>
      </c>
      <c r="AE91" t="s">
        <v>8921</v>
      </c>
      <c r="AF91" t="s">
        <v>8922</v>
      </c>
      <c r="AG91" t="s">
        <v>8923</v>
      </c>
      <c r="AH91" t="s">
        <v>8924</v>
      </c>
      <c r="AI91" t="s">
        <v>8925</v>
      </c>
      <c r="AJ91" t="s">
        <v>8926</v>
      </c>
      <c r="AK91" t="s">
        <v>8927</v>
      </c>
      <c r="AL91" t="s">
        <v>8928</v>
      </c>
      <c r="AM91" t="s">
        <v>8929</v>
      </c>
      <c r="AN91" t="s">
        <v>8930</v>
      </c>
      <c r="AO91" t="s">
        <v>8931</v>
      </c>
      <c r="AP91" t="s">
        <v>8932</v>
      </c>
      <c r="AQ91" t="s">
        <v>8933</v>
      </c>
      <c r="AR91" t="s">
        <v>8934</v>
      </c>
      <c r="AS91" t="s">
        <v>8935</v>
      </c>
      <c r="AT91" t="s">
        <v>8936</v>
      </c>
      <c r="AU91" t="s">
        <v>8937</v>
      </c>
      <c r="AV91" t="s">
        <v>8938</v>
      </c>
      <c r="AW91" t="s">
        <v>8939</v>
      </c>
      <c r="AX91" t="s">
        <v>8940</v>
      </c>
      <c r="AY91" t="s">
        <v>8941</v>
      </c>
      <c r="AZ91" t="s">
        <v>8942</v>
      </c>
      <c r="BA91" t="s">
        <v>8943</v>
      </c>
      <c r="BB91" t="s">
        <v>8944</v>
      </c>
      <c r="BC91" t="s">
        <v>8945</v>
      </c>
      <c r="BD91" t="s">
        <v>8946</v>
      </c>
      <c r="BE91" t="s">
        <v>8947</v>
      </c>
      <c r="BF91" t="s">
        <v>8948</v>
      </c>
      <c r="BG91" t="s">
        <v>8949</v>
      </c>
      <c r="BH91" t="s">
        <v>8950</v>
      </c>
      <c r="BI91" t="s">
        <v>8951</v>
      </c>
      <c r="BJ91" t="s">
        <v>8952</v>
      </c>
      <c r="BK91" t="s">
        <v>8953</v>
      </c>
      <c r="BL91" t="s">
        <v>8954</v>
      </c>
      <c r="BM91" t="s">
        <v>8955</v>
      </c>
      <c r="BN91" t="s">
        <v>8956</v>
      </c>
      <c r="BO91" t="s">
        <v>8957</v>
      </c>
      <c r="BP91" t="s">
        <v>8958</v>
      </c>
      <c r="BR91" t="s">
        <v>274</v>
      </c>
    </row>
    <row r="92" spans="1:70" x14ac:dyDescent="0.3">
      <c r="A92" t="s">
        <v>211</v>
      </c>
      <c r="B92" t="s">
        <v>1843</v>
      </c>
      <c r="C92" t="s">
        <v>4632</v>
      </c>
      <c r="D92" t="s">
        <v>4633</v>
      </c>
      <c r="F92" t="s">
        <v>274</v>
      </c>
      <c r="G92" t="s">
        <v>274</v>
      </c>
      <c r="H92" t="s">
        <v>274</v>
      </c>
      <c r="I92" t="s">
        <v>274</v>
      </c>
      <c r="J92" t="s">
        <v>274</v>
      </c>
      <c r="K92" t="s">
        <v>274</v>
      </c>
      <c r="L92" t="s">
        <v>8959</v>
      </c>
      <c r="M92" t="s">
        <v>8960</v>
      </c>
      <c r="N92" t="s">
        <v>8961</v>
      </c>
      <c r="O92" t="s">
        <v>8962</v>
      </c>
      <c r="P92" t="s">
        <v>8963</v>
      </c>
      <c r="Q92" t="s">
        <v>8964</v>
      </c>
      <c r="R92" t="s">
        <v>8965</v>
      </c>
      <c r="S92" t="s">
        <v>8966</v>
      </c>
      <c r="T92" t="s">
        <v>8967</v>
      </c>
      <c r="U92" t="s">
        <v>8968</v>
      </c>
      <c r="V92" t="s">
        <v>8969</v>
      </c>
      <c r="W92" t="s">
        <v>8970</v>
      </c>
      <c r="X92" t="s">
        <v>8971</v>
      </c>
      <c r="Y92" t="s">
        <v>8972</v>
      </c>
      <c r="Z92" t="s">
        <v>8973</v>
      </c>
      <c r="AA92" t="s">
        <v>8974</v>
      </c>
      <c r="AB92" t="s">
        <v>8975</v>
      </c>
      <c r="AC92" t="s">
        <v>8976</v>
      </c>
      <c r="AD92" t="s">
        <v>8977</v>
      </c>
      <c r="AE92" t="s">
        <v>8978</v>
      </c>
      <c r="AF92" t="s">
        <v>8979</v>
      </c>
      <c r="AG92" t="s">
        <v>8980</v>
      </c>
      <c r="AH92" t="s">
        <v>8981</v>
      </c>
      <c r="AI92" t="s">
        <v>8982</v>
      </c>
      <c r="AJ92" t="s">
        <v>8983</v>
      </c>
      <c r="AK92" t="s">
        <v>8984</v>
      </c>
      <c r="AL92" t="s">
        <v>8985</v>
      </c>
      <c r="AM92" t="s">
        <v>8986</v>
      </c>
      <c r="AN92" t="s">
        <v>8987</v>
      </c>
      <c r="AO92" t="s">
        <v>8988</v>
      </c>
      <c r="AP92" t="s">
        <v>8989</v>
      </c>
      <c r="AQ92" t="s">
        <v>8990</v>
      </c>
      <c r="AR92" t="s">
        <v>8991</v>
      </c>
      <c r="AS92" t="s">
        <v>8992</v>
      </c>
      <c r="AT92" t="s">
        <v>8993</v>
      </c>
      <c r="AU92" t="s">
        <v>8994</v>
      </c>
      <c r="AV92" t="s">
        <v>8995</v>
      </c>
      <c r="AW92" t="s">
        <v>8996</v>
      </c>
      <c r="AX92" t="s">
        <v>8997</v>
      </c>
      <c r="AY92" t="s">
        <v>8998</v>
      </c>
      <c r="AZ92" t="s">
        <v>8999</v>
      </c>
      <c r="BA92" t="s">
        <v>9000</v>
      </c>
      <c r="BB92" t="s">
        <v>9001</v>
      </c>
      <c r="BC92" t="s">
        <v>9002</v>
      </c>
      <c r="BD92" t="s">
        <v>9003</v>
      </c>
      <c r="BE92" t="s">
        <v>9004</v>
      </c>
      <c r="BF92" t="s">
        <v>9005</v>
      </c>
      <c r="BG92" t="s">
        <v>9006</v>
      </c>
      <c r="BH92" t="s">
        <v>9007</v>
      </c>
      <c r="BI92" t="s">
        <v>9008</v>
      </c>
      <c r="BJ92" t="s">
        <v>9009</v>
      </c>
      <c r="BK92" t="s">
        <v>9010</v>
      </c>
      <c r="BL92" t="s">
        <v>9011</v>
      </c>
      <c r="BM92" t="s">
        <v>9012</v>
      </c>
      <c r="BN92" t="s">
        <v>9013</v>
      </c>
      <c r="BO92" t="s">
        <v>9014</v>
      </c>
      <c r="BP92" t="s">
        <v>9015</v>
      </c>
      <c r="BR92" t="s">
        <v>274</v>
      </c>
    </row>
    <row r="93" spans="1:70" x14ac:dyDescent="0.3">
      <c r="A93" t="s">
        <v>90</v>
      </c>
      <c r="B93" t="s">
        <v>1864</v>
      </c>
      <c r="C93" t="s">
        <v>4632</v>
      </c>
      <c r="D93" t="s">
        <v>4633</v>
      </c>
      <c r="F93" t="s">
        <v>274</v>
      </c>
      <c r="G93" t="s">
        <v>274</v>
      </c>
      <c r="H93" t="s">
        <v>274</v>
      </c>
      <c r="I93" t="s">
        <v>274</v>
      </c>
      <c r="J93" t="s">
        <v>274</v>
      </c>
      <c r="K93" t="s">
        <v>274</v>
      </c>
      <c r="L93" t="s">
        <v>274</v>
      </c>
      <c r="M93" t="s">
        <v>274</v>
      </c>
      <c r="N93" t="s">
        <v>274</v>
      </c>
      <c r="O93" t="s">
        <v>274</v>
      </c>
      <c r="P93" t="s">
        <v>9016</v>
      </c>
      <c r="Q93" t="s">
        <v>9017</v>
      </c>
      <c r="R93" t="s">
        <v>9018</v>
      </c>
      <c r="S93" t="s">
        <v>9019</v>
      </c>
      <c r="T93" t="s">
        <v>9020</v>
      </c>
      <c r="U93" t="s">
        <v>9021</v>
      </c>
      <c r="V93" t="s">
        <v>9022</v>
      </c>
      <c r="W93" t="s">
        <v>9023</v>
      </c>
      <c r="X93" t="s">
        <v>9024</v>
      </c>
      <c r="Y93" t="s">
        <v>9025</v>
      </c>
      <c r="Z93" t="s">
        <v>9026</v>
      </c>
      <c r="AA93" t="s">
        <v>9027</v>
      </c>
      <c r="AB93" t="s">
        <v>9028</v>
      </c>
      <c r="AC93" t="s">
        <v>9029</v>
      </c>
      <c r="AD93" t="s">
        <v>9030</v>
      </c>
      <c r="AE93" t="s">
        <v>9031</v>
      </c>
      <c r="AF93" t="s">
        <v>9032</v>
      </c>
      <c r="AG93" t="s">
        <v>9033</v>
      </c>
      <c r="AH93" t="s">
        <v>9034</v>
      </c>
      <c r="AI93" t="s">
        <v>9035</v>
      </c>
      <c r="AJ93" t="s">
        <v>9036</v>
      </c>
      <c r="AK93" t="s">
        <v>9037</v>
      </c>
      <c r="AL93" t="s">
        <v>9038</v>
      </c>
      <c r="AM93" t="s">
        <v>9039</v>
      </c>
      <c r="AN93" t="s">
        <v>9040</v>
      </c>
      <c r="AO93" t="s">
        <v>9041</v>
      </c>
      <c r="AP93" t="s">
        <v>9042</v>
      </c>
      <c r="AQ93" t="s">
        <v>9043</v>
      </c>
      <c r="AR93" t="s">
        <v>9044</v>
      </c>
      <c r="AS93" t="s">
        <v>9045</v>
      </c>
      <c r="AT93" t="s">
        <v>9046</v>
      </c>
      <c r="AU93" t="s">
        <v>9047</v>
      </c>
      <c r="AV93" t="s">
        <v>9048</v>
      </c>
      <c r="AW93" t="s">
        <v>9049</v>
      </c>
      <c r="AX93" t="s">
        <v>9050</v>
      </c>
      <c r="AY93" t="s">
        <v>9051</v>
      </c>
      <c r="AZ93" t="s">
        <v>9052</v>
      </c>
      <c r="BA93" t="s">
        <v>9053</v>
      </c>
      <c r="BB93" t="s">
        <v>9054</v>
      </c>
      <c r="BC93" t="s">
        <v>9055</v>
      </c>
      <c r="BD93" t="s">
        <v>9056</v>
      </c>
      <c r="BE93" t="s">
        <v>9057</v>
      </c>
      <c r="BF93" t="s">
        <v>9058</v>
      </c>
      <c r="BG93" t="s">
        <v>9059</v>
      </c>
      <c r="BH93" t="s">
        <v>9060</v>
      </c>
      <c r="BI93" t="s">
        <v>9061</v>
      </c>
      <c r="BJ93" t="s">
        <v>9062</v>
      </c>
      <c r="BK93" t="s">
        <v>9063</v>
      </c>
      <c r="BL93" t="s">
        <v>9064</v>
      </c>
      <c r="BM93" t="s">
        <v>9065</v>
      </c>
      <c r="BN93" t="s">
        <v>9066</v>
      </c>
      <c r="BO93" t="s">
        <v>9067</v>
      </c>
      <c r="BP93" t="s">
        <v>9068</v>
      </c>
      <c r="BR93" t="s">
        <v>274</v>
      </c>
    </row>
    <row r="94" spans="1:70" x14ac:dyDescent="0.3">
      <c r="A94" t="s">
        <v>212</v>
      </c>
      <c r="B94" t="s">
        <v>1866</v>
      </c>
      <c r="C94" t="s">
        <v>4632</v>
      </c>
      <c r="D94" t="s">
        <v>4633</v>
      </c>
      <c r="F94" t="s">
        <v>274</v>
      </c>
      <c r="G94" t="s">
        <v>274</v>
      </c>
      <c r="H94" t="s">
        <v>274</v>
      </c>
      <c r="I94" t="s">
        <v>274</v>
      </c>
      <c r="J94" t="s">
        <v>274</v>
      </c>
      <c r="K94" t="s">
        <v>274</v>
      </c>
      <c r="L94" t="s">
        <v>274</v>
      </c>
      <c r="M94" t="s">
        <v>274</v>
      </c>
      <c r="N94" t="s">
        <v>274</v>
      </c>
      <c r="O94" t="s">
        <v>274</v>
      </c>
      <c r="P94" t="s">
        <v>274</v>
      </c>
      <c r="Q94" t="s">
        <v>274</v>
      </c>
      <c r="R94" t="s">
        <v>274</v>
      </c>
      <c r="S94" t="s">
        <v>274</v>
      </c>
      <c r="T94" t="s">
        <v>274</v>
      </c>
      <c r="U94" t="s">
        <v>274</v>
      </c>
      <c r="V94" t="s">
        <v>274</v>
      </c>
      <c r="W94" t="s">
        <v>274</v>
      </c>
      <c r="X94" t="s">
        <v>274</v>
      </c>
      <c r="Y94" t="s">
        <v>274</v>
      </c>
      <c r="Z94" t="s">
        <v>9069</v>
      </c>
      <c r="AA94" t="s">
        <v>9070</v>
      </c>
      <c r="AB94" t="s">
        <v>9071</v>
      </c>
      <c r="AC94" t="s">
        <v>9072</v>
      </c>
      <c r="AD94" t="s">
        <v>9073</v>
      </c>
      <c r="AE94" t="s">
        <v>9074</v>
      </c>
      <c r="AF94" t="s">
        <v>9075</v>
      </c>
      <c r="AG94" t="s">
        <v>9076</v>
      </c>
      <c r="AH94" t="s">
        <v>9077</v>
      </c>
      <c r="AI94" t="s">
        <v>9078</v>
      </c>
      <c r="AJ94" t="s">
        <v>9079</v>
      </c>
      <c r="AK94" t="s">
        <v>9080</v>
      </c>
      <c r="AL94" t="s">
        <v>9081</v>
      </c>
      <c r="AM94" t="s">
        <v>9082</v>
      </c>
      <c r="AN94" t="s">
        <v>9083</v>
      </c>
      <c r="AO94" t="s">
        <v>9084</v>
      </c>
      <c r="AP94" t="s">
        <v>9085</v>
      </c>
      <c r="AQ94" t="s">
        <v>9086</v>
      </c>
      <c r="AR94" t="s">
        <v>9087</v>
      </c>
      <c r="AS94" t="s">
        <v>9088</v>
      </c>
      <c r="AT94" t="s">
        <v>9089</v>
      </c>
      <c r="AU94" t="s">
        <v>9090</v>
      </c>
      <c r="AV94" t="s">
        <v>9091</v>
      </c>
      <c r="AW94" t="s">
        <v>9092</v>
      </c>
      <c r="AX94" t="s">
        <v>9093</v>
      </c>
      <c r="AY94" t="s">
        <v>9094</v>
      </c>
      <c r="AZ94" t="s">
        <v>9095</v>
      </c>
      <c r="BA94" t="s">
        <v>9096</v>
      </c>
      <c r="BB94" t="s">
        <v>9097</v>
      </c>
      <c r="BC94" t="s">
        <v>9098</v>
      </c>
      <c r="BD94" t="s">
        <v>9099</v>
      </c>
      <c r="BE94" t="s">
        <v>9100</v>
      </c>
      <c r="BF94" t="s">
        <v>9101</v>
      </c>
      <c r="BG94" t="s">
        <v>9102</v>
      </c>
      <c r="BH94" t="s">
        <v>9103</v>
      </c>
      <c r="BI94" t="s">
        <v>9104</v>
      </c>
      <c r="BJ94" t="s">
        <v>9105</v>
      </c>
      <c r="BK94" t="s">
        <v>9106</v>
      </c>
      <c r="BL94" t="s">
        <v>9107</v>
      </c>
      <c r="BM94" t="s">
        <v>9108</v>
      </c>
      <c r="BN94" t="s">
        <v>9109</v>
      </c>
      <c r="BO94" t="s">
        <v>9110</v>
      </c>
      <c r="BP94" t="s">
        <v>9111</v>
      </c>
      <c r="BR94" t="s">
        <v>274</v>
      </c>
    </row>
    <row r="95" spans="1:70" x14ac:dyDescent="0.3">
      <c r="A95" t="s">
        <v>91</v>
      </c>
      <c r="B95" t="s">
        <v>1867</v>
      </c>
      <c r="C95" t="s">
        <v>4632</v>
      </c>
      <c r="D95" t="s">
        <v>4633</v>
      </c>
      <c r="F95" t="s">
        <v>9112</v>
      </c>
      <c r="G95" t="s">
        <v>9113</v>
      </c>
      <c r="H95" t="s">
        <v>9114</v>
      </c>
      <c r="I95" t="s">
        <v>9115</v>
      </c>
      <c r="J95" t="s">
        <v>9116</v>
      </c>
      <c r="K95" t="s">
        <v>9117</v>
      </c>
      <c r="L95" t="s">
        <v>9118</v>
      </c>
      <c r="M95" t="s">
        <v>9119</v>
      </c>
      <c r="N95" t="s">
        <v>9120</v>
      </c>
      <c r="O95" t="s">
        <v>9121</v>
      </c>
      <c r="P95" t="s">
        <v>9122</v>
      </c>
      <c r="Q95" t="s">
        <v>9123</v>
      </c>
      <c r="R95" t="s">
        <v>9124</v>
      </c>
      <c r="S95" t="s">
        <v>9125</v>
      </c>
      <c r="T95" t="s">
        <v>8093</v>
      </c>
      <c r="U95" t="s">
        <v>9126</v>
      </c>
      <c r="V95" t="s">
        <v>9127</v>
      </c>
      <c r="W95" t="s">
        <v>9128</v>
      </c>
      <c r="X95" t="s">
        <v>9129</v>
      </c>
      <c r="Y95" t="s">
        <v>9130</v>
      </c>
      <c r="Z95" t="s">
        <v>9131</v>
      </c>
      <c r="AA95" t="s">
        <v>9132</v>
      </c>
      <c r="AB95" t="s">
        <v>9133</v>
      </c>
      <c r="AC95" t="s">
        <v>9134</v>
      </c>
      <c r="AD95" t="s">
        <v>9135</v>
      </c>
      <c r="AE95" t="s">
        <v>9136</v>
      </c>
      <c r="AF95" t="s">
        <v>9137</v>
      </c>
      <c r="AG95" t="s">
        <v>9138</v>
      </c>
      <c r="AH95" t="s">
        <v>9139</v>
      </c>
      <c r="AI95" t="s">
        <v>9140</v>
      </c>
      <c r="AJ95" t="s">
        <v>9141</v>
      </c>
      <c r="AK95" t="s">
        <v>7927</v>
      </c>
      <c r="AL95" t="s">
        <v>9142</v>
      </c>
      <c r="AM95" t="s">
        <v>9143</v>
      </c>
      <c r="AN95" t="s">
        <v>9144</v>
      </c>
      <c r="AO95" t="s">
        <v>9145</v>
      </c>
      <c r="AP95" t="s">
        <v>9146</v>
      </c>
      <c r="AQ95" t="s">
        <v>9147</v>
      </c>
      <c r="AR95" t="s">
        <v>9148</v>
      </c>
      <c r="AS95" t="s">
        <v>9149</v>
      </c>
      <c r="AT95" t="s">
        <v>9150</v>
      </c>
      <c r="AU95" t="s">
        <v>8345</v>
      </c>
      <c r="AV95" t="s">
        <v>9151</v>
      </c>
      <c r="AW95" t="s">
        <v>8347</v>
      </c>
      <c r="AX95" t="s">
        <v>9152</v>
      </c>
      <c r="AY95" t="s">
        <v>9153</v>
      </c>
      <c r="AZ95" t="s">
        <v>9154</v>
      </c>
      <c r="BA95" t="s">
        <v>9155</v>
      </c>
      <c r="BB95" t="s">
        <v>9156</v>
      </c>
      <c r="BC95" t="s">
        <v>9157</v>
      </c>
      <c r="BD95" t="s">
        <v>9158</v>
      </c>
      <c r="BE95" t="s">
        <v>9159</v>
      </c>
      <c r="BF95" t="s">
        <v>9160</v>
      </c>
      <c r="BG95" t="s">
        <v>9161</v>
      </c>
      <c r="BH95" t="s">
        <v>9162</v>
      </c>
      <c r="BI95" t="s">
        <v>9163</v>
      </c>
      <c r="BJ95" t="s">
        <v>9164</v>
      </c>
      <c r="BK95" t="s">
        <v>9165</v>
      </c>
      <c r="BL95" t="s">
        <v>9166</v>
      </c>
      <c r="BM95" t="s">
        <v>9167</v>
      </c>
      <c r="BN95" t="s">
        <v>9168</v>
      </c>
      <c r="BO95" t="s">
        <v>9169</v>
      </c>
      <c r="BP95" t="s">
        <v>9170</v>
      </c>
      <c r="BR95" t="s">
        <v>274</v>
      </c>
    </row>
    <row r="96" spans="1:70" x14ac:dyDescent="0.3">
      <c r="A96" t="s">
        <v>92</v>
      </c>
      <c r="B96" t="s">
        <v>1868</v>
      </c>
      <c r="C96" t="s">
        <v>4632</v>
      </c>
      <c r="D96" t="s">
        <v>4633</v>
      </c>
      <c r="F96" t="s">
        <v>274</v>
      </c>
      <c r="G96" t="s">
        <v>274</v>
      </c>
      <c r="H96" t="s">
        <v>274</v>
      </c>
      <c r="I96" t="s">
        <v>274</v>
      </c>
      <c r="J96" t="s">
        <v>274</v>
      </c>
      <c r="K96" t="s">
        <v>274</v>
      </c>
      <c r="L96" t="s">
        <v>274</v>
      </c>
      <c r="M96" t="s">
        <v>274</v>
      </c>
      <c r="N96" t="s">
        <v>274</v>
      </c>
      <c r="O96" t="s">
        <v>274</v>
      </c>
      <c r="P96" t="s">
        <v>274</v>
      </c>
      <c r="Q96" t="s">
        <v>274</v>
      </c>
      <c r="R96" t="s">
        <v>274</v>
      </c>
      <c r="S96" t="s">
        <v>274</v>
      </c>
      <c r="T96" t="s">
        <v>274</v>
      </c>
      <c r="U96" t="s">
        <v>274</v>
      </c>
      <c r="V96" t="s">
        <v>274</v>
      </c>
      <c r="W96" t="s">
        <v>9171</v>
      </c>
      <c r="X96" t="s">
        <v>9172</v>
      </c>
      <c r="Y96" t="s">
        <v>9173</v>
      </c>
      <c r="Z96" t="s">
        <v>9174</v>
      </c>
      <c r="AA96" t="s">
        <v>9175</v>
      </c>
      <c r="AB96" t="s">
        <v>9176</v>
      </c>
      <c r="AC96" t="s">
        <v>9177</v>
      </c>
      <c r="AD96" t="s">
        <v>9178</v>
      </c>
      <c r="AE96" t="s">
        <v>9179</v>
      </c>
      <c r="AF96" t="s">
        <v>9180</v>
      </c>
      <c r="AG96" t="s">
        <v>9181</v>
      </c>
      <c r="AH96" t="s">
        <v>7816</v>
      </c>
      <c r="AI96" t="s">
        <v>9182</v>
      </c>
      <c r="AJ96" t="s">
        <v>9183</v>
      </c>
      <c r="AK96" t="s">
        <v>9184</v>
      </c>
      <c r="AL96" t="s">
        <v>9185</v>
      </c>
      <c r="AM96" t="s">
        <v>7251</v>
      </c>
      <c r="AN96" t="s">
        <v>9186</v>
      </c>
      <c r="AO96" t="s">
        <v>9187</v>
      </c>
      <c r="AP96" t="s">
        <v>9188</v>
      </c>
      <c r="AQ96" t="s">
        <v>9189</v>
      </c>
      <c r="AR96" t="s">
        <v>9190</v>
      </c>
      <c r="AS96" t="s">
        <v>9191</v>
      </c>
      <c r="AT96" t="s">
        <v>9192</v>
      </c>
      <c r="AU96" t="s">
        <v>9193</v>
      </c>
      <c r="AV96" t="s">
        <v>9194</v>
      </c>
      <c r="AW96" t="s">
        <v>9195</v>
      </c>
      <c r="AX96" t="s">
        <v>9196</v>
      </c>
      <c r="AY96" t="s">
        <v>9197</v>
      </c>
      <c r="AZ96" t="s">
        <v>9198</v>
      </c>
      <c r="BA96" t="s">
        <v>9199</v>
      </c>
      <c r="BB96" t="s">
        <v>9200</v>
      </c>
      <c r="BC96" t="s">
        <v>9201</v>
      </c>
      <c r="BD96" t="s">
        <v>9202</v>
      </c>
      <c r="BE96" t="s">
        <v>9203</v>
      </c>
      <c r="BF96" t="s">
        <v>9204</v>
      </c>
      <c r="BG96" t="s">
        <v>9205</v>
      </c>
      <c r="BH96" t="s">
        <v>9206</v>
      </c>
      <c r="BI96" t="s">
        <v>9207</v>
      </c>
      <c r="BJ96" t="s">
        <v>9208</v>
      </c>
      <c r="BK96" t="s">
        <v>9209</v>
      </c>
      <c r="BL96" t="s">
        <v>9210</v>
      </c>
      <c r="BM96" t="s">
        <v>9211</v>
      </c>
      <c r="BN96" t="s">
        <v>7264</v>
      </c>
      <c r="BO96" t="s">
        <v>9212</v>
      </c>
      <c r="BP96" t="s">
        <v>9213</v>
      </c>
      <c r="BR96" t="s">
        <v>274</v>
      </c>
    </row>
    <row r="97" spans="1:70" x14ac:dyDescent="0.3">
      <c r="A97" t="s">
        <v>243</v>
      </c>
      <c r="B97" t="s">
        <v>1907</v>
      </c>
      <c r="C97" t="s">
        <v>4632</v>
      </c>
      <c r="D97" t="s">
        <v>4633</v>
      </c>
      <c r="F97" t="s">
        <v>274</v>
      </c>
      <c r="G97" t="s">
        <v>274</v>
      </c>
      <c r="H97" t="s">
        <v>274</v>
      </c>
      <c r="I97" t="s">
        <v>274</v>
      </c>
      <c r="J97" t="s">
        <v>274</v>
      </c>
      <c r="K97" t="s">
        <v>274</v>
      </c>
      <c r="L97" t="s">
        <v>274</v>
      </c>
      <c r="M97" t="s">
        <v>274</v>
      </c>
      <c r="N97" t="s">
        <v>274</v>
      </c>
      <c r="O97" t="s">
        <v>274</v>
      </c>
      <c r="P97" t="s">
        <v>9214</v>
      </c>
      <c r="Q97" t="s">
        <v>9215</v>
      </c>
      <c r="R97" t="s">
        <v>9216</v>
      </c>
      <c r="S97" t="s">
        <v>9217</v>
      </c>
      <c r="T97" t="s">
        <v>9218</v>
      </c>
      <c r="U97" t="s">
        <v>9219</v>
      </c>
      <c r="V97" t="s">
        <v>9220</v>
      </c>
      <c r="W97" t="s">
        <v>9221</v>
      </c>
      <c r="X97" t="s">
        <v>9222</v>
      </c>
      <c r="Y97" t="s">
        <v>9223</v>
      </c>
      <c r="Z97" t="s">
        <v>9224</v>
      </c>
      <c r="AA97" t="s">
        <v>9225</v>
      </c>
      <c r="AB97" t="s">
        <v>9226</v>
      </c>
      <c r="AC97" t="s">
        <v>9227</v>
      </c>
      <c r="AD97" t="s">
        <v>9228</v>
      </c>
      <c r="AE97" t="s">
        <v>9229</v>
      </c>
      <c r="AF97" t="s">
        <v>9230</v>
      </c>
      <c r="AG97" t="s">
        <v>9231</v>
      </c>
      <c r="AH97" t="s">
        <v>9232</v>
      </c>
      <c r="AI97" t="s">
        <v>9233</v>
      </c>
      <c r="AJ97" t="s">
        <v>9234</v>
      </c>
      <c r="AK97" t="s">
        <v>9235</v>
      </c>
      <c r="AL97" t="s">
        <v>9236</v>
      </c>
      <c r="AM97" t="s">
        <v>9237</v>
      </c>
      <c r="AN97" t="s">
        <v>9238</v>
      </c>
      <c r="AO97" t="s">
        <v>9239</v>
      </c>
      <c r="AP97" t="s">
        <v>9240</v>
      </c>
      <c r="AQ97" t="s">
        <v>9241</v>
      </c>
      <c r="AR97" t="s">
        <v>9242</v>
      </c>
      <c r="AS97" t="s">
        <v>9243</v>
      </c>
      <c r="AT97" t="s">
        <v>9244</v>
      </c>
      <c r="AU97" t="s">
        <v>9245</v>
      </c>
      <c r="AV97" t="s">
        <v>9246</v>
      </c>
      <c r="AW97" t="s">
        <v>9247</v>
      </c>
      <c r="AX97" t="s">
        <v>9248</v>
      </c>
      <c r="AY97" t="s">
        <v>9249</v>
      </c>
      <c r="AZ97" t="s">
        <v>9250</v>
      </c>
      <c r="BA97" t="s">
        <v>9251</v>
      </c>
      <c r="BB97" t="s">
        <v>9252</v>
      </c>
      <c r="BC97" t="s">
        <v>9253</v>
      </c>
      <c r="BD97" t="s">
        <v>9254</v>
      </c>
      <c r="BE97" t="s">
        <v>9255</v>
      </c>
      <c r="BF97" t="s">
        <v>9256</v>
      </c>
      <c r="BG97" t="s">
        <v>9257</v>
      </c>
      <c r="BH97" t="s">
        <v>9258</v>
      </c>
      <c r="BI97" t="s">
        <v>9259</v>
      </c>
      <c r="BJ97" t="s">
        <v>9260</v>
      </c>
      <c r="BK97" t="s">
        <v>9261</v>
      </c>
      <c r="BL97" t="s">
        <v>9262</v>
      </c>
      <c r="BM97" t="s">
        <v>9263</v>
      </c>
      <c r="BN97" t="s">
        <v>9264</v>
      </c>
      <c r="BO97" t="s">
        <v>274</v>
      </c>
      <c r="BP97" t="s">
        <v>274</v>
      </c>
      <c r="BR97" t="s">
        <v>274</v>
      </c>
    </row>
    <row r="98" spans="1:70" x14ac:dyDescent="0.3">
      <c r="A98" t="s">
        <v>93</v>
      </c>
      <c r="B98" t="s">
        <v>1908</v>
      </c>
      <c r="C98" t="s">
        <v>4632</v>
      </c>
      <c r="D98" t="s">
        <v>4633</v>
      </c>
      <c r="F98" t="s">
        <v>9265</v>
      </c>
      <c r="G98" t="s">
        <v>9266</v>
      </c>
      <c r="H98" t="s">
        <v>9267</v>
      </c>
      <c r="I98" t="s">
        <v>9268</v>
      </c>
      <c r="J98" t="s">
        <v>9269</v>
      </c>
      <c r="K98" t="s">
        <v>9270</v>
      </c>
      <c r="L98" t="s">
        <v>9271</v>
      </c>
      <c r="M98" t="s">
        <v>9272</v>
      </c>
      <c r="N98" t="s">
        <v>9273</v>
      </c>
      <c r="O98" t="s">
        <v>9274</v>
      </c>
      <c r="P98" t="s">
        <v>9275</v>
      </c>
      <c r="Q98" t="s">
        <v>9276</v>
      </c>
      <c r="R98" t="s">
        <v>7804</v>
      </c>
      <c r="S98" t="s">
        <v>9277</v>
      </c>
      <c r="T98" t="s">
        <v>9278</v>
      </c>
      <c r="U98" t="s">
        <v>9279</v>
      </c>
      <c r="V98" t="s">
        <v>9280</v>
      </c>
      <c r="W98" t="s">
        <v>9281</v>
      </c>
      <c r="X98" t="s">
        <v>9282</v>
      </c>
      <c r="Y98" t="s">
        <v>9283</v>
      </c>
      <c r="Z98" t="s">
        <v>9284</v>
      </c>
      <c r="AA98" t="s">
        <v>9285</v>
      </c>
      <c r="AB98" t="s">
        <v>9286</v>
      </c>
      <c r="AC98" t="s">
        <v>9287</v>
      </c>
      <c r="AD98" t="s">
        <v>9288</v>
      </c>
      <c r="AE98" t="s">
        <v>9289</v>
      </c>
      <c r="AF98" t="s">
        <v>9290</v>
      </c>
      <c r="AG98" t="s">
        <v>9291</v>
      </c>
      <c r="AH98" t="s">
        <v>9292</v>
      </c>
      <c r="AI98" t="s">
        <v>9293</v>
      </c>
      <c r="AJ98" t="s">
        <v>9294</v>
      </c>
      <c r="AK98" t="s">
        <v>9295</v>
      </c>
      <c r="AL98" t="s">
        <v>9296</v>
      </c>
      <c r="AM98" t="s">
        <v>9297</v>
      </c>
      <c r="AN98" t="s">
        <v>9298</v>
      </c>
      <c r="AO98" t="s">
        <v>7823</v>
      </c>
      <c r="AP98" t="s">
        <v>9299</v>
      </c>
      <c r="AQ98" t="s">
        <v>9300</v>
      </c>
      <c r="AR98" t="s">
        <v>9301</v>
      </c>
      <c r="AS98" t="s">
        <v>9302</v>
      </c>
      <c r="AT98" t="s">
        <v>9303</v>
      </c>
      <c r="AU98" t="s">
        <v>9304</v>
      </c>
      <c r="AV98" t="s">
        <v>9305</v>
      </c>
      <c r="AW98" t="s">
        <v>9306</v>
      </c>
      <c r="AX98" t="s">
        <v>9307</v>
      </c>
      <c r="AY98" t="s">
        <v>9308</v>
      </c>
      <c r="AZ98" t="s">
        <v>9309</v>
      </c>
      <c r="BA98" t="s">
        <v>9310</v>
      </c>
      <c r="BB98" t="s">
        <v>9311</v>
      </c>
      <c r="BC98" t="s">
        <v>9312</v>
      </c>
      <c r="BD98" t="s">
        <v>9313</v>
      </c>
      <c r="BE98" t="s">
        <v>9314</v>
      </c>
      <c r="BF98" t="s">
        <v>9315</v>
      </c>
      <c r="BG98" t="s">
        <v>9316</v>
      </c>
      <c r="BH98" t="s">
        <v>9317</v>
      </c>
      <c r="BI98" t="s">
        <v>9318</v>
      </c>
      <c r="BJ98" t="s">
        <v>9319</v>
      </c>
      <c r="BK98" t="s">
        <v>9320</v>
      </c>
      <c r="BL98" t="s">
        <v>9321</v>
      </c>
      <c r="BM98" t="s">
        <v>9322</v>
      </c>
      <c r="BN98" t="s">
        <v>9323</v>
      </c>
      <c r="BO98" t="s">
        <v>9324</v>
      </c>
      <c r="BP98" t="s">
        <v>9325</v>
      </c>
      <c r="BR98" t="s">
        <v>274</v>
      </c>
    </row>
    <row r="99" spans="1:70" x14ac:dyDescent="0.3">
      <c r="A99" t="s">
        <v>1937</v>
      </c>
      <c r="B99" t="s">
        <v>1938</v>
      </c>
      <c r="C99" t="s">
        <v>4632</v>
      </c>
      <c r="D99" t="s">
        <v>4633</v>
      </c>
      <c r="F99" t="s">
        <v>274</v>
      </c>
      <c r="G99" t="s">
        <v>274</v>
      </c>
      <c r="H99" t="s">
        <v>274</v>
      </c>
      <c r="I99" t="s">
        <v>274</v>
      </c>
      <c r="J99" t="s">
        <v>274</v>
      </c>
      <c r="K99" t="s">
        <v>274</v>
      </c>
      <c r="L99" t="s">
        <v>274</v>
      </c>
      <c r="M99" t="s">
        <v>274</v>
      </c>
      <c r="N99" t="s">
        <v>274</v>
      </c>
      <c r="O99" t="s">
        <v>274</v>
      </c>
      <c r="P99" t="s">
        <v>274</v>
      </c>
      <c r="Q99" t="s">
        <v>274</v>
      </c>
      <c r="R99" t="s">
        <v>274</v>
      </c>
      <c r="S99" t="s">
        <v>274</v>
      </c>
      <c r="T99" t="s">
        <v>274</v>
      </c>
      <c r="U99" t="s">
        <v>274</v>
      </c>
      <c r="V99" t="s">
        <v>274</v>
      </c>
      <c r="W99" t="s">
        <v>274</v>
      </c>
      <c r="X99" t="s">
        <v>274</v>
      </c>
      <c r="Y99" t="s">
        <v>274</v>
      </c>
      <c r="Z99" t="s">
        <v>274</v>
      </c>
      <c r="AA99" t="s">
        <v>274</v>
      </c>
      <c r="AB99" t="s">
        <v>274</v>
      </c>
      <c r="AC99" t="s">
        <v>274</v>
      </c>
      <c r="AD99" t="s">
        <v>274</v>
      </c>
      <c r="AE99" t="s">
        <v>274</v>
      </c>
      <c r="AF99" t="s">
        <v>274</v>
      </c>
      <c r="AG99" t="s">
        <v>274</v>
      </c>
      <c r="AH99" t="s">
        <v>274</v>
      </c>
      <c r="AI99" t="s">
        <v>274</v>
      </c>
      <c r="AJ99" t="s">
        <v>274</v>
      </c>
      <c r="AK99" t="s">
        <v>274</v>
      </c>
      <c r="AL99" t="s">
        <v>274</v>
      </c>
      <c r="AM99" t="s">
        <v>274</v>
      </c>
      <c r="AN99" t="s">
        <v>274</v>
      </c>
      <c r="AO99" t="s">
        <v>274</v>
      </c>
      <c r="AP99" t="s">
        <v>274</v>
      </c>
      <c r="AQ99" t="s">
        <v>274</v>
      </c>
      <c r="AR99" t="s">
        <v>274</v>
      </c>
      <c r="AS99" t="s">
        <v>274</v>
      </c>
      <c r="AT99" t="s">
        <v>274</v>
      </c>
      <c r="AU99" t="s">
        <v>274</v>
      </c>
      <c r="AV99" t="s">
        <v>9326</v>
      </c>
      <c r="AW99" t="s">
        <v>9327</v>
      </c>
      <c r="AX99" t="s">
        <v>9328</v>
      </c>
      <c r="AY99" t="s">
        <v>9329</v>
      </c>
      <c r="AZ99" t="s">
        <v>9330</v>
      </c>
      <c r="BA99" t="s">
        <v>9331</v>
      </c>
      <c r="BB99" t="s">
        <v>9332</v>
      </c>
      <c r="BC99" t="s">
        <v>9333</v>
      </c>
      <c r="BD99" t="s">
        <v>9334</v>
      </c>
      <c r="BE99" t="s">
        <v>9335</v>
      </c>
      <c r="BF99" t="s">
        <v>9336</v>
      </c>
      <c r="BG99" t="s">
        <v>9337</v>
      </c>
      <c r="BH99" t="s">
        <v>9338</v>
      </c>
      <c r="BI99" t="s">
        <v>9339</v>
      </c>
      <c r="BJ99" t="s">
        <v>9340</v>
      </c>
      <c r="BK99" t="s">
        <v>9341</v>
      </c>
      <c r="BL99" t="s">
        <v>9342</v>
      </c>
      <c r="BM99" t="s">
        <v>9343</v>
      </c>
      <c r="BN99" t="s">
        <v>7890</v>
      </c>
      <c r="BO99" t="s">
        <v>7891</v>
      </c>
      <c r="BP99" t="s">
        <v>274</v>
      </c>
      <c r="BR99" t="s">
        <v>274</v>
      </c>
    </row>
    <row r="100" spans="1:70" x14ac:dyDescent="0.3">
      <c r="A100" t="s">
        <v>94</v>
      </c>
      <c r="B100" t="s">
        <v>1939</v>
      </c>
      <c r="C100" t="s">
        <v>4632</v>
      </c>
      <c r="D100" t="s">
        <v>4633</v>
      </c>
      <c r="F100" t="s">
        <v>9344</v>
      </c>
      <c r="G100" t="s">
        <v>9345</v>
      </c>
      <c r="H100" t="s">
        <v>9346</v>
      </c>
      <c r="I100" t="s">
        <v>9347</v>
      </c>
      <c r="J100" t="s">
        <v>9348</v>
      </c>
      <c r="K100" t="s">
        <v>9349</v>
      </c>
      <c r="L100" t="s">
        <v>9350</v>
      </c>
      <c r="M100" t="s">
        <v>9351</v>
      </c>
      <c r="N100" t="s">
        <v>9352</v>
      </c>
      <c r="O100" t="s">
        <v>9353</v>
      </c>
      <c r="P100" t="s">
        <v>9354</v>
      </c>
      <c r="Q100" t="s">
        <v>9355</v>
      </c>
      <c r="R100" t="s">
        <v>9356</v>
      </c>
      <c r="S100" t="s">
        <v>9357</v>
      </c>
      <c r="T100" t="s">
        <v>9358</v>
      </c>
      <c r="U100" t="s">
        <v>9359</v>
      </c>
      <c r="V100" t="s">
        <v>9360</v>
      </c>
      <c r="W100" t="s">
        <v>9361</v>
      </c>
      <c r="X100" t="s">
        <v>9362</v>
      </c>
      <c r="Y100" t="s">
        <v>9363</v>
      </c>
      <c r="Z100" t="s">
        <v>9364</v>
      </c>
      <c r="AA100" t="s">
        <v>9365</v>
      </c>
      <c r="AB100" t="s">
        <v>9366</v>
      </c>
      <c r="AC100" t="s">
        <v>9367</v>
      </c>
      <c r="AD100" t="s">
        <v>9368</v>
      </c>
      <c r="AE100" t="s">
        <v>9369</v>
      </c>
      <c r="AF100" t="s">
        <v>9370</v>
      </c>
      <c r="AG100" t="s">
        <v>9371</v>
      </c>
      <c r="AH100" t="s">
        <v>9372</v>
      </c>
      <c r="AI100" t="s">
        <v>9373</v>
      </c>
      <c r="AJ100" t="s">
        <v>9374</v>
      </c>
      <c r="AK100" t="s">
        <v>9375</v>
      </c>
      <c r="AL100" t="s">
        <v>9376</v>
      </c>
      <c r="AM100" t="s">
        <v>9377</v>
      </c>
      <c r="AN100" t="s">
        <v>9378</v>
      </c>
      <c r="AO100" t="s">
        <v>9379</v>
      </c>
      <c r="AP100" t="s">
        <v>9380</v>
      </c>
      <c r="AQ100" t="s">
        <v>9381</v>
      </c>
      <c r="AR100" t="s">
        <v>9382</v>
      </c>
      <c r="AS100" t="s">
        <v>9383</v>
      </c>
      <c r="AT100" t="s">
        <v>9384</v>
      </c>
      <c r="AU100" t="s">
        <v>9385</v>
      </c>
      <c r="AV100" t="s">
        <v>9386</v>
      </c>
      <c r="AW100" t="s">
        <v>9387</v>
      </c>
      <c r="AX100" t="s">
        <v>9388</v>
      </c>
      <c r="AY100" t="s">
        <v>9389</v>
      </c>
      <c r="AZ100" t="s">
        <v>9390</v>
      </c>
      <c r="BA100" t="s">
        <v>9391</v>
      </c>
      <c r="BB100" t="s">
        <v>9392</v>
      </c>
      <c r="BC100" t="s">
        <v>9393</v>
      </c>
      <c r="BD100" t="s">
        <v>9394</v>
      </c>
      <c r="BE100" t="s">
        <v>9395</v>
      </c>
      <c r="BF100" t="s">
        <v>9396</v>
      </c>
      <c r="BG100" t="s">
        <v>9397</v>
      </c>
      <c r="BH100" t="s">
        <v>9398</v>
      </c>
      <c r="BI100" t="s">
        <v>9399</v>
      </c>
      <c r="BJ100" t="s">
        <v>9400</v>
      </c>
      <c r="BK100" t="s">
        <v>9401</v>
      </c>
      <c r="BL100" t="s">
        <v>9402</v>
      </c>
      <c r="BM100" t="s">
        <v>9403</v>
      </c>
      <c r="BN100" t="s">
        <v>9404</v>
      </c>
      <c r="BO100" t="s">
        <v>9405</v>
      </c>
      <c r="BP100" t="s">
        <v>9406</v>
      </c>
      <c r="BR100" t="s">
        <v>274</v>
      </c>
    </row>
    <row r="101" spans="1:70" x14ac:dyDescent="0.3">
      <c r="A101" t="s">
        <v>1975</v>
      </c>
      <c r="B101" t="s">
        <v>1976</v>
      </c>
      <c r="C101" t="s">
        <v>4632</v>
      </c>
      <c r="D101" t="s">
        <v>4633</v>
      </c>
      <c r="F101" t="s">
        <v>274</v>
      </c>
      <c r="G101" t="s">
        <v>274</v>
      </c>
      <c r="H101" t="s">
        <v>274</v>
      </c>
      <c r="I101" t="s">
        <v>274</v>
      </c>
      <c r="J101" t="s">
        <v>274</v>
      </c>
      <c r="K101" t="s">
        <v>9407</v>
      </c>
      <c r="L101" t="s">
        <v>9408</v>
      </c>
      <c r="M101" t="s">
        <v>8542</v>
      </c>
      <c r="N101" t="s">
        <v>9409</v>
      </c>
      <c r="O101" t="s">
        <v>8319</v>
      </c>
      <c r="P101" t="s">
        <v>9410</v>
      </c>
      <c r="Q101" t="s">
        <v>8321</v>
      </c>
      <c r="R101" t="s">
        <v>9411</v>
      </c>
      <c r="S101" t="s">
        <v>9412</v>
      </c>
      <c r="T101" t="s">
        <v>8093</v>
      </c>
      <c r="U101" t="s">
        <v>9413</v>
      </c>
      <c r="V101" t="s">
        <v>9414</v>
      </c>
      <c r="W101" t="s">
        <v>9415</v>
      </c>
      <c r="X101" t="s">
        <v>9416</v>
      </c>
      <c r="Y101" t="s">
        <v>7242</v>
      </c>
      <c r="Z101" t="s">
        <v>9417</v>
      </c>
      <c r="AA101" t="s">
        <v>6486</v>
      </c>
      <c r="AB101" t="s">
        <v>9418</v>
      </c>
      <c r="AC101" t="s">
        <v>9419</v>
      </c>
      <c r="AD101" t="s">
        <v>9420</v>
      </c>
      <c r="AE101" t="s">
        <v>7369</v>
      </c>
      <c r="AF101" t="s">
        <v>9421</v>
      </c>
      <c r="AG101" t="s">
        <v>9422</v>
      </c>
      <c r="AH101" t="s">
        <v>9423</v>
      </c>
      <c r="AI101" t="s">
        <v>4637</v>
      </c>
      <c r="AJ101" t="s">
        <v>9424</v>
      </c>
      <c r="AK101" t="s">
        <v>9425</v>
      </c>
      <c r="AL101" t="s">
        <v>9426</v>
      </c>
      <c r="AM101" t="s">
        <v>9427</v>
      </c>
      <c r="AN101" t="s">
        <v>9428</v>
      </c>
      <c r="AO101" t="s">
        <v>9429</v>
      </c>
      <c r="AP101" t="s">
        <v>9430</v>
      </c>
      <c r="AQ101" t="s">
        <v>9431</v>
      </c>
      <c r="AR101" t="s">
        <v>7382</v>
      </c>
      <c r="AS101" t="s">
        <v>9432</v>
      </c>
      <c r="AT101" t="s">
        <v>9433</v>
      </c>
      <c r="AU101" t="s">
        <v>7418</v>
      </c>
      <c r="AV101" t="s">
        <v>6031</v>
      </c>
      <c r="AW101" t="s">
        <v>4938</v>
      </c>
      <c r="AX101" t="s">
        <v>8763</v>
      </c>
      <c r="AY101" t="s">
        <v>8349</v>
      </c>
      <c r="AZ101" t="s">
        <v>9434</v>
      </c>
      <c r="BA101" t="s">
        <v>9435</v>
      </c>
      <c r="BB101" t="s">
        <v>9436</v>
      </c>
      <c r="BC101" t="s">
        <v>9437</v>
      </c>
      <c r="BD101" t="s">
        <v>9438</v>
      </c>
      <c r="BE101" t="s">
        <v>5344</v>
      </c>
      <c r="BF101" t="s">
        <v>7331</v>
      </c>
      <c r="BG101" t="s">
        <v>9439</v>
      </c>
      <c r="BH101" t="s">
        <v>9440</v>
      </c>
      <c r="BI101" t="s">
        <v>9441</v>
      </c>
      <c r="BJ101" t="s">
        <v>7352</v>
      </c>
      <c r="BK101" t="s">
        <v>9442</v>
      </c>
      <c r="BL101" t="s">
        <v>9443</v>
      </c>
      <c r="BM101" t="s">
        <v>9444</v>
      </c>
      <c r="BN101" t="s">
        <v>9445</v>
      </c>
      <c r="BO101" t="s">
        <v>9446</v>
      </c>
      <c r="BP101" t="s">
        <v>9447</v>
      </c>
      <c r="BR101" t="s">
        <v>274</v>
      </c>
    </row>
    <row r="102" spans="1:70" x14ac:dyDescent="0.3">
      <c r="A102" t="s">
        <v>1977</v>
      </c>
      <c r="B102" t="s">
        <v>1978</v>
      </c>
      <c r="C102" t="s">
        <v>4632</v>
      </c>
      <c r="D102" t="s">
        <v>4633</v>
      </c>
      <c r="F102" t="s">
        <v>274</v>
      </c>
      <c r="G102" t="s">
        <v>9448</v>
      </c>
      <c r="H102" t="s">
        <v>9449</v>
      </c>
      <c r="I102" t="s">
        <v>9450</v>
      </c>
      <c r="J102" t="s">
        <v>9451</v>
      </c>
      <c r="K102" t="s">
        <v>9452</v>
      </c>
      <c r="L102" t="s">
        <v>9453</v>
      </c>
      <c r="M102" t="s">
        <v>9454</v>
      </c>
      <c r="N102" t="s">
        <v>9455</v>
      </c>
      <c r="O102" t="s">
        <v>9456</v>
      </c>
      <c r="P102" t="s">
        <v>9457</v>
      </c>
      <c r="Q102" t="s">
        <v>9458</v>
      </c>
      <c r="R102" t="s">
        <v>9459</v>
      </c>
      <c r="S102" t="s">
        <v>9460</v>
      </c>
      <c r="T102" t="s">
        <v>9461</v>
      </c>
      <c r="U102" t="s">
        <v>9462</v>
      </c>
      <c r="V102" t="s">
        <v>9463</v>
      </c>
      <c r="W102" t="s">
        <v>9464</v>
      </c>
      <c r="X102" t="s">
        <v>9465</v>
      </c>
      <c r="Y102" t="s">
        <v>9466</v>
      </c>
      <c r="Z102" t="s">
        <v>9417</v>
      </c>
      <c r="AA102" t="s">
        <v>9467</v>
      </c>
      <c r="AB102" t="s">
        <v>9468</v>
      </c>
      <c r="AC102" t="s">
        <v>9469</v>
      </c>
      <c r="AD102" t="s">
        <v>9470</v>
      </c>
      <c r="AE102" t="s">
        <v>9471</v>
      </c>
      <c r="AF102" t="s">
        <v>9472</v>
      </c>
      <c r="AG102" t="s">
        <v>9473</v>
      </c>
      <c r="AH102" t="s">
        <v>9474</v>
      </c>
      <c r="AI102" t="s">
        <v>9475</v>
      </c>
      <c r="AJ102" t="s">
        <v>9476</v>
      </c>
      <c r="AK102" t="s">
        <v>9477</v>
      </c>
      <c r="AL102" t="s">
        <v>9478</v>
      </c>
      <c r="AM102" t="s">
        <v>9479</v>
      </c>
      <c r="AN102" t="s">
        <v>9480</v>
      </c>
      <c r="AO102" t="s">
        <v>9481</v>
      </c>
      <c r="AP102" t="s">
        <v>9482</v>
      </c>
      <c r="AQ102" t="s">
        <v>9483</v>
      </c>
      <c r="AR102" t="s">
        <v>9484</v>
      </c>
      <c r="AS102" t="s">
        <v>9485</v>
      </c>
      <c r="AT102" t="s">
        <v>9486</v>
      </c>
      <c r="AU102" t="s">
        <v>9487</v>
      </c>
      <c r="AV102" t="s">
        <v>9488</v>
      </c>
      <c r="AW102" t="s">
        <v>9489</v>
      </c>
      <c r="AX102" t="s">
        <v>9490</v>
      </c>
      <c r="AY102" t="s">
        <v>9491</v>
      </c>
      <c r="AZ102" t="s">
        <v>9492</v>
      </c>
      <c r="BA102" t="s">
        <v>9493</v>
      </c>
      <c r="BB102" t="s">
        <v>9494</v>
      </c>
      <c r="BC102" t="s">
        <v>9495</v>
      </c>
      <c r="BD102" t="s">
        <v>9496</v>
      </c>
      <c r="BE102" t="s">
        <v>9497</v>
      </c>
      <c r="BF102" t="s">
        <v>9498</v>
      </c>
      <c r="BG102" t="s">
        <v>9499</v>
      </c>
      <c r="BH102" t="s">
        <v>9500</v>
      </c>
      <c r="BI102" t="s">
        <v>9501</v>
      </c>
      <c r="BJ102" t="s">
        <v>9502</v>
      </c>
      <c r="BK102" t="s">
        <v>9503</v>
      </c>
      <c r="BL102" t="s">
        <v>9504</v>
      </c>
      <c r="BM102" t="s">
        <v>9505</v>
      </c>
      <c r="BN102" t="s">
        <v>9506</v>
      </c>
      <c r="BO102" t="s">
        <v>9507</v>
      </c>
      <c r="BP102" t="s">
        <v>9508</v>
      </c>
      <c r="BR102" t="s">
        <v>274</v>
      </c>
    </row>
    <row r="103" spans="1:70" x14ac:dyDescent="0.3">
      <c r="A103" t="s">
        <v>96</v>
      </c>
      <c r="B103" t="s">
        <v>1993</v>
      </c>
      <c r="C103" t="s">
        <v>4632</v>
      </c>
      <c r="D103" t="s">
        <v>4633</v>
      </c>
      <c r="F103" t="s">
        <v>9509</v>
      </c>
      <c r="G103" t="s">
        <v>9510</v>
      </c>
      <c r="H103" t="s">
        <v>9511</v>
      </c>
      <c r="I103" t="s">
        <v>9512</v>
      </c>
      <c r="J103" t="s">
        <v>9513</v>
      </c>
      <c r="K103" t="s">
        <v>9514</v>
      </c>
      <c r="L103" t="s">
        <v>9515</v>
      </c>
      <c r="M103" t="s">
        <v>9516</v>
      </c>
      <c r="N103" t="s">
        <v>9517</v>
      </c>
      <c r="O103" t="s">
        <v>9518</v>
      </c>
      <c r="P103" t="s">
        <v>9519</v>
      </c>
      <c r="Q103" t="s">
        <v>9520</v>
      </c>
      <c r="R103" t="s">
        <v>9521</v>
      </c>
      <c r="S103" t="s">
        <v>9522</v>
      </c>
      <c r="T103" t="s">
        <v>9523</v>
      </c>
      <c r="U103" t="s">
        <v>9524</v>
      </c>
      <c r="V103" t="s">
        <v>9525</v>
      </c>
      <c r="W103" t="s">
        <v>9526</v>
      </c>
      <c r="X103" t="s">
        <v>9527</v>
      </c>
      <c r="Y103" t="s">
        <v>9528</v>
      </c>
      <c r="Z103" t="s">
        <v>9529</v>
      </c>
      <c r="AA103" t="s">
        <v>9530</v>
      </c>
      <c r="AB103" t="s">
        <v>9531</v>
      </c>
      <c r="AC103" t="s">
        <v>9532</v>
      </c>
      <c r="AD103" t="s">
        <v>9533</v>
      </c>
      <c r="AE103" t="s">
        <v>9534</v>
      </c>
      <c r="AF103" t="s">
        <v>9535</v>
      </c>
      <c r="AG103" t="s">
        <v>9536</v>
      </c>
      <c r="AH103" t="s">
        <v>9537</v>
      </c>
      <c r="AI103" t="s">
        <v>9538</v>
      </c>
      <c r="AJ103" t="s">
        <v>9539</v>
      </c>
      <c r="AK103" t="s">
        <v>9540</v>
      </c>
      <c r="AL103" t="s">
        <v>9541</v>
      </c>
      <c r="AM103" t="s">
        <v>9542</v>
      </c>
      <c r="AN103" t="s">
        <v>9543</v>
      </c>
      <c r="AO103" t="s">
        <v>9544</v>
      </c>
      <c r="AP103" t="s">
        <v>9545</v>
      </c>
      <c r="AQ103" t="s">
        <v>9546</v>
      </c>
      <c r="AR103" t="s">
        <v>9547</v>
      </c>
      <c r="AS103" t="s">
        <v>9548</v>
      </c>
      <c r="AT103" t="s">
        <v>9549</v>
      </c>
      <c r="AU103" t="s">
        <v>9550</v>
      </c>
      <c r="AV103" t="s">
        <v>7828</v>
      </c>
      <c r="AW103" t="s">
        <v>9551</v>
      </c>
      <c r="AX103" t="s">
        <v>9552</v>
      </c>
      <c r="AY103" t="s">
        <v>9553</v>
      </c>
      <c r="AZ103" t="s">
        <v>9554</v>
      </c>
      <c r="BA103" t="s">
        <v>9555</v>
      </c>
      <c r="BB103" t="s">
        <v>9556</v>
      </c>
      <c r="BC103" t="s">
        <v>9557</v>
      </c>
      <c r="BD103" t="s">
        <v>9558</v>
      </c>
      <c r="BE103" t="s">
        <v>9559</v>
      </c>
      <c r="BF103" t="s">
        <v>9560</v>
      </c>
      <c r="BG103" t="s">
        <v>9561</v>
      </c>
      <c r="BH103" t="s">
        <v>9562</v>
      </c>
      <c r="BI103" t="s">
        <v>9563</v>
      </c>
      <c r="BJ103" t="s">
        <v>9564</v>
      </c>
      <c r="BK103" t="s">
        <v>9565</v>
      </c>
      <c r="BL103" t="s">
        <v>9566</v>
      </c>
      <c r="BM103" t="s">
        <v>9567</v>
      </c>
      <c r="BN103" t="s">
        <v>9568</v>
      </c>
      <c r="BO103" t="s">
        <v>9569</v>
      </c>
      <c r="BP103" t="s">
        <v>9570</v>
      </c>
      <c r="BR103" t="s">
        <v>274</v>
      </c>
    </row>
    <row r="104" spans="1:70" x14ac:dyDescent="0.3">
      <c r="A104" t="s">
        <v>2032</v>
      </c>
      <c r="B104" t="s">
        <v>2033</v>
      </c>
      <c r="C104" t="s">
        <v>4632</v>
      </c>
      <c r="D104" t="s">
        <v>4633</v>
      </c>
      <c r="F104" t="s">
        <v>9571</v>
      </c>
      <c r="G104" t="s">
        <v>9572</v>
      </c>
      <c r="H104" t="s">
        <v>9573</v>
      </c>
      <c r="I104" t="s">
        <v>9574</v>
      </c>
      <c r="J104" t="s">
        <v>9575</v>
      </c>
      <c r="K104" t="s">
        <v>9576</v>
      </c>
      <c r="L104" t="s">
        <v>9577</v>
      </c>
      <c r="M104" t="s">
        <v>9578</v>
      </c>
      <c r="N104" t="s">
        <v>9579</v>
      </c>
      <c r="O104" t="s">
        <v>9580</v>
      </c>
      <c r="P104" t="s">
        <v>9581</v>
      </c>
      <c r="Q104" t="s">
        <v>9017</v>
      </c>
      <c r="R104" t="s">
        <v>8908</v>
      </c>
      <c r="S104" t="s">
        <v>9522</v>
      </c>
      <c r="T104" t="s">
        <v>6963</v>
      </c>
      <c r="U104" t="s">
        <v>6964</v>
      </c>
      <c r="V104" t="s">
        <v>6418</v>
      </c>
      <c r="W104" t="s">
        <v>9582</v>
      </c>
      <c r="X104" t="s">
        <v>8268</v>
      </c>
      <c r="Y104" t="s">
        <v>9583</v>
      </c>
      <c r="Z104" t="s">
        <v>9584</v>
      </c>
      <c r="AA104" t="s">
        <v>9585</v>
      </c>
      <c r="AB104" t="s">
        <v>9586</v>
      </c>
      <c r="AC104" t="s">
        <v>9587</v>
      </c>
      <c r="AD104" t="s">
        <v>9588</v>
      </c>
      <c r="AE104" t="s">
        <v>9589</v>
      </c>
      <c r="AF104" t="s">
        <v>9590</v>
      </c>
      <c r="AG104" t="s">
        <v>9591</v>
      </c>
      <c r="AH104" t="s">
        <v>9592</v>
      </c>
      <c r="AI104" t="s">
        <v>9593</v>
      </c>
      <c r="AJ104" t="s">
        <v>9594</v>
      </c>
      <c r="AK104" t="s">
        <v>8874</v>
      </c>
      <c r="AL104" t="s">
        <v>9595</v>
      </c>
      <c r="AM104" t="s">
        <v>9596</v>
      </c>
      <c r="AN104" t="s">
        <v>9597</v>
      </c>
      <c r="AO104" t="s">
        <v>9598</v>
      </c>
      <c r="AP104" t="s">
        <v>9599</v>
      </c>
      <c r="AQ104" t="s">
        <v>9600</v>
      </c>
      <c r="AR104" t="s">
        <v>9601</v>
      </c>
      <c r="AS104" t="s">
        <v>9602</v>
      </c>
      <c r="AT104" t="s">
        <v>9603</v>
      </c>
      <c r="AU104" t="s">
        <v>5555</v>
      </c>
      <c r="AV104" t="s">
        <v>9604</v>
      </c>
      <c r="AW104" t="s">
        <v>9605</v>
      </c>
      <c r="AX104" t="s">
        <v>9606</v>
      </c>
      <c r="AY104" t="s">
        <v>8402</v>
      </c>
      <c r="AZ104" t="s">
        <v>8153</v>
      </c>
      <c r="BA104" t="s">
        <v>9391</v>
      </c>
      <c r="BB104" t="s">
        <v>6871</v>
      </c>
      <c r="BC104" t="s">
        <v>9002</v>
      </c>
      <c r="BD104" t="s">
        <v>8946</v>
      </c>
      <c r="BE104" t="s">
        <v>5628</v>
      </c>
      <c r="BF104" t="s">
        <v>9607</v>
      </c>
      <c r="BG104" t="s">
        <v>6105</v>
      </c>
      <c r="BH104" t="s">
        <v>9398</v>
      </c>
      <c r="BI104" t="s">
        <v>9608</v>
      </c>
      <c r="BJ104" t="s">
        <v>9609</v>
      </c>
      <c r="BK104" t="s">
        <v>9610</v>
      </c>
      <c r="BL104" t="s">
        <v>9611</v>
      </c>
      <c r="BM104" t="s">
        <v>9567</v>
      </c>
      <c r="BN104" t="s">
        <v>9612</v>
      </c>
      <c r="BO104" t="s">
        <v>9613</v>
      </c>
      <c r="BP104" t="s">
        <v>6885</v>
      </c>
      <c r="BR104" t="s">
        <v>274</v>
      </c>
    </row>
    <row r="105" spans="1:70" x14ac:dyDescent="0.3">
      <c r="A105" t="s">
        <v>213</v>
      </c>
      <c r="B105" t="s">
        <v>2034</v>
      </c>
      <c r="C105" t="s">
        <v>4632</v>
      </c>
      <c r="D105" t="s">
        <v>4633</v>
      </c>
      <c r="F105" t="s">
        <v>274</v>
      </c>
      <c r="G105" t="s">
        <v>274</v>
      </c>
      <c r="H105" t="s">
        <v>274</v>
      </c>
      <c r="I105" t="s">
        <v>274</v>
      </c>
      <c r="J105" t="s">
        <v>274</v>
      </c>
      <c r="K105" t="s">
        <v>274</v>
      </c>
      <c r="L105" t="s">
        <v>274</v>
      </c>
      <c r="M105" t="s">
        <v>274</v>
      </c>
      <c r="N105" t="s">
        <v>274</v>
      </c>
      <c r="O105" t="s">
        <v>274</v>
      </c>
      <c r="P105" t="s">
        <v>274</v>
      </c>
      <c r="Q105" t="s">
        <v>274</v>
      </c>
      <c r="R105" t="s">
        <v>274</v>
      </c>
      <c r="S105" t="s">
        <v>274</v>
      </c>
      <c r="T105" t="s">
        <v>274</v>
      </c>
      <c r="U105" t="s">
        <v>274</v>
      </c>
      <c r="V105" t="s">
        <v>274</v>
      </c>
      <c r="W105" t="s">
        <v>274</v>
      </c>
      <c r="X105" t="s">
        <v>274</v>
      </c>
      <c r="Y105" t="s">
        <v>274</v>
      </c>
      <c r="Z105" t="s">
        <v>274</v>
      </c>
      <c r="AA105" t="s">
        <v>274</v>
      </c>
      <c r="AB105" t="s">
        <v>274</v>
      </c>
      <c r="AC105" t="s">
        <v>274</v>
      </c>
      <c r="AD105" t="s">
        <v>274</v>
      </c>
      <c r="AE105" t="s">
        <v>274</v>
      </c>
      <c r="AF105" t="s">
        <v>274</v>
      </c>
      <c r="AG105" t="s">
        <v>274</v>
      </c>
      <c r="AH105" t="s">
        <v>274</v>
      </c>
      <c r="AI105" t="s">
        <v>274</v>
      </c>
      <c r="AJ105" t="s">
        <v>6528</v>
      </c>
      <c r="AK105" t="s">
        <v>9614</v>
      </c>
      <c r="AL105" t="s">
        <v>9615</v>
      </c>
      <c r="AM105" t="s">
        <v>9616</v>
      </c>
      <c r="AN105" t="s">
        <v>9617</v>
      </c>
      <c r="AO105" t="s">
        <v>9618</v>
      </c>
      <c r="AP105" t="s">
        <v>9619</v>
      </c>
      <c r="AQ105" t="s">
        <v>6534</v>
      </c>
      <c r="AR105" t="s">
        <v>9620</v>
      </c>
      <c r="AS105" t="s">
        <v>9621</v>
      </c>
      <c r="AT105" t="s">
        <v>9622</v>
      </c>
      <c r="AU105" t="s">
        <v>9623</v>
      </c>
      <c r="AV105" t="s">
        <v>9624</v>
      </c>
      <c r="AW105" t="s">
        <v>9625</v>
      </c>
      <c r="AX105" t="s">
        <v>6540</v>
      </c>
      <c r="AY105" t="s">
        <v>6541</v>
      </c>
      <c r="AZ105" t="s">
        <v>9626</v>
      </c>
      <c r="BA105" t="s">
        <v>6543</v>
      </c>
      <c r="BB105" t="s">
        <v>9627</v>
      </c>
      <c r="BC105" t="s">
        <v>6545</v>
      </c>
      <c r="BD105" t="s">
        <v>8352</v>
      </c>
      <c r="BE105" t="s">
        <v>9628</v>
      </c>
      <c r="BF105" t="s">
        <v>9629</v>
      </c>
      <c r="BG105" t="s">
        <v>9630</v>
      </c>
      <c r="BH105" t="s">
        <v>9631</v>
      </c>
      <c r="BI105" t="s">
        <v>9632</v>
      </c>
      <c r="BJ105" t="s">
        <v>9633</v>
      </c>
      <c r="BK105" t="s">
        <v>9634</v>
      </c>
      <c r="BL105" t="s">
        <v>9635</v>
      </c>
      <c r="BM105" t="s">
        <v>9636</v>
      </c>
      <c r="BN105" t="s">
        <v>9637</v>
      </c>
      <c r="BO105" t="s">
        <v>9638</v>
      </c>
      <c r="BP105" t="s">
        <v>9639</v>
      </c>
      <c r="BR105" t="s">
        <v>274</v>
      </c>
    </row>
    <row r="106" spans="1:70" x14ac:dyDescent="0.3">
      <c r="A106" t="s">
        <v>97</v>
      </c>
      <c r="B106" t="s">
        <v>2057</v>
      </c>
      <c r="C106" t="s">
        <v>4632</v>
      </c>
      <c r="D106" t="s">
        <v>4633</v>
      </c>
      <c r="F106" t="s">
        <v>9640</v>
      </c>
      <c r="G106" t="s">
        <v>9641</v>
      </c>
      <c r="H106" t="s">
        <v>9642</v>
      </c>
      <c r="I106" t="s">
        <v>9643</v>
      </c>
      <c r="J106" t="s">
        <v>9644</v>
      </c>
      <c r="K106" t="s">
        <v>9645</v>
      </c>
      <c r="L106" t="s">
        <v>9646</v>
      </c>
      <c r="M106" t="s">
        <v>9647</v>
      </c>
      <c r="N106" t="s">
        <v>9648</v>
      </c>
      <c r="O106" t="s">
        <v>9649</v>
      </c>
      <c r="P106" t="s">
        <v>9650</v>
      </c>
      <c r="Q106" t="s">
        <v>9651</v>
      </c>
      <c r="R106" t="s">
        <v>9652</v>
      </c>
      <c r="S106" t="s">
        <v>9653</v>
      </c>
      <c r="T106" t="s">
        <v>9654</v>
      </c>
      <c r="U106" t="s">
        <v>9655</v>
      </c>
      <c r="V106" t="s">
        <v>9656</v>
      </c>
      <c r="W106" t="s">
        <v>9657</v>
      </c>
      <c r="X106" t="s">
        <v>9658</v>
      </c>
      <c r="Y106" t="s">
        <v>9659</v>
      </c>
      <c r="Z106" t="s">
        <v>8380</v>
      </c>
      <c r="AA106" t="s">
        <v>9660</v>
      </c>
      <c r="AB106" t="s">
        <v>9661</v>
      </c>
      <c r="AC106" t="s">
        <v>9662</v>
      </c>
      <c r="AD106" t="s">
        <v>9663</v>
      </c>
      <c r="AE106" t="s">
        <v>9664</v>
      </c>
      <c r="AF106" t="s">
        <v>9665</v>
      </c>
      <c r="AG106" t="s">
        <v>9666</v>
      </c>
      <c r="AH106" t="s">
        <v>9667</v>
      </c>
      <c r="AI106" t="s">
        <v>9668</v>
      </c>
      <c r="AJ106" t="s">
        <v>9669</v>
      </c>
      <c r="AK106" t="s">
        <v>9670</v>
      </c>
      <c r="AL106" t="s">
        <v>9671</v>
      </c>
      <c r="AM106" t="s">
        <v>9672</v>
      </c>
      <c r="AN106" t="s">
        <v>9673</v>
      </c>
      <c r="AO106" t="s">
        <v>9674</v>
      </c>
      <c r="AP106" t="s">
        <v>9675</v>
      </c>
      <c r="AQ106" t="s">
        <v>9676</v>
      </c>
      <c r="AR106" t="s">
        <v>7826</v>
      </c>
      <c r="AS106" t="s">
        <v>9677</v>
      </c>
      <c r="AT106" t="s">
        <v>9678</v>
      </c>
      <c r="AU106" t="s">
        <v>9679</v>
      </c>
      <c r="AV106" t="s">
        <v>9680</v>
      </c>
      <c r="AW106" t="s">
        <v>9681</v>
      </c>
      <c r="AX106" t="s">
        <v>8401</v>
      </c>
      <c r="AY106" t="s">
        <v>9682</v>
      </c>
      <c r="AZ106" t="s">
        <v>9683</v>
      </c>
      <c r="BA106" t="s">
        <v>9684</v>
      </c>
      <c r="BB106" t="s">
        <v>9685</v>
      </c>
      <c r="BC106" t="s">
        <v>9686</v>
      </c>
      <c r="BD106" t="s">
        <v>9687</v>
      </c>
      <c r="BE106" t="s">
        <v>9688</v>
      </c>
      <c r="BF106" t="s">
        <v>9689</v>
      </c>
      <c r="BG106" t="s">
        <v>9690</v>
      </c>
      <c r="BH106" t="s">
        <v>9691</v>
      </c>
      <c r="BI106" t="s">
        <v>9692</v>
      </c>
      <c r="BJ106" t="s">
        <v>9693</v>
      </c>
      <c r="BK106" t="s">
        <v>9694</v>
      </c>
      <c r="BL106" t="s">
        <v>9695</v>
      </c>
      <c r="BM106" t="s">
        <v>9696</v>
      </c>
      <c r="BN106" t="s">
        <v>9697</v>
      </c>
      <c r="BO106" t="s">
        <v>9698</v>
      </c>
      <c r="BP106" t="s">
        <v>9699</v>
      </c>
      <c r="BR106" t="s">
        <v>274</v>
      </c>
    </row>
    <row r="107" spans="1:70" x14ac:dyDescent="0.3">
      <c r="A107" t="s">
        <v>38</v>
      </c>
      <c r="B107" t="s">
        <v>2084</v>
      </c>
      <c r="C107" t="s">
        <v>4632</v>
      </c>
      <c r="D107" t="s">
        <v>4633</v>
      </c>
      <c r="F107" t="s">
        <v>9700</v>
      </c>
      <c r="G107" t="s">
        <v>9701</v>
      </c>
      <c r="H107" t="s">
        <v>9702</v>
      </c>
      <c r="I107" t="s">
        <v>9703</v>
      </c>
      <c r="J107" t="s">
        <v>9704</v>
      </c>
      <c r="K107" t="s">
        <v>9705</v>
      </c>
      <c r="L107" t="s">
        <v>9706</v>
      </c>
      <c r="M107" t="s">
        <v>9707</v>
      </c>
      <c r="N107" t="s">
        <v>9708</v>
      </c>
      <c r="O107" t="s">
        <v>9709</v>
      </c>
      <c r="P107" t="s">
        <v>9710</v>
      </c>
      <c r="Q107" t="s">
        <v>9711</v>
      </c>
      <c r="R107" t="s">
        <v>9712</v>
      </c>
      <c r="S107" t="s">
        <v>9713</v>
      </c>
      <c r="T107" t="s">
        <v>9714</v>
      </c>
      <c r="U107" t="s">
        <v>9715</v>
      </c>
      <c r="V107" t="s">
        <v>9716</v>
      </c>
      <c r="W107" t="s">
        <v>9717</v>
      </c>
      <c r="X107" t="s">
        <v>9718</v>
      </c>
      <c r="Y107" t="s">
        <v>9719</v>
      </c>
      <c r="Z107" t="s">
        <v>9720</v>
      </c>
      <c r="AA107" t="s">
        <v>9721</v>
      </c>
      <c r="AB107" t="s">
        <v>9722</v>
      </c>
      <c r="AC107" t="s">
        <v>9723</v>
      </c>
      <c r="AD107" t="s">
        <v>9724</v>
      </c>
      <c r="AE107" t="s">
        <v>9725</v>
      </c>
      <c r="AF107" t="s">
        <v>9726</v>
      </c>
      <c r="AG107" t="s">
        <v>9727</v>
      </c>
      <c r="AH107" t="s">
        <v>9728</v>
      </c>
      <c r="AI107" t="s">
        <v>9729</v>
      </c>
      <c r="AJ107" t="s">
        <v>9730</v>
      </c>
      <c r="AK107" t="s">
        <v>9731</v>
      </c>
      <c r="AL107" t="s">
        <v>9732</v>
      </c>
      <c r="AM107" t="s">
        <v>9733</v>
      </c>
      <c r="AN107" t="s">
        <v>9734</v>
      </c>
      <c r="AO107" t="s">
        <v>9735</v>
      </c>
      <c r="AP107" t="s">
        <v>9736</v>
      </c>
      <c r="AQ107" t="s">
        <v>9737</v>
      </c>
      <c r="AR107" t="s">
        <v>9738</v>
      </c>
      <c r="AS107" t="s">
        <v>9739</v>
      </c>
      <c r="AT107" t="s">
        <v>9740</v>
      </c>
      <c r="AU107" t="s">
        <v>9741</v>
      </c>
      <c r="AV107" t="s">
        <v>9742</v>
      </c>
      <c r="AW107" t="s">
        <v>9743</v>
      </c>
      <c r="AX107" t="s">
        <v>9744</v>
      </c>
      <c r="AY107" t="s">
        <v>9745</v>
      </c>
      <c r="AZ107" t="s">
        <v>6542</v>
      </c>
      <c r="BA107" t="s">
        <v>9746</v>
      </c>
      <c r="BB107" t="s">
        <v>9747</v>
      </c>
      <c r="BC107" t="s">
        <v>9748</v>
      </c>
      <c r="BD107" t="s">
        <v>9749</v>
      </c>
      <c r="BE107" t="s">
        <v>9750</v>
      </c>
      <c r="BF107" t="s">
        <v>9751</v>
      </c>
      <c r="BG107" t="s">
        <v>9752</v>
      </c>
      <c r="BH107" t="s">
        <v>9753</v>
      </c>
      <c r="BI107" t="s">
        <v>9754</v>
      </c>
      <c r="BJ107" t="s">
        <v>9755</v>
      </c>
      <c r="BK107" t="s">
        <v>9756</v>
      </c>
      <c r="BL107" t="s">
        <v>9757</v>
      </c>
      <c r="BM107" t="s">
        <v>9758</v>
      </c>
      <c r="BN107" t="s">
        <v>9759</v>
      </c>
      <c r="BO107" t="s">
        <v>9760</v>
      </c>
      <c r="BP107" t="s">
        <v>9761</v>
      </c>
      <c r="BR107" t="s">
        <v>274</v>
      </c>
    </row>
    <row r="108" spans="1:70" x14ac:dyDescent="0.3">
      <c r="A108" t="s">
        <v>2121</v>
      </c>
      <c r="B108" t="s">
        <v>2122</v>
      </c>
      <c r="C108" t="s">
        <v>4632</v>
      </c>
      <c r="D108" t="s">
        <v>4633</v>
      </c>
      <c r="F108" t="s">
        <v>9762</v>
      </c>
      <c r="G108" t="s">
        <v>9763</v>
      </c>
      <c r="H108" t="s">
        <v>9764</v>
      </c>
      <c r="I108" t="s">
        <v>9765</v>
      </c>
      <c r="J108" t="s">
        <v>9766</v>
      </c>
      <c r="K108" t="s">
        <v>9767</v>
      </c>
      <c r="L108" t="s">
        <v>8024</v>
      </c>
      <c r="M108" t="s">
        <v>9768</v>
      </c>
      <c r="N108" t="s">
        <v>9769</v>
      </c>
      <c r="O108" t="s">
        <v>9770</v>
      </c>
      <c r="P108" t="s">
        <v>9771</v>
      </c>
      <c r="Q108" t="s">
        <v>9772</v>
      </c>
      <c r="R108" t="s">
        <v>9773</v>
      </c>
      <c r="S108" t="s">
        <v>9774</v>
      </c>
      <c r="T108" t="s">
        <v>9775</v>
      </c>
      <c r="U108" t="s">
        <v>7695</v>
      </c>
      <c r="V108" t="s">
        <v>9776</v>
      </c>
      <c r="W108" t="s">
        <v>9777</v>
      </c>
      <c r="X108" t="s">
        <v>9778</v>
      </c>
      <c r="Y108" t="s">
        <v>9779</v>
      </c>
      <c r="Z108" t="s">
        <v>8677</v>
      </c>
      <c r="AA108" t="s">
        <v>9780</v>
      </c>
      <c r="AB108" t="s">
        <v>9781</v>
      </c>
      <c r="AC108" t="s">
        <v>9782</v>
      </c>
      <c r="AD108" t="s">
        <v>9783</v>
      </c>
      <c r="AE108" t="s">
        <v>9784</v>
      </c>
      <c r="AF108" t="s">
        <v>9785</v>
      </c>
      <c r="AG108" t="s">
        <v>7707</v>
      </c>
      <c r="AH108" t="s">
        <v>9786</v>
      </c>
      <c r="AI108" t="s">
        <v>9787</v>
      </c>
      <c r="AJ108" t="s">
        <v>9788</v>
      </c>
      <c r="AK108" t="s">
        <v>8049</v>
      </c>
      <c r="AL108" t="s">
        <v>9296</v>
      </c>
      <c r="AM108" t="s">
        <v>9789</v>
      </c>
      <c r="AN108" t="s">
        <v>6086</v>
      </c>
      <c r="AO108" t="s">
        <v>9790</v>
      </c>
      <c r="AP108" t="s">
        <v>9791</v>
      </c>
      <c r="AQ108" t="s">
        <v>9792</v>
      </c>
      <c r="AR108" t="s">
        <v>9793</v>
      </c>
      <c r="AS108" t="s">
        <v>5722</v>
      </c>
      <c r="AT108" t="s">
        <v>8822</v>
      </c>
      <c r="AU108" t="s">
        <v>9794</v>
      </c>
      <c r="AV108" t="s">
        <v>9795</v>
      </c>
      <c r="AW108" t="s">
        <v>8700</v>
      </c>
      <c r="AX108" t="s">
        <v>6222</v>
      </c>
      <c r="AY108" t="s">
        <v>8825</v>
      </c>
      <c r="AZ108" t="s">
        <v>9309</v>
      </c>
      <c r="BA108" t="s">
        <v>8827</v>
      </c>
      <c r="BB108" t="s">
        <v>9796</v>
      </c>
      <c r="BC108" t="s">
        <v>7833</v>
      </c>
      <c r="BD108" t="s">
        <v>8007</v>
      </c>
      <c r="BE108" t="s">
        <v>7211</v>
      </c>
      <c r="BF108" t="s">
        <v>4851</v>
      </c>
      <c r="BG108" t="s">
        <v>9316</v>
      </c>
      <c r="BH108" t="s">
        <v>9797</v>
      </c>
      <c r="BI108" t="s">
        <v>9798</v>
      </c>
      <c r="BJ108" t="s">
        <v>9799</v>
      </c>
      <c r="BK108" t="s">
        <v>9800</v>
      </c>
      <c r="BL108" t="s">
        <v>9801</v>
      </c>
      <c r="BM108" t="s">
        <v>9802</v>
      </c>
      <c r="BN108" t="s">
        <v>9803</v>
      </c>
      <c r="BO108" t="s">
        <v>9804</v>
      </c>
      <c r="BP108" t="s">
        <v>9805</v>
      </c>
      <c r="BR108" t="s">
        <v>274</v>
      </c>
    </row>
    <row r="109" spans="1:70" x14ac:dyDescent="0.3">
      <c r="A109" t="s">
        <v>2123</v>
      </c>
      <c r="B109" t="s">
        <v>2124</v>
      </c>
      <c r="C109" t="s">
        <v>4632</v>
      </c>
      <c r="D109" t="s">
        <v>4633</v>
      </c>
      <c r="F109" t="s">
        <v>9806</v>
      </c>
      <c r="G109" t="s">
        <v>9807</v>
      </c>
      <c r="H109" t="s">
        <v>9808</v>
      </c>
      <c r="I109" t="s">
        <v>9809</v>
      </c>
      <c r="J109" t="s">
        <v>9810</v>
      </c>
      <c r="K109" t="s">
        <v>9811</v>
      </c>
      <c r="L109" t="s">
        <v>9812</v>
      </c>
      <c r="M109" t="s">
        <v>9813</v>
      </c>
      <c r="N109" t="s">
        <v>5522</v>
      </c>
      <c r="O109" t="s">
        <v>6061</v>
      </c>
      <c r="P109" t="s">
        <v>9814</v>
      </c>
      <c r="Q109" t="s">
        <v>9815</v>
      </c>
      <c r="R109" t="s">
        <v>9816</v>
      </c>
      <c r="S109" t="s">
        <v>9817</v>
      </c>
      <c r="T109" t="s">
        <v>9818</v>
      </c>
      <c r="U109" t="s">
        <v>9819</v>
      </c>
      <c r="V109" t="s">
        <v>9820</v>
      </c>
      <c r="W109" t="s">
        <v>9821</v>
      </c>
      <c r="X109" t="s">
        <v>9822</v>
      </c>
      <c r="Y109" t="s">
        <v>9823</v>
      </c>
      <c r="Z109" t="s">
        <v>7117</v>
      </c>
      <c r="AA109" t="s">
        <v>9824</v>
      </c>
      <c r="AB109" t="s">
        <v>9825</v>
      </c>
      <c r="AC109" t="s">
        <v>9826</v>
      </c>
      <c r="AD109" t="s">
        <v>5191</v>
      </c>
      <c r="AE109" t="s">
        <v>9827</v>
      </c>
      <c r="AF109" t="s">
        <v>7706</v>
      </c>
      <c r="AG109" t="s">
        <v>7707</v>
      </c>
      <c r="AH109" t="s">
        <v>9828</v>
      </c>
      <c r="AI109" t="s">
        <v>9829</v>
      </c>
      <c r="AJ109" t="s">
        <v>9669</v>
      </c>
      <c r="AK109" t="s">
        <v>9830</v>
      </c>
      <c r="AL109" t="s">
        <v>9831</v>
      </c>
      <c r="AM109" t="s">
        <v>9789</v>
      </c>
      <c r="AN109" t="s">
        <v>9832</v>
      </c>
      <c r="AO109" t="s">
        <v>9833</v>
      </c>
      <c r="AP109" t="s">
        <v>9834</v>
      </c>
      <c r="AQ109" t="s">
        <v>8819</v>
      </c>
      <c r="AR109" t="s">
        <v>9835</v>
      </c>
      <c r="AS109" t="s">
        <v>9302</v>
      </c>
      <c r="AT109" t="s">
        <v>9836</v>
      </c>
      <c r="AU109" t="s">
        <v>9837</v>
      </c>
      <c r="AV109" t="s">
        <v>9838</v>
      </c>
      <c r="AW109" t="s">
        <v>9839</v>
      </c>
      <c r="AX109" t="s">
        <v>9840</v>
      </c>
      <c r="AY109" t="s">
        <v>9841</v>
      </c>
      <c r="AZ109" t="s">
        <v>9842</v>
      </c>
      <c r="BA109" t="s">
        <v>9843</v>
      </c>
      <c r="BB109" t="s">
        <v>9844</v>
      </c>
      <c r="BC109" t="s">
        <v>9845</v>
      </c>
      <c r="BD109" t="s">
        <v>9846</v>
      </c>
      <c r="BE109" t="s">
        <v>9847</v>
      </c>
      <c r="BF109" t="s">
        <v>9848</v>
      </c>
      <c r="BG109" t="s">
        <v>9849</v>
      </c>
      <c r="BH109" t="s">
        <v>9850</v>
      </c>
      <c r="BI109" t="s">
        <v>9851</v>
      </c>
      <c r="BJ109" t="s">
        <v>9852</v>
      </c>
      <c r="BK109" t="s">
        <v>9853</v>
      </c>
      <c r="BL109" t="s">
        <v>9854</v>
      </c>
      <c r="BM109" t="s">
        <v>9855</v>
      </c>
      <c r="BN109" t="s">
        <v>9856</v>
      </c>
      <c r="BO109" t="s">
        <v>9857</v>
      </c>
      <c r="BP109" t="s">
        <v>9858</v>
      </c>
      <c r="BR109" t="s">
        <v>274</v>
      </c>
    </row>
    <row r="110" spans="1:70" x14ac:dyDescent="0.3">
      <c r="A110" t="s">
        <v>2125</v>
      </c>
      <c r="B110" t="s">
        <v>2126</v>
      </c>
      <c r="C110" t="s">
        <v>4632</v>
      </c>
      <c r="D110" t="s">
        <v>4633</v>
      </c>
      <c r="F110" t="s">
        <v>6761</v>
      </c>
      <c r="G110" t="s">
        <v>9859</v>
      </c>
      <c r="H110" t="s">
        <v>9860</v>
      </c>
      <c r="I110" t="s">
        <v>9861</v>
      </c>
      <c r="J110" t="s">
        <v>8364</v>
      </c>
      <c r="K110" t="s">
        <v>9862</v>
      </c>
      <c r="L110" t="s">
        <v>9863</v>
      </c>
      <c r="M110" t="s">
        <v>9578</v>
      </c>
      <c r="N110" t="s">
        <v>9864</v>
      </c>
      <c r="O110" t="s">
        <v>9865</v>
      </c>
      <c r="P110" t="s">
        <v>6833</v>
      </c>
      <c r="Q110" t="s">
        <v>8371</v>
      </c>
      <c r="R110" t="s">
        <v>9866</v>
      </c>
      <c r="S110" t="s">
        <v>9867</v>
      </c>
      <c r="T110" t="s">
        <v>7805</v>
      </c>
      <c r="U110" t="s">
        <v>9868</v>
      </c>
      <c r="V110" t="s">
        <v>4687</v>
      </c>
      <c r="W110" t="s">
        <v>9869</v>
      </c>
      <c r="X110" t="s">
        <v>9870</v>
      </c>
      <c r="Y110" t="s">
        <v>6299</v>
      </c>
      <c r="Z110" t="s">
        <v>9871</v>
      </c>
      <c r="AA110" t="s">
        <v>6781</v>
      </c>
      <c r="AB110" t="s">
        <v>9872</v>
      </c>
      <c r="AC110" t="s">
        <v>9873</v>
      </c>
      <c r="AD110" t="s">
        <v>9874</v>
      </c>
      <c r="AE110" t="s">
        <v>9875</v>
      </c>
      <c r="AF110" t="s">
        <v>9876</v>
      </c>
      <c r="AG110" t="s">
        <v>9877</v>
      </c>
      <c r="AH110" t="s">
        <v>9878</v>
      </c>
      <c r="AI110" t="s">
        <v>9879</v>
      </c>
      <c r="AJ110" t="s">
        <v>9880</v>
      </c>
      <c r="AK110" t="s">
        <v>6311</v>
      </c>
      <c r="AL110" t="s">
        <v>9881</v>
      </c>
      <c r="AM110" t="s">
        <v>9882</v>
      </c>
      <c r="AN110" t="s">
        <v>9883</v>
      </c>
      <c r="AO110" t="s">
        <v>9884</v>
      </c>
      <c r="AP110" t="s">
        <v>9885</v>
      </c>
      <c r="AQ110" t="s">
        <v>9886</v>
      </c>
      <c r="AR110" t="s">
        <v>9887</v>
      </c>
      <c r="AS110" t="s">
        <v>9888</v>
      </c>
      <c r="AT110" t="s">
        <v>9889</v>
      </c>
      <c r="AU110" t="s">
        <v>9890</v>
      </c>
      <c r="AV110" t="s">
        <v>9891</v>
      </c>
      <c r="AW110" t="s">
        <v>9892</v>
      </c>
      <c r="AX110" t="s">
        <v>9552</v>
      </c>
      <c r="AY110" t="s">
        <v>9893</v>
      </c>
      <c r="AZ110" t="s">
        <v>8153</v>
      </c>
      <c r="BA110" t="s">
        <v>9894</v>
      </c>
      <c r="BB110" t="s">
        <v>9895</v>
      </c>
      <c r="BC110" t="s">
        <v>9002</v>
      </c>
      <c r="BD110" t="s">
        <v>8407</v>
      </c>
      <c r="BE110" t="s">
        <v>5628</v>
      </c>
      <c r="BF110" t="s">
        <v>9896</v>
      </c>
      <c r="BG110" t="s">
        <v>9897</v>
      </c>
      <c r="BH110" t="s">
        <v>9898</v>
      </c>
      <c r="BI110" t="s">
        <v>9899</v>
      </c>
      <c r="BJ110" t="s">
        <v>9900</v>
      </c>
      <c r="BK110" t="s">
        <v>9901</v>
      </c>
      <c r="BL110" t="s">
        <v>9902</v>
      </c>
      <c r="BM110" t="s">
        <v>9903</v>
      </c>
      <c r="BN110" t="s">
        <v>9904</v>
      </c>
      <c r="BO110" t="s">
        <v>9905</v>
      </c>
      <c r="BP110" t="s">
        <v>6885</v>
      </c>
      <c r="BR110" t="s">
        <v>274</v>
      </c>
    </row>
    <row r="111" spans="1:70" x14ac:dyDescent="0.3">
      <c r="A111" t="s">
        <v>2127</v>
      </c>
      <c r="B111" t="s">
        <v>2128</v>
      </c>
      <c r="C111" t="s">
        <v>4632</v>
      </c>
      <c r="D111" t="s">
        <v>4633</v>
      </c>
      <c r="F111" t="s">
        <v>9906</v>
      </c>
      <c r="G111" t="s">
        <v>5927</v>
      </c>
      <c r="H111" t="s">
        <v>6825</v>
      </c>
      <c r="I111" t="s">
        <v>8482</v>
      </c>
      <c r="J111" t="s">
        <v>9907</v>
      </c>
      <c r="K111" t="s">
        <v>9908</v>
      </c>
      <c r="L111" t="s">
        <v>9909</v>
      </c>
      <c r="M111" t="s">
        <v>5933</v>
      </c>
      <c r="N111" t="s">
        <v>6957</v>
      </c>
      <c r="O111" t="s">
        <v>9910</v>
      </c>
      <c r="P111" t="s">
        <v>9911</v>
      </c>
      <c r="Q111" t="s">
        <v>9912</v>
      </c>
      <c r="R111" t="s">
        <v>9913</v>
      </c>
      <c r="S111" t="s">
        <v>9914</v>
      </c>
      <c r="T111" t="s">
        <v>4685</v>
      </c>
      <c r="U111" t="s">
        <v>9915</v>
      </c>
      <c r="V111" t="s">
        <v>9916</v>
      </c>
      <c r="W111" t="s">
        <v>9917</v>
      </c>
      <c r="X111" t="s">
        <v>9918</v>
      </c>
      <c r="Y111" t="s">
        <v>9919</v>
      </c>
      <c r="Z111" t="s">
        <v>9920</v>
      </c>
      <c r="AA111" t="s">
        <v>9921</v>
      </c>
      <c r="AB111" t="s">
        <v>9922</v>
      </c>
      <c r="AC111" t="s">
        <v>9923</v>
      </c>
      <c r="AD111" t="s">
        <v>9924</v>
      </c>
      <c r="AE111" t="s">
        <v>9925</v>
      </c>
      <c r="AF111" t="s">
        <v>9926</v>
      </c>
      <c r="AG111" t="s">
        <v>9927</v>
      </c>
      <c r="AH111" t="s">
        <v>9928</v>
      </c>
      <c r="AI111" t="s">
        <v>9929</v>
      </c>
      <c r="AJ111" t="s">
        <v>9930</v>
      </c>
      <c r="AK111" t="s">
        <v>9931</v>
      </c>
      <c r="AL111" t="s">
        <v>9932</v>
      </c>
      <c r="AM111" t="s">
        <v>9933</v>
      </c>
      <c r="AN111" t="s">
        <v>9934</v>
      </c>
      <c r="AO111" t="s">
        <v>9935</v>
      </c>
      <c r="AP111" t="s">
        <v>9936</v>
      </c>
      <c r="AQ111" t="s">
        <v>9937</v>
      </c>
      <c r="AR111" t="s">
        <v>9938</v>
      </c>
      <c r="AS111" t="s">
        <v>9939</v>
      </c>
      <c r="AT111" t="s">
        <v>9940</v>
      </c>
      <c r="AU111" t="s">
        <v>9941</v>
      </c>
      <c r="AV111" t="s">
        <v>9942</v>
      </c>
      <c r="AW111" t="s">
        <v>9943</v>
      </c>
      <c r="AX111" t="s">
        <v>9944</v>
      </c>
      <c r="AY111" t="s">
        <v>9945</v>
      </c>
      <c r="AZ111" t="s">
        <v>9946</v>
      </c>
      <c r="BA111" t="s">
        <v>9947</v>
      </c>
      <c r="BB111" t="s">
        <v>9948</v>
      </c>
      <c r="BC111" t="s">
        <v>9949</v>
      </c>
      <c r="BD111" t="s">
        <v>9950</v>
      </c>
      <c r="BE111" t="s">
        <v>9951</v>
      </c>
      <c r="BF111" t="s">
        <v>9952</v>
      </c>
      <c r="BG111" t="s">
        <v>9953</v>
      </c>
      <c r="BH111" t="s">
        <v>9954</v>
      </c>
      <c r="BI111" t="s">
        <v>9955</v>
      </c>
      <c r="BJ111" t="s">
        <v>9956</v>
      </c>
      <c r="BK111" t="s">
        <v>9957</v>
      </c>
      <c r="BL111" t="s">
        <v>9958</v>
      </c>
      <c r="BM111" t="s">
        <v>9959</v>
      </c>
      <c r="BN111" t="s">
        <v>9960</v>
      </c>
      <c r="BO111" t="s">
        <v>9961</v>
      </c>
      <c r="BP111" t="s">
        <v>9962</v>
      </c>
      <c r="BR111" t="s">
        <v>274</v>
      </c>
    </row>
    <row r="112" spans="1:70" x14ac:dyDescent="0.3">
      <c r="A112" t="s">
        <v>98</v>
      </c>
      <c r="B112" t="s">
        <v>2129</v>
      </c>
      <c r="C112" t="s">
        <v>4632</v>
      </c>
      <c r="D112" t="s">
        <v>4633</v>
      </c>
      <c r="F112" t="s">
        <v>9963</v>
      </c>
      <c r="G112" t="s">
        <v>9964</v>
      </c>
      <c r="H112" t="s">
        <v>9965</v>
      </c>
      <c r="I112" t="s">
        <v>9966</v>
      </c>
      <c r="J112" t="s">
        <v>9967</v>
      </c>
      <c r="K112" t="s">
        <v>9968</v>
      </c>
      <c r="L112" t="s">
        <v>9969</v>
      </c>
      <c r="M112" t="s">
        <v>9970</v>
      </c>
      <c r="N112" t="s">
        <v>9971</v>
      </c>
      <c r="O112" t="s">
        <v>9972</v>
      </c>
      <c r="P112" t="s">
        <v>9973</v>
      </c>
      <c r="Q112" t="s">
        <v>9974</v>
      </c>
      <c r="R112" t="s">
        <v>9975</v>
      </c>
      <c r="S112" t="s">
        <v>9976</v>
      </c>
      <c r="T112" t="s">
        <v>9977</v>
      </c>
      <c r="U112" t="s">
        <v>9978</v>
      </c>
      <c r="V112" t="s">
        <v>9979</v>
      </c>
      <c r="W112" t="s">
        <v>9980</v>
      </c>
      <c r="X112" t="s">
        <v>9981</v>
      </c>
      <c r="Y112" t="s">
        <v>9982</v>
      </c>
      <c r="Z112" t="s">
        <v>9983</v>
      </c>
      <c r="AA112" t="s">
        <v>9984</v>
      </c>
      <c r="AB112" t="s">
        <v>9985</v>
      </c>
      <c r="AC112" t="s">
        <v>9986</v>
      </c>
      <c r="AD112" t="s">
        <v>9987</v>
      </c>
      <c r="AE112" t="s">
        <v>9988</v>
      </c>
      <c r="AF112" t="s">
        <v>9989</v>
      </c>
      <c r="AG112" t="s">
        <v>9990</v>
      </c>
      <c r="AH112" t="s">
        <v>9991</v>
      </c>
      <c r="AI112" t="s">
        <v>9992</v>
      </c>
      <c r="AJ112" t="s">
        <v>9993</v>
      </c>
      <c r="AK112" t="s">
        <v>9994</v>
      </c>
      <c r="AL112" t="s">
        <v>9995</v>
      </c>
      <c r="AM112" t="s">
        <v>9996</v>
      </c>
      <c r="AN112" t="s">
        <v>9997</v>
      </c>
      <c r="AO112" t="s">
        <v>9998</v>
      </c>
      <c r="AP112" t="s">
        <v>9999</v>
      </c>
      <c r="AQ112" t="s">
        <v>10000</v>
      </c>
      <c r="AR112" t="s">
        <v>10001</v>
      </c>
      <c r="AS112" t="s">
        <v>10002</v>
      </c>
      <c r="AT112" t="s">
        <v>10003</v>
      </c>
      <c r="AU112" t="s">
        <v>10004</v>
      </c>
      <c r="AV112" t="s">
        <v>7772</v>
      </c>
      <c r="AW112" t="s">
        <v>10005</v>
      </c>
      <c r="AX112" t="s">
        <v>10006</v>
      </c>
      <c r="AY112" t="s">
        <v>10007</v>
      </c>
      <c r="AZ112" t="s">
        <v>10008</v>
      </c>
      <c r="BA112" t="s">
        <v>10009</v>
      </c>
      <c r="BB112" t="s">
        <v>10010</v>
      </c>
      <c r="BC112" t="s">
        <v>10011</v>
      </c>
      <c r="BD112" t="s">
        <v>10012</v>
      </c>
      <c r="BE112" t="s">
        <v>10013</v>
      </c>
      <c r="BF112" t="s">
        <v>10014</v>
      </c>
      <c r="BG112" t="s">
        <v>10015</v>
      </c>
      <c r="BH112" t="s">
        <v>10016</v>
      </c>
      <c r="BI112" t="s">
        <v>10017</v>
      </c>
      <c r="BJ112" t="s">
        <v>10018</v>
      </c>
      <c r="BK112" t="s">
        <v>7839</v>
      </c>
      <c r="BL112" t="s">
        <v>10019</v>
      </c>
      <c r="BM112" t="s">
        <v>10020</v>
      </c>
      <c r="BN112" t="s">
        <v>7842</v>
      </c>
      <c r="BO112" t="s">
        <v>10021</v>
      </c>
      <c r="BP112" t="s">
        <v>10022</v>
      </c>
      <c r="BR112" t="s">
        <v>274</v>
      </c>
    </row>
    <row r="113" spans="1:70" x14ac:dyDescent="0.3">
      <c r="A113" t="s">
        <v>2169</v>
      </c>
      <c r="B113" t="s">
        <v>2170</v>
      </c>
      <c r="C113" t="s">
        <v>4632</v>
      </c>
      <c r="D113" t="s">
        <v>4633</v>
      </c>
      <c r="F113" t="s">
        <v>274</v>
      </c>
      <c r="G113" t="s">
        <v>10023</v>
      </c>
      <c r="H113" t="s">
        <v>10024</v>
      </c>
      <c r="I113" t="s">
        <v>6764</v>
      </c>
      <c r="J113" t="s">
        <v>8254</v>
      </c>
      <c r="K113" t="s">
        <v>10025</v>
      </c>
      <c r="L113" t="s">
        <v>10026</v>
      </c>
      <c r="M113" t="s">
        <v>8367</v>
      </c>
      <c r="N113" t="s">
        <v>10027</v>
      </c>
      <c r="O113" t="s">
        <v>9353</v>
      </c>
      <c r="P113" t="s">
        <v>10028</v>
      </c>
      <c r="Q113" t="s">
        <v>10029</v>
      </c>
      <c r="R113" t="s">
        <v>10030</v>
      </c>
      <c r="S113" t="s">
        <v>10031</v>
      </c>
      <c r="T113" t="s">
        <v>10032</v>
      </c>
      <c r="U113" t="s">
        <v>10033</v>
      </c>
      <c r="V113" t="s">
        <v>10034</v>
      </c>
      <c r="W113" t="s">
        <v>10035</v>
      </c>
      <c r="X113" t="s">
        <v>10036</v>
      </c>
      <c r="Y113" t="s">
        <v>6299</v>
      </c>
      <c r="Z113" t="s">
        <v>10037</v>
      </c>
      <c r="AA113" t="s">
        <v>5598</v>
      </c>
      <c r="AB113" t="s">
        <v>10038</v>
      </c>
      <c r="AC113" t="s">
        <v>10039</v>
      </c>
      <c r="AD113" t="s">
        <v>10040</v>
      </c>
      <c r="AE113" t="s">
        <v>10041</v>
      </c>
      <c r="AF113" t="s">
        <v>10042</v>
      </c>
      <c r="AG113" t="s">
        <v>7815</v>
      </c>
      <c r="AH113" t="s">
        <v>5668</v>
      </c>
      <c r="AI113" t="s">
        <v>10043</v>
      </c>
      <c r="AJ113" t="s">
        <v>10044</v>
      </c>
      <c r="AK113" t="s">
        <v>8874</v>
      </c>
      <c r="AL113" t="s">
        <v>10045</v>
      </c>
      <c r="AM113" t="s">
        <v>10046</v>
      </c>
      <c r="AN113" t="s">
        <v>10047</v>
      </c>
      <c r="AO113" t="s">
        <v>10048</v>
      </c>
      <c r="AP113" t="s">
        <v>10049</v>
      </c>
      <c r="AQ113" t="s">
        <v>10050</v>
      </c>
      <c r="AR113" t="s">
        <v>10051</v>
      </c>
      <c r="AS113" t="s">
        <v>10052</v>
      </c>
      <c r="AT113" t="s">
        <v>8397</v>
      </c>
      <c r="AU113" t="s">
        <v>7096</v>
      </c>
      <c r="AV113" t="s">
        <v>7828</v>
      </c>
      <c r="AW113" t="s">
        <v>10053</v>
      </c>
      <c r="AX113" t="s">
        <v>9388</v>
      </c>
      <c r="AY113" t="s">
        <v>8402</v>
      </c>
      <c r="AZ113" t="s">
        <v>10054</v>
      </c>
      <c r="BA113" t="s">
        <v>10055</v>
      </c>
      <c r="BB113" t="s">
        <v>10056</v>
      </c>
      <c r="BC113" t="s">
        <v>7778</v>
      </c>
      <c r="BD113" t="s">
        <v>8407</v>
      </c>
      <c r="BE113" t="s">
        <v>8408</v>
      </c>
      <c r="BF113" t="s">
        <v>10057</v>
      </c>
      <c r="BG113" t="s">
        <v>10058</v>
      </c>
      <c r="BH113" t="s">
        <v>10059</v>
      </c>
      <c r="BI113" t="s">
        <v>10060</v>
      </c>
      <c r="BJ113" t="s">
        <v>10061</v>
      </c>
      <c r="BK113" t="s">
        <v>10062</v>
      </c>
      <c r="BL113" t="s">
        <v>10063</v>
      </c>
      <c r="BM113" t="s">
        <v>10064</v>
      </c>
      <c r="BN113" t="s">
        <v>9904</v>
      </c>
      <c r="BO113" t="s">
        <v>9905</v>
      </c>
      <c r="BP113" t="s">
        <v>9068</v>
      </c>
      <c r="BR113" t="s">
        <v>274</v>
      </c>
    </row>
    <row r="114" spans="1:70" x14ac:dyDescent="0.3">
      <c r="A114" t="s">
        <v>2171</v>
      </c>
      <c r="B114" t="s">
        <v>2172</v>
      </c>
      <c r="C114" t="s">
        <v>4632</v>
      </c>
      <c r="D114" t="s">
        <v>4633</v>
      </c>
      <c r="F114" t="s">
        <v>274</v>
      </c>
      <c r="G114" t="s">
        <v>274</v>
      </c>
      <c r="H114" t="s">
        <v>274</v>
      </c>
      <c r="I114" t="s">
        <v>274</v>
      </c>
      <c r="J114" t="s">
        <v>274</v>
      </c>
      <c r="K114" t="s">
        <v>274</v>
      </c>
      <c r="L114" t="s">
        <v>274</v>
      </c>
      <c r="M114" t="s">
        <v>274</v>
      </c>
      <c r="N114" t="s">
        <v>274</v>
      </c>
      <c r="O114" t="s">
        <v>274</v>
      </c>
      <c r="P114" t="s">
        <v>274</v>
      </c>
      <c r="Q114" t="s">
        <v>274</v>
      </c>
      <c r="R114" t="s">
        <v>274</v>
      </c>
      <c r="S114" t="s">
        <v>274</v>
      </c>
      <c r="T114" t="s">
        <v>274</v>
      </c>
      <c r="U114" t="s">
        <v>274</v>
      </c>
      <c r="V114" t="s">
        <v>274</v>
      </c>
      <c r="W114" t="s">
        <v>274</v>
      </c>
      <c r="X114" t="s">
        <v>274</v>
      </c>
      <c r="Y114" t="s">
        <v>274</v>
      </c>
      <c r="Z114" t="s">
        <v>274</v>
      </c>
      <c r="AA114" t="s">
        <v>274</v>
      </c>
      <c r="AB114" t="s">
        <v>274</v>
      </c>
      <c r="AC114" t="s">
        <v>274</v>
      </c>
      <c r="AD114" t="s">
        <v>7922</v>
      </c>
      <c r="AE114" t="s">
        <v>10065</v>
      </c>
      <c r="AF114" t="s">
        <v>10066</v>
      </c>
      <c r="AG114" t="s">
        <v>10067</v>
      </c>
      <c r="AH114" t="s">
        <v>10068</v>
      </c>
      <c r="AI114" t="s">
        <v>10069</v>
      </c>
      <c r="AJ114" t="s">
        <v>10070</v>
      </c>
      <c r="AK114" t="s">
        <v>10071</v>
      </c>
      <c r="AL114" t="s">
        <v>10072</v>
      </c>
      <c r="AM114" t="s">
        <v>10073</v>
      </c>
      <c r="AN114" t="s">
        <v>10074</v>
      </c>
      <c r="AO114" t="s">
        <v>10075</v>
      </c>
      <c r="AP114" t="s">
        <v>10076</v>
      </c>
      <c r="AQ114" t="s">
        <v>10077</v>
      </c>
      <c r="AR114" t="s">
        <v>10078</v>
      </c>
      <c r="AS114" t="s">
        <v>10079</v>
      </c>
      <c r="AT114" t="s">
        <v>10080</v>
      </c>
      <c r="AU114" t="s">
        <v>10081</v>
      </c>
      <c r="AV114" t="s">
        <v>10082</v>
      </c>
      <c r="AW114" t="s">
        <v>10083</v>
      </c>
      <c r="AX114" t="s">
        <v>10084</v>
      </c>
      <c r="AY114" t="s">
        <v>10085</v>
      </c>
      <c r="AZ114" t="s">
        <v>10086</v>
      </c>
      <c r="BA114" t="s">
        <v>10087</v>
      </c>
      <c r="BB114" t="s">
        <v>10088</v>
      </c>
      <c r="BC114" t="s">
        <v>10089</v>
      </c>
      <c r="BD114" t="s">
        <v>10090</v>
      </c>
      <c r="BE114" t="s">
        <v>10091</v>
      </c>
      <c r="BF114" t="s">
        <v>10092</v>
      </c>
      <c r="BG114" t="s">
        <v>10093</v>
      </c>
      <c r="BH114" t="s">
        <v>10094</v>
      </c>
      <c r="BI114" t="s">
        <v>10095</v>
      </c>
      <c r="BJ114" t="s">
        <v>10096</v>
      </c>
      <c r="BK114" t="s">
        <v>10097</v>
      </c>
      <c r="BL114" t="s">
        <v>10098</v>
      </c>
      <c r="BM114" t="s">
        <v>10099</v>
      </c>
      <c r="BN114" t="s">
        <v>10100</v>
      </c>
      <c r="BO114" t="s">
        <v>274</v>
      </c>
      <c r="BP114" t="s">
        <v>274</v>
      </c>
      <c r="BR114" t="s">
        <v>274</v>
      </c>
    </row>
    <row r="115" spans="1:70" x14ac:dyDescent="0.3">
      <c r="A115" t="s">
        <v>99</v>
      </c>
      <c r="B115" t="s">
        <v>2173</v>
      </c>
      <c r="C115" t="s">
        <v>4632</v>
      </c>
      <c r="D115" t="s">
        <v>4633</v>
      </c>
      <c r="F115" t="s">
        <v>10101</v>
      </c>
      <c r="G115" t="s">
        <v>10102</v>
      </c>
      <c r="H115" t="s">
        <v>10103</v>
      </c>
      <c r="I115" t="s">
        <v>10104</v>
      </c>
      <c r="J115" t="s">
        <v>10105</v>
      </c>
      <c r="K115" t="s">
        <v>10106</v>
      </c>
      <c r="L115" t="s">
        <v>10107</v>
      </c>
      <c r="M115" t="s">
        <v>9813</v>
      </c>
      <c r="N115" t="s">
        <v>10108</v>
      </c>
      <c r="O115" t="s">
        <v>10109</v>
      </c>
      <c r="P115" t="s">
        <v>10110</v>
      </c>
      <c r="Q115" t="s">
        <v>10111</v>
      </c>
      <c r="R115" t="s">
        <v>10112</v>
      </c>
      <c r="S115" t="s">
        <v>10113</v>
      </c>
      <c r="T115" t="s">
        <v>10114</v>
      </c>
      <c r="U115" t="s">
        <v>10115</v>
      </c>
      <c r="V115" t="s">
        <v>10116</v>
      </c>
      <c r="W115" t="s">
        <v>10117</v>
      </c>
      <c r="X115" t="s">
        <v>10118</v>
      </c>
      <c r="Y115" t="s">
        <v>10119</v>
      </c>
      <c r="Z115" t="s">
        <v>10120</v>
      </c>
      <c r="AA115" t="s">
        <v>10121</v>
      </c>
      <c r="AB115" t="s">
        <v>10122</v>
      </c>
      <c r="AC115" t="s">
        <v>10123</v>
      </c>
      <c r="AD115" t="s">
        <v>10124</v>
      </c>
      <c r="AE115" t="s">
        <v>10125</v>
      </c>
      <c r="AF115" t="s">
        <v>9785</v>
      </c>
      <c r="AG115" t="s">
        <v>10126</v>
      </c>
      <c r="AH115" t="s">
        <v>10127</v>
      </c>
      <c r="AI115" t="s">
        <v>10128</v>
      </c>
      <c r="AJ115" t="s">
        <v>10129</v>
      </c>
      <c r="AK115" t="s">
        <v>10130</v>
      </c>
      <c r="AL115" t="s">
        <v>10131</v>
      </c>
      <c r="AM115" t="s">
        <v>10132</v>
      </c>
      <c r="AN115" t="s">
        <v>10133</v>
      </c>
      <c r="AO115" t="s">
        <v>10134</v>
      </c>
      <c r="AP115" t="s">
        <v>10135</v>
      </c>
      <c r="AQ115" t="s">
        <v>9792</v>
      </c>
      <c r="AR115" t="s">
        <v>10136</v>
      </c>
      <c r="AS115" t="s">
        <v>10137</v>
      </c>
      <c r="AT115" t="s">
        <v>10138</v>
      </c>
      <c r="AU115" t="s">
        <v>10139</v>
      </c>
      <c r="AV115" t="s">
        <v>10140</v>
      </c>
      <c r="AW115" t="s">
        <v>10141</v>
      </c>
      <c r="AX115" t="s">
        <v>10142</v>
      </c>
      <c r="AY115" t="s">
        <v>7831</v>
      </c>
      <c r="AZ115" t="s">
        <v>10143</v>
      </c>
      <c r="BA115" t="s">
        <v>10144</v>
      </c>
      <c r="BB115" t="s">
        <v>10145</v>
      </c>
      <c r="BC115" t="s">
        <v>10146</v>
      </c>
      <c r="BD115" t="s">
        <v>10147</v>
      </c>
      <c r="BE115" t="s">
        <v>10148</v>
      </c>
      <c r="BF115" t="s">
        <v>10149</v>
      </c>
      <c r="BG115" t="s">
        <v>10150</v>
      </c>
      <c r="BH115" t="s">
        <v>10151</v>
      </c>
      <c r="BI115" t="s">
        <v>10152</v>
      </c>
      <c r="BJ115" t="s">
        <v>10153</v>
      </c>
      <c r="BK115" t="s">
        <v>10154</v>
      </c>
      <c r="BL115" t="s">
        <v>10155</v>
      </c>
      <c r="BM115" t="s">
        <v>10156</v>
      </c>
      <c r="BN115" t="s">
        <v>10157</v>
      </c>
      <c r="BO115" t="s">
        <v>10158</v>
      </c>
      <c r="BP115" t="s">
        <v>10159</v>
      </c>
      <c r="BR115" t="s">
        <v>274</v>
      </c>
    </row>
    <row r="116" spans="1:70" x14ac:dyDescent="0.3">
      <c r="A116" t="s">
        <v>2197</v>
      </c>
      <c r="B116" t="s">
        <v>2198</v>
      </c>
      <c r="C116" t="s">
        <v>4632</v>
      </c>
      <c r="D116" t="s">
        <v>4633</v>
      </c>
      <c r="F116" t="s">
        <v>274</v>
      </c>
      <c r="G116" t="s">
        <v>274</v>
      </c>
      <c r="H116" t="s">
        <v>274</v>
      </c>
      <c r="I116" t="s">
        <v>274</v>
      </c>
      <c r="J116" t="s">
        <v>274</v>
      </c>
      <c r="K116" t="s">
        <v>274</v>
      </c>
      <c r="L116" t="s">
        <v>274</v>
      </c>
      <c r="M116" t="s">
        <v>274</v>
      </c>
      <c r="N116" t="s">
        <v>274</v>
      </c>
      <c r="O116" t="s">
        <v>274</v>
      </c>
      <c r="P116" t="s">
        <v>274</v>
      </c>
      <c r="Q116" t="s">
        <v>274</v>
      </c>
      <c r="R116" t="s">
        <v>274</v>
      </c>
      <c r="S116" t="s">
        <v>274</v>
      </c>
      <c r="T116" t="s">
        <v>274</v>
      </c>
      <c r="U116" t="s">
        <v>274</v>
      </c>
      <c r="V116" t="s">
        <v>274</v>
      </c>
      <c r="W116" t="s">
        <v>274</v>
      </c>
      <c r="X116" t="s">
        <v>274</v>
      </c>
      <c r="Y116" t="s">
        <v>274</v>
      </c>
      <c r="Z116" t="s">
        <v>274</v>
      </c>
      <c r="AA116" t="s">
        <v>274</v>
      </c>
      <c r="AB116" t="s">
        <v>274</v>
      </c>
      <c r="AC116" t="s">
        <v>274</v>
      </c>
      <c r="AD116" t="s">
        <v>274</v>
      </c>
      <c r="AE116" t="s">
        <v>274</v>
      </c>
      <c r="AF116" t="s">
        <v>274</v>
      </c>
      <c r="AG116" t="s">
        <v>274</v>
      </c>
      <c r="AH116" t="s">
        <v>274</v>
      </c>
      <c r="AI116" t="s">
        <v>274</v>
      </c>
      <c r="AJ116" t="s">
        <v>274</v>
      </c>
      <c r="AK116" t="s">
        <v>274</v>
      </c>
      <c r="AL116" t="s">
        <v>274</v>
      </c>
      <c r="AM116" t="s">
        <v>274</v>
      </c>
      <c r="AN116" t="s">
        <v>274</v>
      </c>
      <c r="AO116" t="s">
        <v>274</v>
      </c>
      <c r="AP116" t="s">
        <v>274</v>
      </c>
      <c r="AQ116" t="s">
        <v>274</v>
      </c>
      <c r="AR116" t="s">
        <v>274</v>
      </c>
      <c r="AS116" t="s">
        <v>274</v>
      </c>
      <c r="AT116" t="s">
        <v>274</v>
      </c>
      <c r="AU116" t="s">
        <v>274</v>
      </c>
      <c r="AV116" t="s">
        <v>274</v>
      </c>
      <c r="AW116" t="s">
        <v>274</v>
      </c>
      <c r="AX116" t="s">
        <v>274</v>
      </c>
      <c r="AY116" t="s">
        <v>274</v>
      </c>
      <c r="AZ116" t="s">
        <v>274</v>
      </c>
      <c r="BA116" t="s">
        <v>274</v>
      </c>
      <c r="BB116" t="s">
        <v>274</v>
      </c>
      <c r="BC116" t="s">
        <v>274</v>
      </c>
      <c r="BD116" t="s">
        <v>274</v>
      </c>
      <c r="BE116" t="s">
        <v>274</v>
      </c>
      <c r="BF116" t="s">
        <v>274</v>
      </c>
      <c r="BG116" t="s">
        <v>274</v>
      </c>
      <c r="BH116" t="s">
        <v>274</v>
      </c>
      <c r="BI116" t="s">
        <v>274</v>
      </c>
      <c r="BJ116" t="s">
        <v>274</v>
      </c>
      <c r="BK116" t="s">
        <v>274</v>
      </c>
      <c r="BL116" t="s">
        <v>274</v>
      </c>
      <c r="BM116" t="s">
        <v>274</v>
      </c>
      <c r="BN116" t="s">
        <v>274</v>
      </c>
      <c r="BO116" t="s">
        <v>274</v>
      </c>
      <c r="BP116" t="s">
        <v>274</v>
      </c>
      <c r="BR116" t="s">
        <v>274</v>
      </c>
    </row>
    <row r="117" spans="1:70" x14ac:dyDescent="0.3">
      <c r="A117" t="s">
        <v>100</v>
      </c>
      <c r="B117" t="s">
        <v>2199</v>
      </c>
      <c r="C117" t="s">
        <v>4632</v>
      </c>
      <c r="D117" t="s">
        <v>4633</v>
      </c>
      <c r="F117" t="s">
        <v>10160</v>
      </c>
      <c r="G117" t="s">
        <v>10161</v>
      </c>
      <c r="H117" t="s">
        <v>10162</v>
      </c>
      <c r="I117" t="s">
        <v>10163</v>
      </c>
      <c r="J117" t="s">
        <v>10164</v>
      </c>
      <c r="K117" t="s">
        <v>8316</v>
      </c>
      <c r="L117" t="s">
        <v>8317</v>
      </c>
      <c r="M117" t="s">
        <v>10165</v>
      </c>
      <c r="N117" t="s">
        <v>10166</v>
      </c>
      <c r="O117" t="s">
        <v>10167</v>
      </c>
      <c r="P117" t="s">
        <v>10168</v>
      </c>
      <c r="Q117" t="s">
        <v>10169</v>
      </c>
      <c r="R117" t="s">
        <v>10170</v>
      </c>
      <c r="S117" t="s">
        <v>10171</v>
      </c>
      <c r="T117" t="s">
        <v>10172</v>
      </c>
      <c r="U117" t="s">
        <v>10173</v>
      </c>
      <c r="V117" t="s">
        <v>10174</v>
      </c>
      <c r="W117" t="s">
        <v>10175</v>
      </c>
      <c r="X117" t="s">
        <v>10176</v>
      </c>
      <c r="Y117" t="s">
        <v>10177</v>
      </c>
      <c r="Z117" t="s">
        <v>10178</v>
      </c>
      <c r="AA117" t="s">
        <v>10179</v>
      </c>
      <c r="AB117" t="s">
        <v>10180</v>
      </c>
      <c r="AC117" t="s">
        <v>10181</v>
      </c>
      <c r="AD117" t="s">
        <v>10182</v>
      </c>
      <c r="AE117" t="s">
        <v>10183</v>
      </c>
      <c r="AF117" t="s">
        <v>10184</v>
      </c>
      <c r="AG117" t="s">
        <v>10185</v>
      </c>
      <c r="AH117" t="s">
        <v>10186</v>
      </c>
      <c r="AI117" t="s">
        <v>10187</v>
      </c>
      <c r="AJ117" t="s">
        <v>10188</v>
      </c>
      <c r="AK117" t="s">
        <v>10189</v>
      </c>
      <c r="AL117" t="s">
        <v>10190</v>
      </c>
      <c r="AM117" t="s">
        <v>10191</v>
      </c>
      <c r="AN117" t="s">
        <v>10192</v>
      </c>
      <c r="AO117" t="s">
        <v>10193</v>
      </c>
      <c r="AP117" t="s">
        <v>10194</v>
      </c>
      <c r="AQ117" t="s">
        <v>10195</v>
      </c>
      <c r="AR117" t="s">
        <v>10196</v>
      </c>
      <c r="AS117" t="s">
        <v>10197</v>
      </c>
      <c r="AT117" t="s">
        <v>10198</v>
      </c>
      <c r="AU117" t="s">
        <v>10199</v>
      </c>
      <c r="AV117" t="s">
        <v>10200</v>
      </c>
      <c r="AW117" t="s">
        <v>10201</v>
      </c>
      <c r="AX117" t="s">
        <v>10202</v>
      </c>
      <c r="AY117" t="s">
        <v>10203</v>
      </c>
      <c r="AZ117" t="s">
        <v>10204</v>
      </c>
      <c r="BA117" t="s">
        <v>10205</v>
      </c>
      <c r="BB117" t="s">
        <v>10206</v>
      </c>
      <c r="BC117" t="s">
        <v>10207</v>
      </c>
      <c r="BD117" t="s">
        <v>10208</v>
      </c>
      <c r="BE117" t="s">
        <v>10209</v>
      </c>
      <c r="BF117" t="s">
        <v>10210</v>
      </c>
      <c r="BG117" t="s">
        <v>10211</v>
      </c>
      <c r="BH117" t="s">
        <v>10212</v>
      </c>
      <c r="BI117" t="s">
        <v>10213</v>
      </c>
      <c r="BJ117" t="s">
        <v>8357</v>
      </c>
      <c r="BK117" t="s">
        <v>10214</v>
      </c>
      <c r="BL117" t="s">
        <v>10215</v>
      </c>
      <c r="BM117" t="s">
        <v>10216</v>
      </c>
      <c r="BN117" t="s">
        <v>10217</v>
      </c>
      <c r="BO117" t="s">
        <v>10218</v>
      </c>
      <c r="BP117" t="s">
        <v>10219</v>
      </c>
      <c r="BR117" t="s">
        <v>274</v>
      </c>
    </row>
    <row r="118" spans="1:70" x14ac:dyDescent="0.3">
      <c r="A118" t="s">
        <v>101</v>
      </c>
      <c r="B118" t="s">
        <v>2200</v>
      </c>
      <c r="C118" t="s">
        <v>4632</v>
      </c>
      <c r="D118" t="s">
        <v>4633</v>
      </c>
      <c r="F118" t="s">
        <v>10220</v>
      </c>
      <c r="G118" t="s">
        <v>10221</v>
      </c>
      <c r="H118" t="s">
        <v>10222</v>
      </c>
      <c r="I118" t="s">
        <v>10223</v>
      </c>
      <c r="J118" t="s">
        <v>10224</v>
      </c>
      <c r="K118" t="s">
        <v>10225</v>
      </c>
      <c r="L118" t="s">
        <v>10226</v>
      </c>
      <c r="M118" t="s">
        <v>10227</v>
      </c>
      <c r="N118" t="s">
        <v>10228</v>
      </c>
      <c r="O118" t="s">
        <v>10229</v>
      </c>
      <c r="P118" t="s">
        <v>10230</v>
      </c>
      <c r="Q118" t="s">
        <v>10231</v>
      </c>
      <c r="R118" t="s">
        <v>10232</v>
      </c>
      <c r="S118" t="s">
        <v>10233</v>
      </c>
      <c r="T118" t="s">
        <v>10234</v>
      </c>
      <c r="U118" t="s">
        <v>10235</v>
      </c>
      <c r="V118" t="s">
        <v>10236</v>
      </c>
      <c r="W118" t="s">
        <v>10237</v>
      </c>
      <c r="X118" t="s">
        <v>10238</v>
      </c>
      <c r="Y118" t="s">
        <v>10239</v>
      </c>
      <c r="Z118" t="s">
        <v>10240</v>
      </c>
      <c r="AA118" t="s">
        <v>10241</v>
      </c>
      <c r="AB118" t="s">
        <v>10242</v>
      </c>
      <c r="AC118" t="s">
        <v>10243</v>
      </c>
      <c r="AD118" t="s">
        <v>10244</v>
      </c>
      <c r="AE118" t="s">
        <v>10245</v>
      </c>
      <c r="AF118" t="s">
        <v>10246</v>
      </c>
      <c r="AG118" t="s">
        <v>10247</v>
      </c>
      <c r="AH118" t="s">
        <v>10248</v>
      </c>
      <c r="AI118" t="s">
        <v>10249</v>
      </c>
      <c r="AJ118" t="s">
        <v>9788</v>
      </c>
      <c r="AK118" t="s">
        <v>10250</v>
      </c>
      <c r="AL118" t="s">
        <v>10251</v>
      </c>
      <c r="AM118" t="s">
        <v>10252</v>
      </c>
      <c r="AN118" t="s">
        <v>10253</v>
      </c>
      <c r="AO118" t="s">
        <v>10254</v>
      </c>
      <c r="AP118" t="s">
        <v>10255</v>
      </c>
      <c r="AQ118" t="s">
        <v>10256</v>
      </c>
      <c r="AR118" t="s">
        <v>10257</v>
      </c>
      <c r="AS118" t="s">
        <v>10258</v>
      </c>
      <c r="AT118" t="s">
        <v>10259</v>
      </c>
      <c r="AU118" t="s">
        <v>10260</v>
      </c>
      <c r="AV118" t="s">
        <v>10261</v>
      </c>
      <c r="AW118" t="s">
        <v>10262</v>
      </c>
      <c r="AX118" t="s">
        <v>10263</v>
      </c>
      <c r="AY118" t="s">
        <v>10264</v>
      </c>
      <c r="AZ118" t="s">
        <v>10265</v>
      </c>
      <c r="BA118" t="s">
        <v>10266</v>
      </c>
      <c r="BB118" t="s">
        <v>10267</v>
      </c>
      <c r="BC118" t="s">
        <v>10268</v>
      </c>
      <c r="BD118" t="s">
        <v>10269</v>
      </c>
      <c r="BE118" t="s">
        <v>10270</v>
      </c>
      <c r="BF118" t="s">
        <v>10271</v>
      </c>
      <c r="BG118" t="s">
        <v>10272</v>
      </c>
      <c r="BH118" t="s">
        <v>10273</v>
      </c>
      <c r="BI118" t="s">
        <v>10274</v>
      </c>
      <c r="BJ118" t="s">
        <v>10275</v>
      </c>
      <c r="BK118" t="s">
        <v>10276</v>
      </c>
      <c r="BL118" t="s">
        <v>10277</v>
      </c>
      <c r="BM118" t="s">
        <v>10278</v>
      </c>
      <c r="BN118" t="s">
        <v>10279</v>
      </c>
      <c r="BO118" t="s">
        <v>10280</v>
      </c>
      <c r="BP118" t="s">
        <v>10281</v>
      </c>
      <c r="BR118" t="s">
        <v>274</v>
      </c>
    </row>
    <row r="119" spans="1:70" x14ac:dyDescent="0.3">
      <c r="A119" t="s">
        <v>244</v>
      </c>
      <c r="B119" t="s">
        <v>2203</v>
      </c>
      <c r="C119" t="s">
        <v>4632</v>
      </c>
      <c r="D119" t="s">
        <v>4633</v>
      </c>
      <c r="F119" t="s">
        <v>10282</v>
      </c>
      <c r="G119" t="s">
        <v>4958</v>
      </c>
      <c r="H119" t="s">
        <v>10283</v>
      </c>
      <c r="I119" t="s">
        <v>10284</v>
      </c>
      <c r="J119" t="s">
        <v>10285</v>
      </c>
      <c r="K119" t="s">
        <v>10286</v>
      </c>
      <c r="L119" t="s">
        <v>10287</v>
      </c>
      <c r="M119" t="s">
        <v>10288</v>
      </c>
      <c r="N119" t="s">
        <v>10289</v>
      </c>
      <c r="O119" t="s">
        <v>9770</v>
      </c>
      <c r="P119" t="s">
        <v>10290</v>
      </c>
      <c r="Q119" t="s">
        <v>10291</v>
      </c>
      <c r="R119" t="s">
        <v>10292</v>
      </c>
      <c r="S119" t="s">
        <v>10293</v>
      </c>
      <c r="T119" t="s">
        <v>10294</v>
      </c>
      <c r="U119" t="s">
        <v>10295</v>
      </c>
      <c r="V119" t="s">
        <v>10296</v>
      </c>
      <c r="W119" t="s">
        <v>10297</v>
      </c>
      <c r="X119" t="s">
        <v>10298</v>
      </c>
      <c r="Y119" t="s">
        <v>10299</v>
      </c>
      <c r="Z119" t="s">
        <v>10300</v>
      </c>
      <c r="AA119" t="s">
        <v>10301</v>
      </c>
      <c r="AB119" t="s">
        <v>10302</v>
      </c>
      <c r="AC119" t="s">
        <v>10303</v>
      </c>
      <c r="AD119" t="s">
        <v>10304</v>
      </c>
      <c r="AE119" t="s">
        <v>10305</v>
      </c>
      <c r="AF119" t="s">
        <v>10306</v>
      </c>
      <c r="AG119" t="s">
        <v>10307</v>
      </c>
      <c r="AH119" t="s">
        <v>10308</v>
      </c>
      <c r="AI119" t="s">
        <v>10309</v>
      </c>
      <c r="AJ119" t="s">
        <v>10310</v>
      </c>
      <c r="AK119" t="s">
        <v>10311</v>
      </c>
      <c r="AL119" t="s">
        <v>10312</v>
      </c>
      <c r="AM119" t="s">
        <v>10313</v>
      </c>
      <c r="AN119" t="s">
        <v>10314</v>
      </c>
      <c r="AO119" t="s">
        <v>10315</v>
      </c>
      <c r="AP119" t="s">
        <v>10316</v>
      </c>
      <c r="AQ119" t="s">
        <v>10317</v>
      </c>
      <c r="AR119" t="s">
        <v>10318</v>
      </c>
      <c r="AS119" t="s">
        <v>10319</v>
      </c>
      <c r="AT119" t="s">
        <v>10320</v>
      </c>
      <c r="AU119" t="s">
        <v>10321</v>
      </c>
      <c r="AV119" t="s">
        <v>10322</v>
      </c>
      <c r="AW119" t="s">
        <v>10323</v>
      </c>
      <c r="AX119" t="s">
        <v>10324</v>
      </c>
      <c r="AY119" t="s">
        <v>10325</v>
      </c>
      <c r="AZ119" t="s">
        <v>10326</v>
      </c>
      <c r="BA119" t="s">
        <v>10327</v>
      </c>
      <c r="BB119" t="s">
        <v>10328</v>
      </c>
      <c r="BC119" t="s">
        <v>10329</v>
      </c>
      <c r="BD119" t="s">
        <v>10330</v>
      </c>
      <c r="BE119" t="s">
        <v>10331</v>
      </c>
      <c r="BF119" t="s">
        <v>10332</v>
      </c>
      <c r="BG119" t="s">
        <v>10333</v>
      </c>
      <c r="BH119" t="s">
        <v>10334</v>
      </c>
      <c r="BI119" t="s">
        <v>10335</v>
      </c>
      <c r="BJ119" t="s">
        <v>10336</v>
      </c>
      <c r="BK119" t="s">
        <v>10337</v>
      </c>
      <c r="BL119" t="s">
        <v>10338</v>
      </c>
      <c r="BM119" t="s">
        <v>10339</v>
      </c>
      <c r="BN119" t="s">
        <v>10340</v>
      </c>
      <c r="BO119" t="s">
        <v>10341</v>
      </c>
      <c r="BP119" t="s">
        <v>10342</v>
      </c>
      <c r="BR119" t="s">
        <v>274</v>
      </c>
    </row>
    <row r="120" spans="1:70" x14ac:dyDescent="0.3">
      <c r="A120" t="s">
        <v>102</v>
      </c>
      <c r="B120" t="s">
        <v>2214</v>
      </c>
      <c r="C120" t="s">
        <v>4632</v>
      </c>
      <c r="D120" t="s">
        <v>4633</v>
      </c>
      <c r="F120" t="s">
        <v>10343</v>
      </c>
      <c r="G120" t="s">
        <v>10344</v>
      </c>
      <c r="H120" t="s">
        <v>10345</v>
      </c>
      <c r="I120" t="s">
        <v>10346</v>
      </c>
      <c r="J120" t="s">
        <v>10347</v>
      </c>
      <c r="K120" t="s">
        <v>10348</v>
      </c>
      <c r="L120" t="s">
        <v>10349</v>
      </c>
      <c r="M120" t="s">
        <v>10350</v>
      </c>
      <c r="N120" t="s">
        <v>10351</v>
      </c>
      <c r="O120" t="s">
        <v>10352</v>
      </c>
      <c r="P120" t="s">
        <v>10353</v>
      </c>
      <c r="Q120" t="s">
        <v>10354</v>
      </c>
      <c r="R120" t="s">
        <v>10355</v>
      </c>
      <c r="S120" t="s">
        <v>10356</v>
      </c>
      <c r="T120" t="s">
        <v>10357</v>
      </c>
      <c r="U120" t="s">
        <v>10358</v>
      </c>
      <c r="V120" t="s">
        <v>10359</v>
      </c>
      <c r="W120" t="s">
        <v>10360</v>
      </c>
      <c r="X120" t="s">
        <v>10361</v>
      </c>
      <c r="Y120" t="s">
        <v>10362</v>
      </c>
      <c r="Z120" t="s">
        <v>10363</v>
      </c>
      <c r="AA120" t="s">
        <v>10364</v>
      </c>
      <c r="AB120" t="s">
        <v>10365</v>
      </c>
      <c r="AC120" t="s">
        <v>10366</v>
      </c>
      <c r="AD120" t="s">
        <v>10367</v>
      </c>
      <c r="AE120" t="s">
        <v>10368</v>
      </c>
      <c r="AF120" t="s">
        <v>10369</v>
      </c>
      <c r="AG120" t="s">
        <v>10370</v>
      </c>
      <c r="AH120" t="s">
        <v>10371</v>
      </c>
      <c r="AI120" t="s">
        <v>10372</v>
      </c>
      <c r="AJ120" t="s">
        <v>10373</v>
      </c>
      <c r="AK120" t="s">
        <v>10374</v>
      </c>
      <c r="AL120" t="s">
        <v>10375</v>
      </c>
      <c r="AM120" t="s">
        <v>10376</v>
      </c>
      <c r="AN120" t="s">
        <v>10377</v>
      </c>
      <c r="AO120" t="s">
        <v>10378</v>
      </c>
      <c r="AP120" t="s">
        <v>10379</v>
      </c>
      <c r="AQ120" t="s">
        <v>10380</v>
      </c>
      <c r="AR120" t="s">
        <v>10381</v>
      </c>
      <c r="AS120" t="s">
        <v>10382</v>
      </c>
      <c r="AT120" t="s">
        <v>10383</v>
      </c>
      <c r="AU120" t="s">
        <v>10384</v>
      </c>
      <c r="AV120" t="s">
        <v>10385</v>
      </c>
      <c r="AW120" t="s">
        <v>10386</v>
      </c>
      <c r="AX120" t="s">
        <v>10387</v>
      </c>
      <c r="AY120" t="s">
        <v>10388</v>
      </c>
      <c r="AZ120" t="s">
        <v>10389</v>
      </c>
      <c r="BA120" t="s">
        <v>10390</v>
      </c>
      <c r="BB120" t="s">
        <v>10391</v>
      </c>
      <c r="BC120" t="s">
        <v>10392</v>
      </c>
      <c r="BD120" t="s">
        <v>10393</v>
      </c>
      <c r="BE120" t="s">
        <v>10394</v>
      </c>
      <c r="BF120" t="s">
        <v>10395</v>
      </c>
      <c r="BG120" t="s">
        <v>10396</v>
      </c>
      <c r="BH120" t="s">
        <v>10397</v>
      </c>
      <c r="BI120" t="s">
        <v>10398</v>
      </c>
      <c r="BJ120" t="s">
        <v>10399</v>
      </c>
      <c r="BK120" t="s">
        <v>10400</v>
      </c>
      <c r="BL120" t="s">
        <v>10401</v>
      </c>
      <c r="BM120" t="s">
        <v>10402</v>
      </c>
      <c r="BN120" t="s">
        <v>10403</v>
      </c>
      <c r="BO120" t="s">
        <v>10404</v>
      </c>
      <c r="BP120" t="s">
        <v>10405</v>
      </c>
      <c r="BR120" t="s">
        <v>274</v>
      </c>
    </row>
    <row r="121" spans="1:70" x14ac:dyDescent="0.3">
      <c r="A121" t="s">
        <v>103</v>
      </c>
      <c r="B121" t="s">
        <v>2257</v>
      </c>
      <c r="C121" t="s">
        <v>4632</v>
      </c>
      <c r="D121" t="s">
        <v>4633</v>
      </c>
      <c r="F121" t="s">
        <v>10406</v>
      </c>
      <c r="G121" t="s">
        <v>10407</v>
      </c>
      <c r="H121" t="s">
        <v>10408</v>
      </c>
      <c r="I121" t="s">
        <v>10409</v>
      </c>
      <c r="J121" t="s">
        <v>10410</v>
      </c>
      <c r="K121" t="s">
        <v>10411</v>
      </c>
      <c r="L121" t="s">
        <v>10412</v>
      </c>
      <c r="M121" t="s">
        <v>10413</v>
      </c>
      <c r="N121" t="s">
        <v>10414</v>
      </c>
      <c r="O121" t="s">
        <v>10415</v>
      </c>
      <c r="P121" t="s">
        <v>10416</v>
      </c>
      <c r="Q121" t="s">
        <v>10417</v>
      </c>
      <c r="R121" t="s">
        <v>10418</v>
      </c>
      <c r="S121" t="s">
        <v>10419</v>
      </c>
      <c r="T121" t="s">
        <v>10420</v>
      </c>
      <c r="U121" t="s">
        <v>10421</v>
      </c>
      <c r="V121" t="s">
        <v>10422</v>
      </c>
      <c r="W121" t="s">
        <v>10423</v>
      </c>
      <c r="X121" t="s">
        <v>10424</v>
      </c>
      <c r="Y121" t="s">
        <v>10425</v>
      </c>
      <c r="Z121" t="s">
        <v>10426</v>
      </c>
      <c r="AA121" t="s">
        <v>10427</v>
      </c>
      <c r="AB121" t="s">
        <v>10428</v>
      </c>
      <c r="AC121" t="s">
        <v>10429</v>
      </c>
      <c r="AD121" t="s">
        <v>10430</v>
      </c>
      <c r="AE121" t="s">
        <v>10431</v>
      </c>
      <c r="AF121" t="s">
        <v>10432</v>
      </c>
      <c r="AG121" t="s">
        <v>10433</v>
      </c>
      <c r="AH121" t="s">
        <v>10434</v>
      </c>
      <c r="AI121" t="s">
        <v>10435</v>
      </c>
      <c r="AJ121" t="s">
        <v>10436</v>
      </c>
      <c r="AK121" t="s">
        <v>10437</v>
      </c>
      <c r="AL121" t="s">
        <v>10438</v>
      </c>
      <c r="AM121" t="s">
        <v>10439</v>
      </c>
      <c r="AN121" t="s">
        <v>10440</v>
      </c>
      <c r="AO121" t="s">
        <v>10441</v>
      </c>
      <c r="AP121" t="s">
        <v>10442</v>
      </c>
      <c r="AQ121" t="s">
        <v>7825</v>
      </c>
      <c r="AR121" t="s">
        <v>10443</v>
      </c>
      <c r="AS121" t="s">
        <v>10444</v>
      </c>
      <c r="AT121" t="s">
        <v>10445</v>
      </c>
      <c r="AU121" t="s">
        <v>7827</v>
      </c>
      <c r="AV121" t="s">
        <v>10446</v>
      </c>
      <c r="AW121" t="s">
        <v>10447</v>
      </c>
      <c r="AX121" t="s">
        <v>10448</v>
      </c>
      <c r="AY121" t="s">
        <v>10449</v>
      </c>
      <c r="AZ121" t="s">
        <v>10450</v>
      </c>
      <c r="BA121" t="s">
        <v>10451</v>
      </c>
      <c r="BB121" t="s">
        <v>10452</v>
      </c>
      <c r="BC121" t="s">
        <v>10453</v>
      </c>
      <c r="BD121" t="s">
        <v>10454</v>
      </c>
      <c r="BE121" t="s">
        <v>10455</v>
      </c>
      <c r="BF121" t="s">
        <v>10456</v>
      </c>
      <c r="BG121" t="s">
        <v>10457</v>
      </c>
      <c r="BH121" t="s">
        <v>10458</v>
      </c>
      <c r="BI121" t="s">
        <v>10459</v>
      </c>
      <c r="BJ121" t="s">
        <v>10460</v>
      </c>
      <c r="BK121" t="s">
        <v>10461</v>
      </c>
      <c r="BL121" t="s">
        <v>10462</v>
      </c>
      <c r="BM121" t="s">
        <v>10463</v>
      </c>
      <c r="BN121" t="s">
        <v>10464</v>
      </c>
      <c r="BO121" t="s">
        <v>10465</v>
      </c>
      <c r="BP121" t="s">
        <v>10466</v>
      </c>
      <c r="BR121" t="s">
        <v>274</v>
      </c>
    </row>
    <row r="122" spans="1:70" x14ac:dyDescent="0.3">
      <c r="A122" t="s">
        <v>104</v>
      </c>
      <c r="B122" t="s">
        <v>2268</v>
      </c>
      <c r="C122" t="s">
        <v>4632</v>
      </c>
      <c r="D122" t="s">
        <v>4633</v>
      </c>
      <c r="F122" t="s">
        <v>8313</v>
      </c>
      <c r="G122" t="s">
        <v>10467</v>
      </c>
      <c r="H122" t="s">
        <v>10468</v>
      </c>
      <c r="I122" t="s">
        <v>10469</v>
      </c>
      <c r="J122" t="s">
        <v>8315</v>
      </c>
      <c r="K122" t="s">
        <v>10470</v>
      </c>
      <c r="L122" t="s">
        <v>10471</v>
      </c>
      <c r="M122" t="s">
        <v>10472</v>
      </c>
      <c r="N122" t="s">
        <v>10473</v>
      </c>
      <c r="O122" t="s">
        <v>10474</v>
      </c>
      <c r="P122" t="s">
        <v>10475</v>
      </c>
      <c r="Q122" t="s">
        <v>10476</v>
      </c>
      <c r="R122" t="s">
        <v>10477</v>
      </c>
      <c r="S122" t="s">
        <v>10478</v>
      </c>
      <c r="T122" t="s">
        <v>10479</v>
      </c>
      <c r="U122" t="s">
        <v>10480</v>
      </c>
      <c r="V122" t="s">
        <v>10481</v>
      </c>
      <c r="W122" t="s">
        <v>10482</v>
      </c>
      <c r="X122" t="s">
        <v>10483</v>
      </c>
      <c r="Y122" t="s">
        <v>10484</v>
      </c>
      <c r="Z122" t="s">
        <v>10485</v>
      </c>
      <c r="AA122" t="s">
        <v>10486</v>
      </c>
      <c r="AB122" t="s">
        <v>10487</v>
      </c>
      <c r="AC122" t="s">
        <v>10488</v>
      </c>
      <c r="AD122" t="s">
        <v>10489</v>
      </c>
      <c r="AE122" t="s">
        <v>10490</v>
      </c>
      <c r="AF122" t="s">
        <v>10491</v>
      </c>
      <c r="AG122" t="s">
        <v>10492</v>
      </c>
      <c r="AH122" t="s">
        <v>10493</v>
      </c>
      <c r="AI122" t="s">
        <v>10494</v>
      </c>
      <c r="AJ122" t="s">
        <v>10495</v>
      </c>
      <c r="AK122" t="s">
        <v>10496</v>
      </c>
      <c r="AL122" t="s">
        <v>10497</v>
      </c>
      <c r="AM122" t="s">
        <v>10498</v>
      </c>
      <c r="AN122" t="s">
        <v>10499</v>
      </c>
      <c r="AO122" t="s">
        <v>10500</v>
      </c>
      <c r="AP122" t="s">
        <v>10501</v>
      </c>
      <c r="AQ122" t="s">
        <v>10502</v>
      </c>
      <c r="AR122" t="s">
        <v>10503</v>
      </c>
      <c r="AS122" t="s">
        <v>10504</v>
      </c>
      <c r="AT122" t="s">
        <v>10505</v>
      </c>
      <c r="AU122" t="s">
        <v>10506</v>
      </c>
      <c r="AV122" t="s">
        <v>10507</v>
      </c>
      <c r="AW122" t="s">
        <v>10508</v>
      </c>
      <c r="AX122" t="s">
        <v>10509</v>
      </c>
      <c r="AY122" t="s">
        <v>10510</v>
      </c>
      <c r="AZ122" t="s">
        <v>10511</v>
      </c>
      <c r="BA122" t="s">
        <v>10512</v>
      </c>
      <c r="BB122" t="s">
        <v>10513</v>
      </c>
      <c r="BC122" t="s">
        <v>10514</v>
      </c>
      <c r="BD122" t="s">
        <v>10515</v>
      </c>
      <c r="BE122" t="s">
        <v>8353</v>
      </c>
      <c r="BF122" t="s">
        <v>10516</v>
      </c>
      <c r="BG122" t="s">
        <v>8355</v>
      </c>
      <c r="BH122" t="s">
        <v>10517</v>
      </c>
      <c r="BI122" t="s">
        <v>10518</v>
      </c>
      <c r="BJ122" t="s">
        <v>10519</v>
      </c>
      <c r="BK122" t="s">
        <v>10520</v>
      </c>
      <c r="BL122" t="s">
        <v>10521</v>
      </c>
      <c r="BM122" t="s">
        <v>10522</v>
      </c>
      <c r="BN122" t="s">
        <v>10523</v>
      </c>
      <c r="BO122" t="s">
        <v>10524</v>
      </c>
      <c r="BP122" t="s">
        <v>10525</v>
      </c>
      <c r="BR122" t="s">
        <v>274</v>
      </c>
    </row>
    <row r="123" spans="1:70" x14ac:dyDescent="0.3">
      <c r="A123" t="s">
        <v>105</v>
      </c>
      <c r="B123" t="s">
        <v>2305</v>
      </c>
      <c r="C123" t="s">
        <v>4632</v>
      </c>
      <c r="D123" t="s">
        <v>4633</v>
      </c>
      <c r="F123" t="s">
        <v>274</v>
      </c>
      <c r="G123" t="s">
        <v>274</v>
      </c>
      <c r="H123" t="s">
        <v>274</v>
      </c>
      <c r="I123" t="s">
        <v>274</v>
      </c>
      <c r="J123" t="s">
        <v>274</v>
      </c>
      <c r="K123" t="s">
        <v>274</v>
      </c>
      <c r="L123" t="s">
        <v>10526</v>
      </c>
      <c r="M123" t="s">
        <v>9768</v>
      </c>
      <c r="N123" t="s">
        <v>10527</v>
      </c>
      <c r="O123" t="s">
        <v>10528</v>
      </c>
      <c r="P123" t="s">
        <v>10529</v>
      </c>
      <c r="Q123" t="s">
        <v>10530</v>
      </c>
      <c r="R123" t="s">
        <v>10531</v>
      </c>
      <c r="S123" t="s">
        <v>10532</v>
      </c>
      <c r="T123" t="s">
        <v>10533</v>
      </c>
      <c r="U123" t="s">
        <v>10534</v>
      </c>
      <c r="V123" t="s">
        <v>10535</v>
      </c>
      <c r="W123" t="s">
        <v>10536</v>
      </c>
      <c r="X123" t="s">
        <v>10537</v>
      </c>
      <c r="Y123" t="s">
        <v>10538</v>
      </c>
      <c r="Z123" t="s">
        <v>10539</v>
      </c>
      <c r="AA123" t="s">
        <v>10540</v>
      </c>
      <c r="AB123" t="s">
        <v>10541</v>
      </c>
      <c r="AC123" t="s">
        <v>10542</v>
      </c>
      <c r="AD123" t="s">
        <v>10543</v>
      </c>
      <c r="AE123" t="s">
        <v>10544</v>
      </c>
      <c r="AF123" t="s">
        <v>10545</v>
      </c>
      <c r="AG123" t="s">
        <v>10546</v>
      </c>
      <c r="AH123" t="s">
        <v>10547</v>
      </c>
      <c r="AI123" t="s">
        <v>10548</v>
      </c>
      <c r="AJ123" t="s">
        <v>10549</v>
      </c>
      <c r="AK123" t="s">
        <v>10550</v>
      </c>
      <c r="AL123" t="s">
        <v>10551</v>
      </c>
      <c r="AM123" t="s">
        <v>10552</v>
      </c>
      <c r="AN123" t="s">
        <v>10553</v>
      </c>
      <c r="AO123" t="s">
        <v>10554</v>
      </c>
      <c r="AP123" t="s">
        <v>10555</v>
      </c>
      <c r="AQ123" t="s">
        <v>10556</v>
      </c>
      <c r="AR123" t="s">
        <v>10557</v>
      </c>
      <c r="AS123" t="s">
        <v>10558</v>
      </c>
      <c r="AT123" t="s">
        <v>10559</v>
      </c>
      <c r="AU123" t="s">
        <v>10560</v>
      </c>
      <c r="AV123" t="s">
        <v>10561</v>
      </c>
      <c r="AW123" t="s">
        <v>10562</v>
      </c>
      <c r="AX123" t="s">
        <v>10563</v>
      </c>
      <c r="AY123" t="s">
        <v>10564</v>
      </c>
      <c r="AZ123" t="s">
        <v>10565</v>
      </c>
      <c r="BA123" t="s">
        <v>10566</v>
      </c>
      <c r="BB123" t="s">
        <v>10567</v>
      </c>
      <c r="BC123" t="s">
        <v>10568</v>
      </c>
      <c r="BD123" t="s">
        <v>10569</v>
      </c>
      <c r="BE123" t="s">
        <v>10570</v>
      </c>
      <c r="BF123" t="s">
        <v>10571</v>
      </c>
      <c r="BG123" t="s">
        <v>10572</v>
      </c>
      <c r="BH123" t="s">
        <v>10573</v>
      </c>
      <c r="BI123" t="s">
        <v>10574</v>
      </c>
      <c r="BJ123" t="s">
        <v>10575</v>
      </c>
      <c r="BK123" t="s">
        <v>10576</v>
      </c>
      <c r="BL123" t="s">
        <v>10577</v>
      </c>
      <c r="BM123" t="s">
        <v>10578</v>
      </c>
      <c r="BN123" t="s">
        <v>10579</v>
      </c>
      <c r="BO123" t="s">
        <v>10580</v>
      </c>
      <c r="BP123" t="s">
        <v>10581</v>
      </c>
      <c r="BR123" t="s">
        <v>274</v>
      </c>
    </row>
    <row r="124" spans="1:70" x14ac:dyDescent="0.3">
      <c r="A124" t="s">
        <v>106</v>
      </c>
      <c r="B124" t="s">
        <v>2354</v>
      </c>
      <c r="C124" t="s">
        <v>4632</v>
      </c>
      <c r="D124" t="s">
        <v>4633</v>
      </c>
      <c r="F124" t="s">
        <v>274</v>
      </c>
      <c r="G124" t="s">
        <v>274</v>
      </c>
      <c r="H124" t="s">
        <v>274</v>
      </c>
      <c r="I124" t="s">
        <v>274</v>
      </c>
      <c r="J124" t="s">
        <v>274</v>
      </c>
      <c r="K124" t="s">
        <v>274</v>
      </c>
      <c r="L124" t="s">
        <v>274</v>
      </c>
      <c r="M124" t="s">
        <v>274</v>
      </c>
      <c r="N124" t="s">
        <v>274</v>
      </c>
      <c r="O124" t="s">
        <v>274</v>
      </c>
      <c r="P124" t="s">
        <v>274</v>
      </c>
      <c r="Q124" t="s">
        <v>274</v>
      </c>
      <c r="R124" t="s">
        <v>274</v>
      </c>
      <c r="S124" t="s">
        <v>274</v>
      </c>
      <c r="T124" t="s">
        <v>274</v>
      </c>
      <c r="U124" t="s">
        <v>274</v>
      </c>
      <c r="V124" t="s">
        <v>10582</v>
      </c>
      <c r="W124" t="s">
        <v>10583</v>
      </c>
      <c r="X124" t="s">
        <v>10584</v>
      </c>
      <c r="Y124" t="s">
        <v>10585</v>
      </c>
      <c r="Z124" t="s">
        <v>10586</v>
      </c>
      <c r="AA124" t="s">
        <v>10587</v>
      </c>
      <c r="AB124" t="s">
        <v>10588</v>
      </c>
      <c r="AC124" t="s">
        <v>10589</v>
      </c>
      <c r="AD124" t="s">
        <v>10590</v>
      </c>
      <c r="AE124" t="s">
        <v>10591</v>
      </c>
      <c r="AF124" t="s">
        <v>10592</v>
      </c>
      <c r="AG124" t="s">
        <v>10593</v>
      </c>
      <c r="AH124" t="s">
        <v>10594</v>
      </c>
      <c r="AI124" t="s">
        <v>10595</v>
      </c>
      <c r="AJ124" t="s">
        <v>10596</v>
      </c>
      <c r="AK124" t="s">
        <v>10597</v>
      </c>
      <c r="AL124" t="s">
        <v>10598</v>
      </c>
      <c r="AM124" t="s">
        <v>10599</v>
      </c>
      <c r="AN124" t="s">
        <v>10600</v>
      </c>
      <c r="AO124" t="s">
        <v>10601</v>
      </c>
      <c r="AP124" t="s">
        <v>10602</v>
      </c>
      <c r="AQ124" t="s">
        <v>10603</v>
      </c>
      <c r="AR124" t="s">
        <v>10604</v>
      </c>
      <c r="AS124" t="s">
        <v>10605</v>
      </c>
      <c r="AT124" t="s">
        <v>10606</v>
      </c>
      <c r="AU124" t="s">
        <v>10607</v>
      </c>
      <c r="AV124" t="s">
        <v>10608</v>
      </c>
      <c r="AW124" t="s">
        <v>10609</v>
      </c>
      <c r="AX124" t="s">
        <v>10610</v>
      </c>
      <c r="AY124" t="s">
        <v>10611</v>
      </c>
      <c r="AZ124" t="s">
        <v>10612</v>
      </c>
      <c r="BA124" t="s">
        <v>10613</v>
      </c>
      <c r="BB124" t="s">
        <v>9796</v>
      </c>
      <c r="BC124" t="s">
        <v>10614</v>
      </c>
      <c r="BD124" t="s">
        <v>10615</v>
      </c>
      <c r="BE124" t="s">
        <v>10616</v>
      </c>
      <c r="BF124" t="s">
        <v>10617</v>
      </c>
      <c r="BG124" t="s">
        <v>10618</v>
      </c>
      <c r="BH124" t="s">
        <v>10619</v>
      </c>
      <c r="BI124" t="s">
        <v>10620</v>
      </c>
      <c r="BJ124" t="s">
        <v>10621</v>
      </c>
      <c r="BK124" t="s">
        <v>10622</v>
      </c>
      <c r="BL124" t="s">
        <v>10623</v>
      </c>
      <c r="BM124" t="s">
        <v>10624</v>
      </c>
      <c r="BN124" t="s">
        <v>10625</v>
      </c>
      <c r="BO124" t="s">
        <v>10626</v>
      </c>
      <c r="BP124" t="s">
        <v>10627</v>
      </c>
      <c r="BR124" t="s">
        <v>274</v>
      </c>
    </row>
    <row r="125" spans="1:70" x14ac:dyDescent="0.3">
      <c r="A125" t="s">
        <v>107</v>
      </c>
      <c r="B125" t="s">
        <v>2379</v>
      </c>
      <c r="C125" t="s">
        <v>4632</v>
      </c>
      <c r="D125" t="s">
        <v>4633</v>
      </c>
      <c r="F125" t="s">
        <v>10628</v>
      </c>
      <c r="G125" t="s">
        <v>10629</v>
      </c>
      <c r="H125" t="s">
        <v>10630</v>
      </c>
      <c r="I125" t="s">
        <v>10631</v>
      </c>
      <c r="J125" t="s">
        <v>10632</v>
      </c>
      <c r="K125" t="s">
        <v>10633</v>
      </c>
      <c r="L125" t="s">
        <v>10634</v>
      </c>
      <c r="M125" t="s">
        <v>10635</v>
      </c>
      <c r="N125" t="s">
        <v>9409</v>
      </c>
      <c r="O125" t="s">
        <v>10636</v>
      </c>
      <c r="P125" t="s">
        <v>10637</v>
      </c>
      <c r="Q125" t="s">
        <v>10638</v>
      </c>
      <c r="R125" t="s">
        <v>10639</v>
      </c>
      <c r="S125" t="s">
        <v>10640</v>
      </c>
      <c r="T125" t="s">
        <v>10641</v>
      </c>
      <c r="U125" t="s">
        <v>10642</v>
      </c>
      <c r="V125" t="s">
        <v>10643</v>
      </c>
      <c r="W125" t="s">
        <v>10644</v>
      </c>
      <c r="X125" t="s">
        <v>10645</v>
      </c>
      <c r="Y125" t="s">
        <v>10646</v>
      </c>
      <c r="Z125" t="s">
        <v>10647</v>
      </c>
      <c r="AA125" t="s">
        <v>10648</v>
      </c>
      <c r="AB125" t="s">
        <v>10649</v>
      </c>
      <c r="AC125" t="s">
        <v>10650</v>
      </c>
      <c r="AD125" t="s">
        <v>10651</v>
      </c>
      <c r="AE125" t="s">
        <v>10652</v>
      </c>
      <c r="AF125" t="s">
        <v>10653</v>
      </c>
      <c r="AG125" t="s">
        <v>10654</v>
      </c>
      <c r="AH125" t="s">
        <v>10655</v>
      </c>
      <c r="AI125" t="s">
        <v>10656</v>
      </c>
      <c r="AJ125" t="s">
        <v>10657</v>
      </c>
      <c r="AK125" t="s">
        <v>10658</v>
      </c>
      <c r="AL125" t="s">
        <v>10659</v>
      </c>
      <c r="AM125" t="s">
        <v>10660</v>
      </c>
      <c r="AN125" t="s">
        <v>10661</v>
      </c>
      <c r="AO125" t="s">
        <v>10662</v>
      </c>
      <c r="AP125" t="s">
        <v>10663</v>
      </c>
      <c r="AQ125" t="s">
        <v>10664</v>
      </c>
      <c r="AR125" t="s">
        <v>10665</v>
      </c>
      <c r="AS125" t="s">
        <v>10666</v>
      </c>
      <c r="AT125" t="s">
        <v>10667</v>
      </c>
      <c r="AU125" t="s">
        <v>10668</v>
      </c>
      <c r="AV125" t="s">
        <v>10669</v>
      </c>
      <c r="AW125" t="s">
        <v>10670</v>
      </c>
      <c r="AX125" t="s">
        <v>10671</v>
      </c>
      <c r="AY125" t="s">
        <v>10672</v>
      </c>
      <c r="AZ125" t="s">
        <v>10673</v>
      </c>
      <c r="BA125" t="s">
        <v>10674</v>
      </c>
      <c r="BB125" t="s">
        <v>10675</v>
      </c>
      <c r="BC125" t="s">
        <v>10676</v>
      </c>
      <c r="BD125" t="s">
        <v>10677</v>
      </c>
      <c r="BE125" t="s">
        <v>10678</v>
      </c>
      <c r="BF125" t="s">
        <v>10679</v>
      </c>
      <c r="BG125" t="s">
        <v>10680</v>
      </c>
      <c r="BH125" t="s">
        <v>10681</v>
      </c>
      <c r="BI125" t="s">
        <v>10682</v>
      </c>
      <c r="BJ125" t="s">
        <v>10683</v>
      </c>
      <c r="BK125" t="s">
        <v>10684</v>
      </c>
      <c r="BL125" t="s">
        <v>10685</v>
      </c>
      <c r="BM125" t="s">
        <v>10686</v>
      </c>
      <c r="BN125" t="s">
        <v>10687</v>
      </c>
      <c r="BO125" t="s">
        <v>10688</v>
      </c>
      <c r="BP125" t="s">
        <v>10689</v>
      </c>
      <c r="BR125" t="s">
        <v>274</v>
      </c>
    </row>
    <row r="126" spans="1:70" x14ac:dyDescent="0.3">
      <c r="A126" t="s">
        <v>214</v>
      </c>
      <c r="B126" t="s">
        <v>2405</v>
      </c>
      <c r="C126" t="s">
        <v>4632</v>
      </c>
      <c r="D126" t="s">
        <v>4633</v>
      </c>
      <c r="F126" t="s">
        <v>274</v>
      </c>
      <c r="G126" t="s">
        <v>274</v>
      </c>
      <c r="H126" t="s">
        <v>274</v>
      </c>
      <c r="I126" t="s">
        <v>274</v>
      </c>
      <c r="J126" t="s">
        <v>274</v>
      </c>
      <c r="K126" t="s">
        <v>274</v>
      </c>
      <c r="L126" t="s">
        <v>274</v>
      </c>
      <c r="M126" t="s">
        <v>274</v>
      </c>
      <c r="N126" t="s">
        <v>274</v>
      </c>
      <c r="O126" t="s">
        <v>274</v>
      </c>
      <c r="P126" t="s">
        <v>274</v>
      </c>
      <c r="Q126" t="s">
        <v>274</v>
      </c>
      <c r="R126" t="s">
        <v>274</v>
      </c>
      <c r="S126" t="s">
        <v>274</v>
      </c>
      <c r="T126" t="s">
        <v>274</v>
      </c>
      <c r="U126" t="s">
        <v>274</v>
      </c>
      <c r="V126" t="s">
        <v>274</v>
      </c>
      <c r="W126" t="s">
        <v>274</v>
      </c>
      <c r="X126" t="s">
        <v>274</v>
      </c>
      <c r="Y126" t="s">
        <v>274</v>
      </c>
      <c r="Z126" t="s">
        <v>274</v>
      </c>
      <c r="AA126" t="s">
        <v>274</v>
      </c>
      <c r="AB126" t="s">
        <v>274</v>
      </c>
      <c r="AC126" t="s">
        <v>274</v>
      </c>
      <c r="AD126" t="s">
        <v>274</v>
      </c>
      <c r="AE126" t="s">
        <v>274</v>
      </c>
      <c r="AF126" t="s">
        <v>274</v>
      </c>
      <c r="AG126" t="s">
        <v>274</v>
      </c>
      <c r="AH126" t="s">
        <v>274</v>
      </c>
      <c r="AI126" t="s">
        <v>274</v>
      </c>
      <c r="AJ126" t="s">
        <v>10690</v>
      </c>
      <c r="AK126" t="s">
        <v>10691</v>
      </c>
      <c r="AL126" t="s">
        <v>10692</v>
      </c>
      <c r="AM126" t="s">
        <v>10693</v>
      </c>
      <c r="AN126" t="s">
        <v>10694</v>
      </c>
      <c r="AO126" t="s">
        <v>10695</v>
      </c>
      <c r="AP126" t="s">
        <v>10696</v>
      </c>
      <c r="AQ126" t="s">
        <v>10697</v>
      </c>
      <c r="AR126" t="s">
        <v>10698</v>
      </c>
      <c r="AS126" t="s">
        <v>10699</v>
      </c>
      <c r="AT126" t="s">
        <v>10700</v>
      </c>
      <c r="AU126" t="s">
        <v>7902</v>
      </c>
      <c r="AV126" t="s">
        <v>10701</v>
      </c>
      <c r="AW126" t="s">
        <v>10702</v>
      </c>
      <c r="AX126" t="s">
        <v>10703</v>
      </c>
      <c r="AY126" t="s">
        <v>10704</v>
      </c>
      <c r="AZ126" t="s">
        <v>10705</v>
      </c>
      <c r="BA126" t="s">
        <v>10706</v>
      </c>
      <c r="BB126" t="s">
        <v>10707</v>
      </c>
      <c r="BC126" t="s">
        <v>10708</v>
      </c>
      <c r="BD126" t="s">
        <v>10709</v>
      </c>
      <c r="BE126" t="s">
        <v>10710</v>
      </c>
      <c r="BF126" t="s">
        <v>10711</v>
      </c>
      <c r="BG126" t="s">
        <v>10712</v>
      </c>
      <c r="BH126" t="s">
        <v>10713</v>
      </c>
      <c r="BI126" t="s">
        <v>10714</v>
      </c>
      <c r="BJ126" t="s">
        <v>10715</v>
      </c>
      <c r="BK126" t="s">
        <v>10716</v>
      </c>
      <c r="BL126" t="s">
        <v>10717</v>
      </c>
      <c r="BM126" t="s">
        <v>10718</v>
      </c>
      <c r="BN126" t="s">
        <v>10719</v>
      </c>
      <c r="BO126" t="s">
        <v>10720</v>
      </c>
      <c r="BP126" t="s">
        <v>10721</v>
      </c>
      <c r="BR126" t="s">
        <v>274</v>
      </c>
    </row>
    <row r="127" spans="1:70" x14ac:dyDescent="0.3">
      <c r="A127" t="s">
        <v>108</v>
      </c>
      <c r="B127" t="s">
        <v>2406</v>
      </c>
      <c r="C127" t="s">
        <v>4632</v>
      </c>
      <c r="D127" t="s">
        <v>4633</v>
      </c>
      <c r="F127" t="s">
        <v>10722</v>
      </c>
      <c r="G127" t="s">
        <v>10723</v>
      </c>
      <c r="H127" t="s">
        <v>10724</v>
      </c>
      <c r="I127" t="s">
        <v>10725</v>
      </c>
      <c r="J127" t="s">
        <v>10726</v>
      </c>
      <c r="K127" t="s">
        <v>10727</v>
      </c>
      <c r="L127" t="s">
        <v>10728</v>
      </c>
      <c r="M127" t="s">
        <v>10729</v>
      </c>
      <c r="N127" t="s">
        <v>10730</v>
      </c>
      <c r="O127" t="s">
        <v>10731</v>
      </c>
      <c r="P127" t="s">
        <v>10732</v>
      </c>
      <c r="Q127" t="s">
        <v>10733</v>
      </c>
      <c r="R127" t="s">
        <v>10734</v>
      </c>
      <c r="S127" t="s">
        <v>10735</v>
      </c>
      <c r="T127" t="s">
        <v>10736</v>
      </c>
      <c r="U127" t="s">
        <v>10737</v>
      </c>
      <c r="V127" t="s">
        <v>10738</v>
      </c>
      <c r="W127" t="s">
        <v>10739</v>
      </c>
      <c r="X127" t="s">
        <v>10740</v>
      </c>
      <c r="Y127" t="s">
        <v>10741</v>
      </c>
      <c r="Z127" t="s">
        <v>10742</v>
      </c>
      <c r="AA127" t="s">
        <v>10743</v>
      </c>
      <c r="AB127" t="s">
        <v>10744</v>
      </c>
      <c r="AC127" t="s">
        <v>10745</v>
      </c>
      <c r="AD127" t="s">
        <v>10746</v>
      </c>
      <c r="AE127" t="s">
        <v>10747</v>
      </c>
      <c r="AF127" t="s">
        <v>10748</v>
      </c>
      <c r="AG127" t="s">
        <v>9927</v>
      </c>
      <c r="AH127" t="s">
        <v>10749</v>
      </c>
      <c r="AI127" t="s">
        <v>10750</v>
      </c>
      <c r="AJ127" t="s">
        <v>10751</v>
      </c>
      <c r="AK127" t="s">
        <v>10752</v>
      </c>
      <c r="AL127" t="s">
        <v>10753</v>
      </c>
      <c r="AM127" t="s">
        <v>4704</v>
      </c>
      <c r="AN127" t="s">
        <v>10754</v>
      </c>
      <c r="AO127" t="s">
        <v>10755</v>
      </c>
      <c r="AP127" t="s">
        <v>10756</v>
      </c>
      <c r="AQ127" t="s">
        <v>10757</v>
      </c>
      <c r="AR127" t="s">
        <v>10758</v>
      </c>
      <c r="AS127" t="s">
        <v>10759</v>
      </c>
      <c r="AT127" t="s">
        <v>10760</v>
      </c>
      <c r="AU127" t="s">
        <v>10761</v>
      </c>
      <c r="AV127" t="s">
        <v>10762</v>
      </c>
      <c r="AW127" t="s">
        <v>10763</v>
      </c>
      <c r="AX127" t="s">
        <v>10764</v>
      </c>
      <c r="AY127" t="s">
        <v>10765</v>
      </c>
      <c r="AZ127" t="s">
        <v>10766</v>
      </c>
      <c r="BA127" t="s">
        <v>10767</v>
      </c>
      <c r="BB127" t="s">
        <v>10768</v>
      </c>
      <c r="BC127" t="s">
        <v>10769</v>
      </c>
      <c r="BD127" t="s">
        <v>10770</v>
      </c>
      <c r="BE127" t="s">
        <v>10771</v>
      </c>
      <c r="BF127" t="s">
        <v>10772</v>
      </c>
      <c r="BG127" t="s">
        <v>10773</v>
      </c>
      <c r="BH127" t="s">
        <v>10774</v>
      </c>
      <c r="BI127" t="s">
        <v>10775</v>
      </c>
      <c r="BJ127" t="s">
        <v>10776</v>
      </c>
      <c r="BK127" t="s">
        <v>10777</v>
      </c>
      <c r="BL127" t="s">
        <v>10778</v>
      </c>
      <c r="BM127" t="s">
        <v>10779</v>
      </c>
      <c r="BN127" t="s">
        <v>10780</v>
      </c>
      <c r="BO127" t="s">
        <v>10781</v>
      </c>
      <c r="BP127" t="s">
        <v>10782</v>
      </c>
      <c r="BR127" t="s">
        <v>274</v>
      </c>
    </row>
    <row r="128" spans="1:70" x14ac:dyDescent="0.3">
      <c r="A128" t="s">
        <v>215</v>
      </c>
      <c r="B128" t="s">
        <v>2442</v>
      </c>
      <c r="C128" t="s">
        <v>4632</v>
      </c>
      <c r="D128" t="s">
        <v>4633</v>
      </c>
      <c r="F128" t="s">
        <v>274</v>
      </c>
      <c r="G128" t="s">
        <v>274</v>
      </c>
      <c r="H128" t="s">
        <v>274</v>
      </c>
      <c r="I128" t="s">
        <v>274</v>
      </c>
      <c r="J128" t="s">
        <v>274</v>
      </c>
      <c r="K128" t="s">
        <v>274</v>
      </c>
      <c r="L128" t="s">
        <v>274</v>
      </c>
      <c r="M128" t="s">
        <v>274</v>
      </c>
      <c r="N128" t="s">
        <v>274</v>
      </c>
      <c r="O128" t="s">
        <v>274</v>
      </c>
      <c r="P128" t="s">
        <v>274</v>
      </c>
      <c r="Q128" t="s">
        <v>274</v>
      </c>
      <c r="R128" t="s">
        <v>274</v>
      </c>
      <c r="S128" t="s">
        <v>274</v>
      </c>
      <c r="T128" t="s">
        <v>274</v>
      </c>
      <c r="U128" t="s">
        <v>274</v>
      </c>
      <c r="V128" t="s">
        <v>274</v>
      </c>
      <c r="W128" t="s">
        <v>274</v>
      </c>
      <c r="X128" t="s">
        <v>274</v>
      </c>
      <c r="Y128" t="s">
        <v>274</v>
      </c>
      <c r="Z128" t="s">
        <v>274</v>
      </c>
      <c r="AA128" t="s">
        <v>274</v>
      </c>
      <c r="AB128" t="s">
        <v>274</v>
      </c>
      <c r="AC128" t="s">
        <v>274</v>
      </c>
      <c r="AD128" t="s">
        <v>274</v>
      </c>
      <c r="AE128" t="s">
        <v>274</v>
      </c>
      <c r="AF128" t="s">
        <v>274</v>
      </c>
      <c r="AG128" t="s">
        <v>10783</v>
      </c>
      <c r="AH128" t="s">
        <v>10784</v>
      </c>
      <c r="AI128" t="s">
        <v>10785</v>
      </c>
      <c r="AJ128" t="s">
        <v>10786</v>
      </c>
      <c r="AK128" t="s">
        <v>10787</v>
      </c>
      <c r="AL128" t="s">
        <v>10788</v>
      </c>
      <c r="AM128" t="s">
        <v>10789</v>
      </c>
      <c r="AN128" t="s">
        <v>10790</v>
      </c>
      <c r="AO128" t="s">
        <v>10791</v>
      </c>
      <c r="AP128" t="s">
        <v>10792</v>
      </c>
      <c r="AQ128" t="s">
        <v>10793</v>
      </c>
      <c r="AR128" t="s">
        <v>10794</v>
      </c>
      <c r="AS128" t="s">
        <v>7900</v>
      </c>
      <c r="AT128" t="s">
        <v>10795</v>
      </c>
      <c r="AU128" t="s">
        <v>10796</v>
      </c>
      <c r="AV128" t="s">
        <v>10797</v>
      </c>
      <c r="AW128" t="s">
        <v>10798</v>
      </c>
      <c r="AX128" t="s">
        <v>10799</v>
      </c>
      <c r="AY128" t="s">
        <v>10800</v>
      </c>
      <c r="AZ128" t="s">
        <v>10801</v>
      </c>
      <c r="BA128" t="s">
        <v>10802</v>
      </c>
      <c r="BB128" t="s">
        <v>10056</v>
      </c>
      <c r="BC128" t="s">
        <v>10803</v>
      </c>
      <c r="BD128" t="s">
        <v>10804</v>
      </c>
      <c r="BE128" t="s">
        <v>10805</v>
      </c>
      <c r="BF128" t="s">
        <v>10806</v>
      </c>
      <c r="BG128" t="s">
        <v>10807</v>
      </c>
      <c r="BH128" t="s">
        <v>10808</v>
      </c>
      <c r="BI128" t="s">
        <v>10809</v>
      </c>
      <c r="BJ128" t="s">
        <v>10810</v>
      </c>
      <c r="BK128" t="s">
        <v>10811</v>
      </c>
      <c r="BL128" t="s">
        <v>10812</v>
      </c>
      <c r="BM128" t="s">
        <v>10813</v>
      </c>
      <c r="BN128" t="s">
        <v>10814</v>
      </c>
      <c r="BO128" t="s">
        <v>10815</v>
      </c>
      <c r="BP128" t="s">
        <v>10816</v>
      </c>
      <c r="BR128" t="s">
        <v>274</v>
      </c>
    </row>
    <row r="129" spans="1:70" x14ac:dyDescent="0.3">
      <c r="A129" t="s">
        <v>109</v>
      </c>
      <c r="B129" t="s">
        <v>2471</v>
      </c>
      <c r="C129" t="s">
        <v>4632</v>
      </c>
      <c r="D129" t="s">
        <v>4633</v>
      </c>
      <c r="F129" t="s">
        <v>274</v>
      </c>
      <c r="G129" t="s">
        <v>274</v>
      </c>
      <c r="H129" t="s">
        <v>274</v>
      </c>
      <c r="I129" t="s">
        <v>274</v>
      </c>
      <c r="J129" t="s">
        <v>274</v>
      </c>
      <c r="K129" t="s">
        <v>274</v>
      </c>
      <c r="L129" t="s">
        <v>274</v>
      </c>
      <c r="M129" t="s">
        <v>274</v>
      </c>
      <c r="N129" t="s">
        <v>274</v>
      </c>
      <c r="O129" t="s">
        <v>274</v>
      </c>
      <c r="P129" t="s">
        <v>274</v>
      </c>
      <c r="Q129" t="s">
        <v>274</v>
      </c>
      <c r="R129" t="s">
        <v>274</v>
      </c>
      <c r="S129" t="s">
        <v>274</v>
      </c>
      <c r="T129" t="s">
        <v>274</v>
      </c>
      <c r="U129" t="s">
        <v>10817</v>
      </c>
      <c r="V129" t="s">
        <v>10818</v>
      </c>
      <c r="W129" t="s">
        <v>10819</v>
      </c>
      <c r="X129" t="s">
        <v>10820</v>
      </c>
      <c r="Y129" t="s">
        <v>10821</v>
      </c>
      <c r="Z129" t="s">
        <v>10822</v>
      </c>
      <c r="AA129" t="s">
        <v>10823</v>
      </c>
      <c r="AB129" t="s">
        <v>10824</v>
      </c>
      <c r="AC129" t="s">
        <v>10825</v>
      </c>
      <c r="AD129" t="s">
        <v>10826</v>
      </c>
      <c r="AE129" t="s">
        <v>10827</v>
      </c>
      <c r="AF129" t="s">
        <v>10828</v>
      </c>
      <c r="AG129" t="s">
        <v>10829</v>
      </c>
      <c r="AH129" t="s">
        <v>10830</v>
      </c>
      <c r="AI129" t="s">
        <v>10831</v>
      </c>
      <c r="AJ129" t="s">
        <v>10832</v>
      </c>
      <c r="AK129" t="s">
        <v>10833</v>
      </c>
      <c r="AL129" t="s">
        <v>10834</v>
      </c>
      <c r="AM129" t="s">
        <v>10835</v>
      </c>
      <c r="AN129" t="s">
        <v>10836</v>
      </c>
      <c r="AO129" t="s">
        <v>10837</v>
      </c>
      <c r="AP129" t="s">
        <v>10838</v>
      </c>
      <c r="AQ129" t="s">
        <v>10839</v>
      </c>
      <c r="AR129" t="s">
        <v>10840</v>
      </c>
      <c r="AS129" t="s">
        <v>10841</v>
      </c>
      <c r="AT129" t="s">
        <v>10842</v>
      </c>
      <c r="AU129" t="s">
        <v>10843</v>
      </c>
      <c r="AV129" t="s">
        <v>10844</v>
      </c>
      <c r="AW129" t="s">
        <v>10845</v>
      </c>
      <c r="AX129" t="s">
        <v>10846</v>
      </c>
      <c r="AY129" t="s">
        <v>9893</v>
      </c>
      <c r="AZ129" t="s">
        <v>10847</v>
      </c>
      <c r="BA129" t="s">
        <v>10848</v>
      </c>
      <c r="BB129" t="s">
        <v>10849</v>
      </c>
      <c r="BC129" t="s">
        <v>7778</v>
      </c>
      <c r="BD129" t="s">
        <v>10850</v>
      </c>
      <c r="BE129" t="s">
        <v>10851</v>
      </c>
      <c r="BF129" t="s">
        <v>7781</v>
      </c>
      <c r="BG129" t="s">
        <v>7782</v>
      </c>
      <c r="BH129" t="s">
        <v>10852</v>
      </c>
      <c r="BI129" t="s">
        <v>10853</v>
      </c>
      <c r="BJ129" t="s">
        <v>10854</v>
      </c>
      <c r="BK129" t="s">
        <v>10855</v>
      </c>
      <c r="BL129" t="s">
        <v>10856</v>
      </c>
      <c r="BM129" t="s">
        <v>10857</v>
      </c>
      <c r="BN129" t="s">
        <v>10858</v>
      </c>
      <c r="BO129" t="s">
        <v>10859</v>
      </c>
      <c r="BP129" t="s">
        <v>10860</v>
      </c>
      <c r="BR129" t="s">
        <v>274</v>
      </c>
    </row>
    <row r="130" spans="1:70" x14ac:dyDescent="0.3">
      <c r="A130" t="s">
        <v>216</v>
      </c>
      <c r="B130" t="s">
        <v>2472</v>
      </c>
      <c r="C130" t="s">
        <v>4632</v>
      </c>
      <c r="D130" t="s">
        <v>4633</v>
      </c>
      <c r="F130" t="s">
        <v>274</v>
      </c>
      <c r="G130" t="s">
        <v>274</v>
      </c>
      <c r="H130" t="s">
        <v>274</v>
      </c>
      <c r="I130" t="s">
        <v>274</v>
      </c>
      <c r="J130" t="s">
        <v>274</v>
      </c>
      <c r="K130" t="s">
        <v>274</v>
      </c>
      <c r="L130" t="s">
        <v>274</v>
      </c>
      <c r="M130" t="s">
        <v>274</v>
      </c>
      <c r="N130" t="s">
        <v>274</v>
      </c>
      <c r="O130" t="s">
        <v>274</v>
      </c>
      <c r="P130" t="s">
        <v>10861</v>
      </c>
      <c r="Q130" t="s">
        <v>10862</v>
      </c>
      <c r="R130" t="s">
        <v>10863</v>
      </c>
      <c r="S130" t="s">
        <v>10864</v>
      </c>
      <c r="T130" t="s">
        <v>10032</v>
      </c>
      <c r="U130" t="s">
        <v>9819</v>
      </c>
      <c r="V130" t="s">
        <v>10865</v>
      </c>
      <c r="W130" t="s">
        <v>10866</v>
      </c>
      <c r="X130" t="s">
        <v>10867</v>
      </c>
      <c r="Y130" t="s">
        <v>10868</v>
      </c>
      <c r="Z130" t="s">
        <v>10869</v>
      </c>
      <c r="AA130" t="s">
        <v>10870</v>
      </c>
      <c r="AB130" t="s">
        <v>10871</v>
      </c>
      <c r="AC130" t="s">
        <v>10872</v>
      </c>
      <c r="AD130" t="s">
        <v>10873</v>
      </c>
      <c r="AE130" t="s">
        <v>10874</v>
      </c>
      <c r="AF130" t="s">
        <v>10875</v>
      </c>
      <c r="AG130" t="s">
        <v>10876</v>
      </c>
      <c r="AH130" t="s">
        <v>10877</v>
      </c>
      <c r="AI130" t="s">
        <v>10878</v>
      </c>
      <c r="AJ130" t="s">
        <v>10879</v>
      </c>
      <c r="AK130" t="s">
        <v>10880</v>
      </c>
      <c r="AL130" t="s">
        <v>10881</v>
      </c>
      <c r="AM130" t="s">
        <v>10882</v>
      </c>
      <c r="AN130" t="s">
        <v>10883</v>
      </c>
      <c r="AO130" t="s">
        <v>10884</v>
      </c>
      <c r="AP130" t="s">
        <v>10885</v>
      </c>
      <c r="AQ130" t="s">
        <v>10886</v>
      </c>
      <c r="AR130" t="s">
        <v>10887</v>
      </c>
      <c r="AS130" t="s">
        <v>10888</v>
      </c>
      <c r="AT130" t="s">
        <v>10889</v>
      </c>
      <c r="AU130" t="s">
        <v>10890</v>
      </c>
      <c r="AV130" t="s">
        <v>10891</v>
      </c>
      <c r="AW130" t="s">
        <v>10892</v>
      </c>
      <c r="AX130" t="s">
        <v>10893</v>
      </c>
      <c r="AY130" t="s">
        <v>10894</v>
      </c>
      <c r="AZ130" t="s">
        <v>7776</v>
      </c>
      <c r="BA130" t="s">
        <v>8404</v>
      </c>
      <c r="BB130" t="s">
        <v>10895</v>
      </c>
      <c r="BC130" t="s">
        <v>10896</v>
      </c>
      <c r="BD130" t="s">
        <v>10897</v>
      </c>
      <c r="BE130" t="s">
        <v>10898</v>
      </c>
      <c r="BF130" t="s">
        <v>10899</v>
      </c>
      <c r="BG130" t="s">
        <v>10900</v>
      </c>
      <c r="BH130" t="s">
        <v>7837</v>
      </c>
      <c r="BI130" t="s">
        <v>10901</v>
      </c>
      <c r="BJ130" t="s">
        <v>10902</v>
      </c>
      <c r="BK130" t="s">
        <v>10903</v>
      </c>
      <c r="BL130" t="s">
        <v>10904</v>
      </c>
      <c r="BM130" t="s">
        <v>10905</v>
      </c>
      <c r="BN130" t="s">
        <v>10906</v>
      </c>
      <c r="BO130" t="s">
        <v>10907</v>
      </c>
      <c r="BP130" t="s">
        <v>10908</v>
      </c>
      <c r="BR130" t="s">
        <v>274</v>
      </c>
    </row>
    <row r="131" spans="1:70" x14ac:dyDescent="0.3">
      <c r="A131" t="s">
        <v>217</v>
      </c>
      <c r="B131" t="s">
        <v>2473</v>
      </c>
      <c r="C131" t="s">
        <v>4632</v>
      </c>
      <c r="D131" t="s">
        <v>4633</v>
      </c>
      <c r="F131" t="s">
        <v>274</v>
      </c>
      <c r="G131" t="s">
        <v>274</v>
      </c>
      <c r="H131" t="s">
        <v>274</v>
      </c>
      <c r="I131" t="s">
        <v>274</v>
      </c>
      <c r="J131" t="s">
        <v>274</v>
      </c>
      <c r="K131" t="s">
        <v>274</v>
      </c>
      <c r="L131" t="s">
        <v>274</v>
      </c>
      <c r="M131" t="s">
        <v>274</v>
      </c>
      <c r="N131" t="s">
        <v>274</v>
      </c>
      <c r="O131" t="s">
        <v>274</v>
      </c>
      <c r="P131" t="s">
        <v>274</v>
      </c>
      <c r="Q131" t="s">
        <v>274</v>
      </c>
      <c r="R131" t="s">
        <v>274</v>
      </c>
      <c r="S131" t="s">
        <v>274</v>
      </c>
      <c r="T131" t="s">
        <v>274</v>
      </c>
      <c r="U131" t="s">
        <v>274</v>
      </c>
      <c r="V131" t="s">
        <v>274</v>
      </c>
      <c r="W131" t="s">
        <v>10909</v>
      </c>
      <c r="X131" t="s">
        <v>10910</v>
      </c>
      <c r="Y131" t="s">
        <v>10911</v>
      </c>
      <c r="Z131" t="s">
        <v>10912</v>
      </c>
      <c r="AA131" t="s">
        <v>10913</v>
      </c>
      <c r="AB131" t="s">
        <v>10914</v>
      </c>
      <c r="AC131" t="s">
        <v>10915</v>
      </c>
      <c r="AD131" t="s">
        <v>10916</v>
      </c>
      <c r="AE131" t="s">
        <v>10917</v>
      </c>
      <c r="AF131" t="s">
        <v>10918</v>
      </c>
      <c r="AG131" t="s">
        <v>10919</v>
      </c>
      <c r="AH131" t="s">
        <v>7248</v>
      </c>
      <c r="AI131" t="s">
        <v>10920</v>
      </c>
      <c r="AJ131" t="s">
        <v>10921</v>
      </c>
      <c r="AK131" t="s">
        <v>10922</v>
      </c>
      <c r="AL131" t="s">
        <v>7250</v>
      </c>
      <c r="AM131" t="s">
        <v>10923</v>
      </c>
      <c r="AN131" t="s">
        <v>10924</v>
      </c>
      <c r="AO131" t="s">
        <v>10925</v>
      </c>
      <c r="AP131" t="s">
        <v>10926</v>
      </c>
      <c r="AQ131" t="s">
        <v>7253</v>
      </c>
      <c r="AR131" t="s">
        <v>10927</v>
      </c>
      <c r="AS131" t="s">
        <v>10928</v>
      </c>
      <c r="AT131" t="s">
        <v>10929</v>
      </c>
      <c r="AU131" t="s">
        <v>10930</v>
      </c>
      <c r="AV131" t="s">
        <v>10931</v>
      </c>
      <c r="AW131" t="s">
        <v>10932</v>
      </c>
      <c r="AX131" t="s">
        <v>10933</v>
      </c>
      <c r="AY131" t="s">
        <v>10934</v>
      </c>
      <c r="AZ131" t="s">
        <v>10935</v>
      </c>
      <c r="BA131" t="s">
        <v>10936</v>
      </c>
      <c r="BB131" t="s">
        <v>10937</v>
      </c>
      <c r="BC131" t="s">
        <v>10938</v>
      </c>
      <c r="BD131" t="s">
        <v>10939</v>
      </c>
      <c r="BE131" t="s">
        <v>10940</v>
      </c>
      <c r="BF131" t="s">
        <v>10941</v>
      </c>
      <c r="BG131" t="s">
        <v>9439</v>
      </c>
      <c r="BH131" t="s">
        <v>10942</v>
      </c>
      <c r="BI131" t="s">
        <v>7260</v>
      </c>
      <c r="BJ131" t="s">
        <v>10943</v>
      </c>
      <c r="BK131" t="s">
        <v>10944</v>
      </c>
      <c r="BL131" t="s">
        <v>10945</v>
      </c>
      <c r="BM131" t="s">
        <v>10946</v>
      </c>
      <c r="BN131" t="s">
        <v>10947</v>
      </c>
      <c r="BO131" t="s">
        <v>10948</v>
      </c>
      <c r="BP131" t="s">
        <v>9858</v>
      </c>
      <c r="BR131" t="s">
        <v>274</v>
      </c>
    </row>
    <row r="132" spans="1:70" x14ac:dyDescent="0.3">
      <c r="A132" t="s">
        <v>110</v>
      </c>
      <c r="B132" t="s">
        <v>2512</v>
      </c>
      <c r="C132" t="s">
        <v>4632</v>
      </c>
      <c r="D132" t="s">
        <v>4633</v>
      </c>
      <c r="F132" t="s">
        <v>10949</v>
      </c>
      <c r="G132" t="s">
        <v>10950</v>
      </c>
      <c r="H132" t="s">
        <v>10951</v>
      </c>
      <c r="I132" t="s">
        <v>10952</v>
      </c>
      <c r="J132" t="s">
        <v>10953</v>
      </c>
      <c r="K132" t="s">
        <v>10954</v>
      </c>
      <c r="L132" t="s">
        <v>10955</v>
      </c>
      <c r="M132" t="s">
        <v>10956</v>
      </c>
      <c r="N132" t="s">
        <v>10957</v>
      </c>
      <c r="O132" t="s">
        <v>10958</v>
      </c>
      <c r="P132" t="s">
        <v>10959</v>
      </c>
      <c r="Q132" t="s">
        <v>10960</v>
      </c>
      <c r="R132" t="s">
        <v>10961</v>
      </c>
      <c r="S132" t="s">
        <v>10962</v>
      </c>
      <c r="T132" t="s">
        <v>10963</v>
      </c>
      <c r="U132" t="s">
        <v>10964</v>
      </c>
      <c r="V132" t="s">
        <v>10965</v>
      </c>
      <c r="W132" t="s">
        <v>10966</v>
      </c>
      <c r="X132" t="s">
        <v>10967</v>
      </c>
      <c r="Y132" t="s">
        <v>10968</v>
      </c>
      <c r="Z132" t="s">
        <v>10969</v>
      </c>
      <c r="AA132" t="s">
        <v>10970</v>
      </c>
      <c r="AB132" t="s">
        <v>10971</v>
      </c>
      <c r="AC132" t="s">
        <v>10972</v>
      </c>
      <c r="AD132" t="s">
        <v>10973</v>
      </c>
      <c r="AE132" t="s">
        <v>10974</v>
      </c>
      <c r="AF132" t="s">
        <v>10975</v>
      </c>
      <c r="AG132" t="s">
        <v>10976</v>
      </c>
      <c r="AH132" t="s">
        <v>10977</v>
      </c>
      <c r="AI132" t="s">
        <v>10978</v>
      </c>
      <c r="AJ132" t="s">
        <v>10979</v>
      </c>
      <c r="AK132" t="s">
        <v>10980</v>
      </c>
      <c r="AL132" t="s">
        <v>10981</v>
      </c>
      <c r="AM132" t="s">
        <v>10982</v>
      </c>
      <c r="AN132" t="s">
        <v>10983</v>
      </c>
      <c r="AO132" t="s">
        <v>10984</v>
      </c>
      <c r="AP132" t="s">
        <v>10985</v>
      </c>
      <c r="AQ132" t="s">
        <v>10986</v>
      </c>
      <c r="AR132" t="s">
        <v>10987</v>
      </c>
      <c r="AS132" t="s">
        <v>10988</v>
      </c>
      <c r="AT132" t="s">
        <v>10989</v>
      </c>
      <c r="AU132" t="s">
        <v>10990</v>
      </c>
      <c r="AV132" t="s">
        <v>10991</v>
      </c>
      <c r="AW132" t="s">
        <v>10992</v>
      </c>
      <c r="AX132" t="s">
        <v>10993</v>
      </c>
      <c r="AY132" t="s">
        <v>10994</v>
      </c>
      <c r="AZ132" t="s">
        <v>10995</v>
      </c>
      <c r="BA132" t="s">
        <v>10996</v>
      </c>
      <c r="BB132" t="s">
        <v>10997</v>
      </c>
      <c r="BC132" t="s">
        <v>10998</v>
      </c>
      <c r="BD132" t="s">
        <v>10999</v>
      </c>
      <c r="BE132" t="s">
        <v>11000</v>
      </c>
      <c r="BF132" t="s">
        <v>11001</v>
      </c>
      <c r="BG132" t="s">
        <v>11002</v>
      </c>
      <c r="BH132" t="s">
        <v>11003</v>
      </c>
      <c r="BI132" t="s">
        <v>11004</v>
      </c>
      <c r="BJ132" t="s">
        <v>11005</v>
      </c>
      <c r="BK132" t="s">
        <v>11006</v>
      </c>
      <c r="BL132" t="s">
        <v>11007</v>
      </c>
      <c r="BM132" t="s">
        <v>11008</v>
      </c>
      <c r="BN132" t="s">
        <v>11009</v>
      </c>
      <c r="BO132" t="s">
        <v>11010</v>
      </c>
      <c r="BP132" t="s">
        <v>11011</v>
      </c>
      <c r="BR132" t="s">
        <v>274</v>
      </c>
    </row>
    <row r="133" spans="1:70" x14ac:dyDescent="0.3">
      <c r="A133" t="s">
        <v>111</v>
      </c>
      <c r="B133" t="s">
        <v>2541</v>
      </c>
      <c r="C133" t="s">
        <v>4632</v>
      </c>
      <c r="D133" t="s">
        <v>4633</v>
      </c>
      <c r="F133" t="s">
        <v>274</v>
      </c>
      <c r="G133" t="s">
        <v>274</v>
      </c>
      <c r="H133" t="s">
        <v>274</v>
      </c>
      <c r="I133" t="s">
        <v>274</v>
      </c>
      <c r="J133" t="s">
        <v>274</v>
      </c>
      <c r="K133" t="s">
        <v>274</v>
      </c>
      <c r="L133" t="s">
        <v>274</v>
      </c>
      <c r="M133" t="s">
        <v>274</v>
      </c>
      <c r="N133" t="s">
        <v>274</v>
      </c>
      <c r="O133" t="s">
        <v>274</v>
      </c>
      <c r="P133" t="s">
        <v>11012</v>
      </c>
      <c r="Q133" t="s">
        <v>11013</v>
      </c>
      <c r="R133" t="s">
        <v>11014</v>
      </c>
      <c r="S133" t="s">
        <v>11015</v>
      </c>
      <c r="T133" t="s">
        <v>11016</v>
      </c>
      <c r="U133" t="s">
        <v>11017</v>
      </c>
      <c r="V133" t="s">
        <v>11018</v>
      </c>
      <c r="W133" t="s">
        <v>11019</v>
      </c>
      <c r="X133" t="s">
        <v>11020</v>
      </c>
      <c r="Y133" t="s">
        <v>11021</v>
      </c>
      <c r="Z133" t="s">
        <v>11022</v>
      </c>
      <c r="AA133" t="s">
        <v>11023</v>
      </c>
      <c r="AB133" t="s">
        <v>11024</v>
      </c>
      <c r="AC133" t="s">
        <v>11025</v>
      </c>
      <c r="AD133" t="s">
        <v>9420</v>
      </c>
      <c r="AE133" t="s">
        <v>11026</v>
      </c>
      <c r="AF133" t="s">
        <v>11027</v>
      </c>
      <c r="AG133" t="s">
        <v>11028</v>
      </c>
      <c r="AH133" t="s">
        <v>11029</v>
      </c>
      <c r="AI133" t="s">
        <v>11030</v>
      </c>
      <c r="AJ133" t="s">
        <v>11031</v>
      </c>
      <c r="AK133" t="s">
        <v>11032</v>
      </c>
      <c r="AL133" t="s">
        <v>11033</v>
      </c>
      <c r="AM133" t="s">
        <v>11034</v>
      </c>
      <c r="AN133" t="s">
        <v>11035</v>
      </c>
      <c r="AO133" t="s">
        <v>11036</v>
      </c>
      <c r="AP133" t="s">
        <v>11037</v>
      </c>
      <c r="AQ133" t="s">
        <v>11038</v>
      </c>
      <c r="AR133" t="s">
        <v>11039</v>
      </c>
      <c r="AS133" t="s">
        <v>11040</v>
      </c>
      <c r="AT133" t="s">
        <v>11041</v>
      </c>
      <c r="AU133" t="s">
        <v>11042</v>
      </c>
      <c r="AV133" t="s">
        <v>11043</v>
      </c>
      <c r="AW133" t="s">
        <v>11044</v>
      </c>
      <c r="AX133" t="s">
        <v>11045</v>
      </c>
      <c r="AY133" t="s">
        <v>11046</v>
      </c>
      <c r="AZ133" t="s">
        <v>11047</v>
      </c>
      <c r="BA133" t="s">
        <v>11048</v>
      </c>
      <c r="BB133" t="s">
        <v>11049</v>
      </c>
      <c r="BC133" t="s">
        <v>11050</v>
      </c>
      <c r="BD133" t="s">
        <v>11051</v>
      </c>
      <c r="BE133" t="s">
        <v>11052</v>
      </c>
      <c r="BF133" t="s">
        <v>11053</v>
      </c>
      <c r="BG133" t="s">
        <v>11054</v>
      </c>
      <c r="BH133" t="s">
        <v>11055</v>
      </c>
      <c r="BI133" t="s">
        <v>11056</v>
      </c>
      <c r="BJ133" t="s">
        <v>11057</v>
      </c>
      <c r="BK133" t="s">
        <v>11058</v>
      </c>
      <c r="BL133" t="s">
        <v>11059</v>
      </c>
      <c r="BM133" t="s">
        <v>11060</v>
      </c>
      <c r="BN133" t="s">
        <v>11061</v>
      </c>
      <c r="BO133" t="s">
        <v>11062</v>
      </c>
      <c r="BP133" t="s">
        <v>11063</v>
      </c>
      <c r="BR133" t="s">
        <v>274</v>
      </c>
    </row>
    <row r="134" spans="1:70" x14ac:dyDescent="0.3">
      <c r="A134" t="s">
        <v>2587</v>
      </c>
      <c r="B134" t="s">
        <v>2588</v>
      </c>
      <c r="C134" t="s">
        <v>4632</v>
      </c>
      <c r="D134" t="s">
        <v>4633</v>
      </c>
      <c r="F134" t="s">
        <v>11064</v>
      </c>
      <c r="G134" t="s">
        <v>11065</v>
      </c>
      <c r="H134" t="s">
        <v>7794</v>
      </c>
      <c r="I134" t="s">
        <v>9512</v>
      </c>
      <c r="J134" t="s">
        <v>11066</v>
      </c>
      <c r="K134" t="s">
        <v>11067</v>
      </c>
      <c r="L134" t="s">
        <v>5932</v>
      </c>
      <c r="M134" t="s">
        <v>7167</v>
      </c>
      <c r="N134" t="s">
        <v>6060</v>
      </c>
      <c r="O134" t="s">
        <v>9518</v>
      </c>
      <c r="P134" t="s">
        <v>9911</v>
      </c>
      <c r="Q134" t="s">
        <v>11068</v>
      </c>
      <c r="R134" t="s">
        <v>11069</v>
      </c>
      <c r="S134" t="s">
        <v>11070</v>
      </c>
      <c r="T134" t="s">
        <v>11071</v>
      </c>
      <c r="U134" t="s">
        <v>11072</v>
      </c>
      <c r="V134" t="s">
        <v>11073</v>
      </c>
      <c r="W134" t="s">
        <v>11074</v>
      </c>
      <c r="X134" t="s">
        <v>11075</v>
      </c>
      <c r="Y134" t="s">
        <v>11076</v>
      </c>
      <c r="Z134" t="s">
        <v>8380</v>
      </c>
      <c r="AA134" t="s">
        <v>11077</v>
      </c>
      <c r="AB134" t="s">
        <v>5948</v>
      </c>
      <c r="AC134" t="s">
        <v>7183</v>
      </c>
      <c r="AD134" t="s">
        <v>9288</v>
      </c>
      <c r="AE134" t="s">
        <v>9664</v>
      </c>
      <c r="AF134" t="s">
        <v>7186</v>
      </c>
      <c r="AG134" t="s">
        <v>10546</v>
      </c>
      <c r="AH134" t="s">
        <v>11078</v>
      </c>
      <c r="AI134" t="s">
        <v>9538</v>
      </c>
      <c r="AJ134" t="s">
        <v>11079</v>
      </c>
      <c r="AK134" t="s">
        <v>6083</v>
      </c>
      <c r="AL134" t="s">
        <v>9541</v>
      </c>
      <c r="AM134" t="s">
        <v>11080</v>
      </c>
      <c r="AN134" t="s">
        <v>9832</v>
      </c>
      <c r="AO134" t="s">
        <v>11081</v>
      </c>
      <c r="AP134" t="s">
        <v>7993</v>
      </c>
      <c r="AQ134" t="s">
        <v>7654</v>
      </c>
      <c r="AR134" t="s">
        <v>7655</v>
      </c>
      <c r="AS134" t="s">
        <v>9302</v>
      </c>
      <c r="AT134" t="s">
        <v>11082</v>
      </c>
      <c r="AU134" t="s">
        <v>11083</v>
      </c>
      <c r="AV134" t="s">
        <v>7828</v>
      </c>
      <c r="AW134" t="s">
        <v>7055</v>
      </c>
      <c r="AX134" t="s">
        <v>6096</v>
      </c>
      <c r="AY134" t="s">
        <v>6160</v>
      </c>
      <c r="AZ134" t="s">
        <v>6161</v>
      </c>
      <c r="BA134" t="s">
        <v>6162</v>
      </c>
      <c r="BB134" t="s">
        <v>11084</v>
      </c>
      <c r="BC134" t="s">
        <v>7666</v>
      </c>
      <c r="BD134" t="s">
        <v>11085</v>
      </c>
      <c r="BE134" t="s">
        <v>11086</v>
      </c>
      <c r="BF134" t="s">
        <v>9315</v>
      </c>
      <c r="BG134" t="s">
        <v>11087</v>
      </c>
      <c r="BH134" t="s">
        <v>11088</v>
      </c>
      <c r="BI134" t="s">
        <v>9563</v>
      </c>
      <c r="BJ134" t="s">
        <v>6171</v>
      </c>
      <c r="BK134" t="s">
        <v>11089</v>
      </c>
      <c r="BL134" t="s">
        <v>9210</v>
      </c>
      <c r="BM134" t="s">
        <v>9322</v>
      </c>
      <c r="BN134" t="s">
        <v>9568</v>
      </c>
      <c r="BO134" t="s">
        <v>5987</v>
      </c>
      <c r="BP134" t="s">
        <v>11090</v>
      </c>
      <c r="BR134" t="s">
        <v>274</v>
      </c>
    </row>
    <row r="135" spans="1:70" x14ac:dyDescent="0.3">
      <c r="A135" t="s">
        <v>112</v>
      </c>
      <c r="B135" t="s">
        <v>2589</v>
      </c>
      <c r="C135" t="s">
        <v>4632</v>
      </c>
      <c r="D135" t="s">
        <v>4633</v>
      </c>
      <c r="F135" t="s">
        <v>274</v>
      </c>
      <c r="G135" t="s">
        <v>274</v>
      </c>
      <c r="H135" t="s">
        <v>274</v>
      </c>
      <c r="I135" t="s">
        <v>274</v>
      </c>
      <c r="J135" t="s">
        <v>274</v>
      </c>
      <c r="K135" t="s">
        <v>274</v>
      </c>
      <c r="L135" t="s">
        <v>274</v>
      </c>
      <c r="M135" t="s">
        <v>274</v>
      </c>
      <c r="N135" t="s">
        <v>274</v>
      </c>
      <c r="O135" t="s">
        <v>274</v>
      </c>
      <c r="P135" t="s">
        <v>274</v>
      </c>
      <c r="Q135" t="s">
        <v>274</v>
      </c>
      <c r="R135" t="s">
        <v>274</v>
      </c>
      <c r="S135" t="s">
        <v>274</v>
      </c>
      <c r="T135" t="s">
        <v>274</v>
      </c>
      <c r="U135" t="s">
        <v>274</v>
      </c>
      <c r="V135" t="s">
        <v>274</v>
      </c>
      <c r="W135" t="s">
        <v>274</v>
      </c>
      <c r="X135" t="s">
        <v>274</v>
      </c>
      <c r="Y135" t="s">
        <v>274</v>
      </c>
      <c r="Z135" t="s">
        <v>274</v>
      </c>
      <c r="AA135" t="s">
        <v>274</v>
      </c>
      <c r="AB135" t="s">
        <v>274</v>
      </c>
      <c r="AC135" t="s">
        <v>274</v>
      </c>
      <c r="AD135" t="s">
        <v>11091</v>
      </c>
      <c r="AE135" t="s">
        <v>11092</v>
      </c>
      <c r="AF135" t="s">
        <v>11093</v>
      </c>
      <c r="AG135" t="s">
        <v>11094</v>
      </c>
      <c r="AH135" t="s">
        <v>11095</v>
      </c>
      <c r="AI135" t="s">
        <v>11096</v>
      </c>
      <c r="AJ135" t="s">
        <v>11097</v>
      </c>
      <c r="AK135" t="s">
        <v>11098</v>
      </c>
      <c r="AL135" t="s">
        <v>11099</v>
      </c>
      <c r="AM135" t="s">
        <v>7764</v>
      </c>
      <c r="AN135" t="s">
        <v>11100</v>
      </c>
      <c r="AO135" t="s">
        <v>11101</v>
      </c>
      <c r="AP135" t="s">
        <v>11102</v>
      </c>
      <c r="AQ135" t="s">
        <v>11103</v>
      </c>
      <c r="AR135" t="s">
        <v>11104</v>
      </c>
      <c r="AS135" t="s">
        <v>11105</v>
      </c>
      <c r="AT135" t="s">
        <v>11106</v>
      </c>
      <c r="AU135" t="s">
        <v>11107</v>
      </c>
      <c r="AV135" t="s">
        <v>11108</v>
      </c>
      <c r="AW135" t="s">
        <v>11109</v>
      </c>
      <c r="AX135" t="s">
        <v>11110</v>
      </c>
      <c r="AY135" t="s">
        <v>11111</v>
      </c>
      <c r="AZ135" t="s">
        <v>11112</v>
      </c>
      <c r="BA135" t="s">
        <v>11113</v>
      </c>
      <c r="BB135" t="s">
        <v>11114</v>
      </c>
      <c r="BC135" t="s">
        <v>11115</v>
      </c>
      <c r="BD135" t="s">
        <v>11116</v>
      </c>
      <c r="BE135" t="s">
        <v>11117</v>
      </c>
      <c r="BF135" t="s">
        <v>11118</v>
      </c>
      <c r="BG135" t="s">
        <v>11119</v>
      </c>
      <c r="BH135" t="s">
        <v>11120</v>
      </c>
      <c r="BI135" t="s">
        <v>11121</v>
      </c>
      <c r="BJ135" t="s">
        <v>11122</v>
      </c>
      <c r="BK135" t="s">
        <v>11123</v>
      </c>
      <c r="BL135" t="s">
        <v>11124</v>
      </c>
      <c r="BM135" t="s">
        <v>11125</v>
      </c>
      <c r="BN135" t="s">
        <v>7789</v>
      </c>
      <c r="BO135" t="s">
        <v>11126</v>
      </c>
      <c r="BP135" t="s">
        <v>11127</v>
      </c>
      <c r="BR135" t="s">
        <v>274</v>
      </c>
    </row>
    <row r="136" spans="1:70" x14ac:dyDescent="0.3">
      <c r="A136" t="s">
        <v>113</v>
      </c>
      <c r="B136" t="s">
        <v>2601</v>
      </c>
      <c r="C136" t="s">
        <v>4632</v>
      </c>
      <c r="D136" t="s">
        <v>4633</v>
      </c>
      <c r="F136" t="s">
        <v>274</v>
      </c>
      <c r="G136" t="s">
        <v>274</v>
      </c>
      <c r="H136" t="s">
        <v>274</v>
      </c>
      <c r="I136" t="s">
        <v>274</v>
      </c>
      <c r="J136" t="s">
        <v>274</v>
      </c>
      <c r="K136" t="s">
        <v>274</v>
      </c>
      <c r="L136" t="s">
        <v>274</v>
      </c>
      <c r="M136" t="s">
        <v>274</v>
      </c>
      <c r="N136" t="s">
        <v>274</v>
      </c>
      <c r="O136" t="s">
        <v>274</v>
      </c>
      <c r="P136" t="s">
        <v>274</v>
      </c>
      <c r="Q136" t="s">
        <v>274</v>
      </c>
      <c r="R136" t="s">
        <v>274</v>
      </c>
      <c r="S136" t="s">
        <v>274</v>
      </c>
      <c r="T136" t="s">
        <v>274</v>
      </c>
      <c r="U136" t="s">
        <v>274</v>
      </c>
      <c r="V136" t="s">
        <v>274</v>
      </c>
      <c r="W136" t="s">
        <v>274</v>
      </c>
      <c r="X136" t="s">
        <v>274</v>
      </c>
      <c r="Y136" t="s">
        <v>274</v>
      </c>
      <c r="Z136" t="s">
        <v>274</v>
      </c>
      <c r="AA136" t="s">
        <v>274</v>
      </c>
      <c r="AB136" t="s">
        <v>274</v>
      </c>
      <c r="AC136" t="s">
        <v>274</v>
      </c>
      <c r="AD136" t="s">
        <v>274</v>
      </c>
      <c r="AE136" t="s">
        <v>274</v>
      </c>
      <c r="AF136" t="s">
        <v>274</v>
      </c>
      <c r="AG136" t="s">
        <v>274</v>
      </c>
      <c r="AH136" t="s">
        <v>11128</v>
      </c>
      <c r="AI136" t="s">
        <v>11129</v>
      </c>
      <c r="AJ136" t="s">
        <v>11130</v>
      </c>
      <c r="AK136" t="s">
        <v>11131</v>
      </c>
      <c r="AL136" t="s">
        <v>11132</v>
      </c>
      <c r="AM136" t="s">
        <v>11133</v>
      </c>
      <c r="AN136" t="s">
        <v>11134</v>
      </c>
      <c r="AO136" t="s">
        <v>11135</v>
      </c>
      <c r="AP136" t="s">
        <v>11136</v>
      </c>
      <c r="AQ136" t="s">
        <v>11137</v>
      </c>
      <c r="AR136" t="s">
        <v>11138</v>
      </c>
      <c r="AS136" t="s">
        <v>11139</v>
      </c>
      <c r="AT136" t="s">
        <v>11140</v>
      </c>
      <c r="AU136" t="s">
        <v>9794</v>
      </c>
      <c r="AV136" t="s">
        <v>11141</v>
      </c>
      <c r="AW136" t="s">
        <v>11142</v>
      </c>
      <c r="AX136" t="s">
        <v>11143</v>
      </c>
      <c r="AY136" t="s">
        <v>11144</v>
      </c>
      <c r="AZ136" t="s">
        <v>11145</v>
      </c>
      <c r="BA136" t="s">
        <v>11146</v>
      </c>
      <c r="BB136" t="s">
        <v>11147</v>
      </c>
      <c r="BC136" t="s">
        <v>11148</v>
      </c>
      <c r="BD136" t="s">
        <v>11149</v>
      </c>
      <c r="BE136" t="s">
        <v>11150</v>
      </c>
      <c r="BF136" t="s">
        <v>11151</v>
      </c>
      <c r="BG136" t="s">
        <v>11152</v>
      </c>
      <c r="BH136" t="s">
        <v>11153</v>
      </c>
      <c r="BI136" t="s">
        <v>11154</v>
      </c>
      <c r="BJ136" t="s">
        <v>11155</v>
      </c>
      <c r="BK136" t="s">
        <v>11156</v>
      </c>
      <c r="BL136" t="s">
        <v>11157</v>
      </c>
      <c r="BM136" t="s">
        <v>11158</v>
      </c>
      <c r="BN136" t="s">
        <v>11159</v>
      </c>
      <c r="BO136" t="s">
        <v>11160</v>
      </c>
      <c r="BP136" t="s">
        <v>274</v>
      </c>
      <c r="BR136" t="s">
        <v>274</v>
      </c>
    </row>
    <row r="137" spans="1:70" x14ac:dyDescent="0.3">
      <c r="A137" t="s">
        <v>114</v>
      </c>
      <c r="B137" t="s">
        <v>2638</v>
      </c>
      <c r="C137" t="s">
        <v>4632</v>
      </c>
      <c r="D137" t="s">
        <v>4633</v>
      </c>
      <c r="F137" t="s">
        <v>11161</v>
      </c>
      <c r="G137" t="s">
        <v>11162</v>
      </c>
      <c r="H137" t="s">
        <v>11163</v>
      </c>
      <c r="I137" t="s">
        <v>11164</v>
      </c>
      <c r="J137" t="s">
        <v>11165</v>
      </c>
      <c r="K137" t="s">
        <v>11166</v>
      </c>
      <c r="L137" t="s">
        <v>11167</v>
      </c>
      <c r="M137" t="s">
        <v>11168</v>
      </c>
      <c r="N137" t="s">
        <v>11169</v>
      </c>
      <c r="O137" t="s">
        <v>11170</v>
      </c>
      <c r="P137" t="s">
        <v>11171</v>
      </c>
      <c r="Q137" t="s">
        <v>11172</v>
      </c>
      <c r="R137" t="s">
        <v>11173</v>
      </c>
      <c r="S137" t="s">
        <v>11174</v>
      </c>
      <c r="T137" t="s">
        <v>11175</v>
      </c>
      <c r="U137" t="s">
        <v>11176</v>
      </c>
      <c r="V137" t="s">
        <v>11177</v>
      </c>
      <c r="W137" t="s">
        <v>11178</v>
      </c>
      <c r="X137" t="s">
        <v>11179</v>
      </c>
      <c r="Y137" t="s">
        <v>11180</v>
      </c>
      <c r="Z137" t="s">
        <v>11181</v>
      </c>
      <c r="AA137" t="s">
        <v>11182</v>
      </c>
      <c r="AB137" t="s">
        <v>11183</v>
      </c>
      <c r="AC137" t="s">
        <v>11184</v>
      </c>
      <c r="AD137" t="s">
        <v>11185</v>
      </c>
      <c r="AE137" t="s">
        <v>11186</v>
      </c>
      <c r="AF137" t="s">
        <v>11187</v>
      </c>
      <c r="AG137" t="s">
        <v>11188</v>
      </c>
      <c r="AH137" t="s">
        <v>11189</v>
      </c>
      <c r="AI137" t="s">
        <v>11190</v>
      </c>
      <c r="AJ137" t="s">
        <v>11191</v>
      </c>
      <c r="AK137" t="s">
        <v>11192</v>
      </c>
      <c r="AL137" t="s">
        <v>11193</v>
      </c>
      <c r="AM137" t="s">
        <v>11194</v>
      </c>
      <c r="AN137" t="s">
        <v>11195</v>
      </c>
      <c r="AO137" t="s">
        <v>11196</v>
      </c>
      <c r="AP137" t="s">
        <v>11197</v>
      </c>
      <c r="AQ137" t="s">
        <v>11198</v>
      </c>
      <c r="AR137" t="s">
        <v>11199</v>
      </c>
      <c r="AS137" t="s">
        <v>11200</v>
      </c>
      <c r="AT137" t="s">
        <v>11201</v>
      </c>
      <c r="AU137" t="s">
        <v>11202</v>
      </c>
      <c r="AV137" t="s">
        <v>11203</v>
      </c>
      <c r="AW137" t="s">
        <v>11204</v>
      </c>
      <c r="AX137" t="s">
        <v>11205</v>
      </c>
      <c r="AY137" t="s">
        <v>11206</v>
      </c>
      <c r="AZ137" t="s">
        <v>11207</v>
      </c>
      <c r="BA137" t="s">
        <v>11208</v>
      </c>
      <c r="BB137" t="s">
        <v>11209</v>
      </c>
      <c r="BC137" t="s">
        <v>11210</v>
      </c>
      <c r="BD137" t="s">
        <v>11211</v>
      </c>
      <c r="BE137" t="s">
        <v>11212</v>
      </c>
      <c r="BF137" t="s">
        <v>11213</v>
      </c>
      <c r="BG137" t="s">
        <v>11214</v>
      </c>
      <c r="BH137" t="s">
        <v>11215</v>
      </c>
      <c r="BI137" t="s">
        <v>11216</v>
      </c>
      <c r="BJ137" t="s">
        <v>11217</v>
      </c>
      <c r="BK137" t="s">
        <v>11218</v>
      </c>
      <c r="BL137" t="s">
        <v>11219</v>
      </c>
      <c r="BM137" t="s">
        <v>11220</v>
      </c>
      <c r="BN137" t="s">
        <v>11221</v>
      </c>
      <c r="BO137" t="s">
        <v>9613</v>
      </c>
      <c r="BP137" t="s">
        <v>11222</v>
      </c>
      <c r="BR137" t="s">
        <v>274</v>
      </c>
    </row>
    <row r="138" spans="1:70" x14ac:dyDescent="0.3">
      <c r="A138" t="s">
        <v>115</v>
      </c>
      <c r="B138" t="s">
        <v>2674</v>
      </c>
      <c r="C138" t="s">
        <v>4632</v>
      </c>
      <c r="D138" t="s">
        <v>4633</v>
      </c>
      <c r="F138" t="s">
        <v>11223</v>
      </c>
      <c r="G138" t="s">
        <v>11224</v>
      </c>
      <c r="H138" t="s">
        <v>11225</v>
      </c>
      <c r="I138" t="s">
        <v>11226</v>
      </c>
      <c r="J138" t="s">
        <v>11227</v>
      </c>
      <c r="K138" t="s">
        <v>11228</v>
      </c>
      <c r="L138" t="s">
        <v>11229</v>
      </c>
      <c r="M138" t="s">
        <v>11230</v>
      </c>
      <c r="N138" t="s">
        <v>11231</v>
      </c>
      <c r="O138" t="s">
        <v>11232</v>
      </c>
      <c r="P138" t="s">
        <v>11233</v>
      </c>
      <c r="Q138" t="s">
        <v>11234</v>
      </c>
      <c r="R138" t="s">
        <v>11235</v>
      </c>
      <c r="S138" t="s">
        <v>11236</v>
      </c>
      <c r="T138" t="s">
        <v>11237</v>
      </c>
      <c r="U138" t="s">
        <v>11238</v>
      </c>
      <c r="V138" t="s">
        <v>11239</v>
      </c>
      <c r="W138" t="s">
        <v>11240</v>
      </c>
      <c r="X138" t="s">
        <v>11241</v>
      </c>
      <c r="Y138" t="s">
        <v>11242</v>
      </c>
      <c r="Z138" t="s">
        <v>11243</v>
      </c>
      <c r="AA138" t="s">
        <v>11244</v>
      </c>
      <c r="AB138" t="s">
        <v>11245</v>
      </c>
      <c r="AC138" t="s">
        <v>11246</v>
      </c>
      <c r="AD138" t="s">
        <v>11247</v>
      </c>
      <c r="AE138" t="s">
        <v>11248</v>
      </c>
      <c r="AF138" t="s">
        <v>11249</v>
      </c>
      <c r="AG138" t="s">
        <v>11250</v>
      </c>
      <c r="AH138" t="s">
        <v>11251</v>
      </c>
      <c r="AI138" t="s">
        <v>11252</v>
      </c>
      <c r="AJ138" t="s">
        <v>11253</v>
      </c>
      <c r="AK138" t="s">
        <v>11254</v>
      </c>
      <c r="AL138" t="s">
        <v>11255</v>
      </c>
      <c r="AM138" t="s">
        <v>11256</v>
      </c>
      <c r="AN138" t="s">
        <v>7822</v>
      </c>
      <c r="AO138" t="s">
        <v>11257</v>
      </c>
      <c r="AP138" t="s">
        <v>11258</v>
      </c>
      <c r="AQ138" t="s">
        <v>11259</v>
      </c>
      <c r="AR138" t="s">
        <v>11260</v>
      </c>
      <c r="AS138" t="s">
        <v>11261</v>
      </c>
      <c r="AT138" t="s">
        <v>11262</v>
      </c>
      <c r="AU138" t="s">
        <v>11263</v>
      </c>
      <c r="AV138" t="s">
        <v>11264</v>
      </c>
      <c r="AW138" t="s">
        <v>11265</v>
      </c>
      <c r="AX138" t="s">
        <v>11266</v>
      </c>
      <c r="AY138" t="s">
        <v>11267</v>
      </c>
      <c r="AZ138" t="s">
        <v>11268</v>
      </c>
      <c r="BA138" t="s">
        <v>11269</v>
      </c>
      <c r="BB138" t="s">
        <v>11270</v>
      </c>
      <c r="BC138" t="s">
        <v>11271</v>
      </c>
      <c r="BD138" t="s">
        <v>11272</v>
      </c>
      <c r="BE138" t="s">
        <v>11273</v>
      </c>
      <c r="BF138" t="s">
        <v>11274</v>
      </c>
      <c r="BG138" t="s">
        <v>11275</v>
      </c>
      <c r="BH138" t="s">
        <v>11276</v>
      </c>
      <c r="BI138" t="s">
        <v>11277</v>
      </c>
      <c r="BJ138" t="s">
        <v>11278</v>
      </c>
      <c r="BK138" t="s">
        <v>11279</v>
      </c>
      <c r="BL138" t="s">
        <v>11280</v>
      </c>
      <c r="BM138" t="s">
        <v>11281</v>
      </c>
      <c r="BN138" t="s">
        <v>11282</v>
      </c>
      <c r="BO138" t="s">
        <v>11283</v>
      </c>
      <c r="BP138" t="s">
        <v>11284</v>
      </c>
      <c r="BR138" t="s">
        <v>274</v>
      </c>
    </row>
    <row r="139" spans="1:70" x14ac:dyDescent="0.3">
      <c r="A139" t="s">
        <v>116</v>
      </c>
      <c r="B139" t="s">
        <v>2677</v>
      </c>
      <c r="C139" t="s">
        <v>4632</v>
      </c>
      <c r="D139" t="s">
        <v>4633</v>
      </c>
      <c r="F139" t="s">
        <v>274</v>
      </c>
      <c r="G139" t="s">
        <v>274</v>
      </c>
      <c r="H139" t="s">
        <v>274</v>
      </c>
      <c r="I139" t="s">
        <v>274</v>
      </c>
      <c r="J139" t="s">
        <v>274</v>
      </c>
      <c r="K139" t="s">
        <v>274</v>
      </c>
      <c r="L139" t="s">
        <v>274</v>
      </c>
      <c r="M139" t="s">
        <v>274</v>
      </c>
      <c r="N139" t="s">
        <v>274</v>
      </c>
      <c r="O139" t="s">
        <v>274</v>
      </c>
      <c r="P139" t="s">
        <v>274</v>
      </c>
      <c r="Q139" t="s">
        <v>274</v>
      </c>
      <c r="R139" t="s">
        <v>274</v>
      </c>
      <c r="S139" t="s">
        <v>274</v>
      </c>
      <c r="T139" t="s">
        <v>274</v>
      </c>
      <c r="U139" t="s">
        <v>274</v>
      </c>
      <c r="V139" t="s">
        <v>274</v>
      </c>
      <c r="W139" t="s">
        <v>274</v>
      </c>
      <c r="X139" t="s">
        <v>274</v>
      </c>
      <c r="Y139" t="s">
        <v>274</v>
      </c>
      <c r="Z139" t="s">
        <v>7243</v>
      </c>
      <c r="AA139" t="s">
        <v>11285</v>
      </c>
      <c r="AB139" t="s">
        <v>11286</v>
      </c>
      <c r="AC139" t="s">
        <v>11287</v>
      </c>
      <c r="AD139" t="s">
        <v>7245</v>
      </c>
      <c r="AE139" t="s">
        <v>11288</v>
      </c>
      <c r="AF139" t="s">
        <v>11289</v>
      </c>
      <c r="AG139" t="s">
        <v>11290</v>
      </c>
      <c r="AH139" t="s">
        <v>9928</v>
      </c>
      <c r="AI139" t="s">
        <v>11291</v>
      </c>
      <c r="AJ139" t="s">
        <v>11292</v>
      </c>
      <c r="AK139" t="s">
        <v>11293</v>
      </c>
      <c r="AL139" t="s">
        <v>11294</v>
      </c>
      <c r="AM139" t="s">
        <v>11295</v>
      </c>
      <c r="AN139" t="s">
        <v>11296</v>
      </c>
      <c r="AO139" t="s">
        <v>11297</v>
      </c>
      <c r="AP139" t="s">
        <v>11298</v>
      </c>
      <c r="AQ139" t="s">
        <v>11299</v>
      </c>
      <c r="AR139" t="s">
        <v>11300</v>
      </c>
      <c r="AS139" t="s">
        <v>11301</v>
      </c>
      <c r="AT139" t="s">
        <v>11302</v>
      </c>
      <c r="AU139" t="s">
        <v>11303</v>
      </c>
      <c r="AV139" t="s">
        <v>11304</v>
      </c>
      <c r="AW139" t="s">
        <v>11305</v>
      </c>
      <c r="AX139" t="s">
        <v>11306</v>
      </c>
      <c r="AY139" t="s">
        <v>11307</v>
      </c>
      <c r="AZ139" t="s">
        <v>11308</v>
      </c>
      <c r="BA139" t="s">
        <v>7256</v>
      </c>
      <c r="BB139" t="s">
        <v>7257</v>
      </c>
      <c r="BC139" t="s">
        <v>11309</v>
      </c>
      <c r="BD139" t="s">
        <v>11310</v>
      </c>
      <c r="BE139" t="s">
        <v>11311</v>
      </c>
      <c r="BF139" t="s">
        <v>11312</v>
      </c>
      <c r="BG139" t="s">
        <v>11313</v>
      </c>
      <c r="BH139" t="s">
        <v>11314</v>
      </c>
      <c r="BI139" t="s">
        <v>11315</v>
      </c>
      <c r="BJ139" t="s">
        <v>11316</v>
      </c>
      <c r="BK139" t="s">
        <v>11317</v>
      </c>
      <c r="BL139" t="s">
        <v>7262</v>
      </c>
      <c r="BM139" t="s">
        <v>11318</v>
      </c>
      <c r="BN139" t="s">
        <v>11319</v>
      </c>
      <c r="BO139" t="s">
        <v>7265</v>
      </c>
      <c r="BP139" t="s">
        <v>11320</v>
      </c>
      <c r="BR139" t="s">
        <v>274</v>
      </c>
    </row>
    <row r="140" spans="1:70" x14ac:dyDescent="0.3">
      <c r="A140" t="s">
        <v>117</v>
      </c>
      <c r="B140" t="s">
        <v>2719</v>
      </c>
      <c r="C140" t="s">
        <v>4632</v>
      </c>
      <c r="D140" t="s">
        <v>4633</v>
      </c>
      <c r="F140" t="s">
        <v>11321</v>
      </c>
      <c r="G140" t="s">
        <v>11322</v>
      </c>
      <c r="H140" t="s">
        <v>11323</v>
      </c>
      <c r="I140" t="s">
        <v>11324</v>
      </c>
      <c r="J140" t="s">
        <v>11325</v>
      </c>
      <c r="K140" t="s">
        <v>9811</v>
      </c>
      <c r="L140" t="s">
        <v>11326</v>
      </c>
      <c r="M140" t="s">
        <v>11327</v>
      </c>
      <c r="N140" t="s">
        <v>11328</v>
      </c>
      <c r="O140" t="s">
        <v>11329</v>
      </c>
      <c r="P140" t="s">
        <v>7802</v>
      </c>
      <c r="Q140" t="s">
        <v>5808</v>
      </c>
      <c r="R140" t="s">
        <v>5938</v>
      </c>
      <c r="S140" t="s">
        <v>7173</v>
      </c>
      <c r="T140" t="s">
        <v>11330</v>
      </c>
      <c r="U140" t="s">
        <v>6067</v>
      </c>
      <c r="V140" t="s">
        <v>6068</v>
      </c>
      <c r="W140" t="s">
        <v>5184</v>
      </c>
      <c r="X140" t="s">
        <v>7975</v>
      </c>
      <c r="Y140" t="s">
        <v>7179</v>
      </c>
      <c r="Z140" t="s">
        <v>11331</v>
      </c>
      <c r="AA140" t="s">
        <v>11332</v>
      </c>
      <c r="AB140" t="s">
        <v>11333</v>
      </c>
      <c r="AC140" t="s">
        <v>11334</v>
      </c>
      <c r="AD140" t="s">
        <v>11335</v>
      </c>
      <c r="AE140" t="s">
        <v>11336</v>
      </c>
      <c r="AF140" t="s">
        <v>11337</v>
      </c>
      <c r="AG140" t="s">
        <v>9291</v>
      </c>
      <c r="AH140" t="s">
        <v>9292</v>
      </c>
      <c r="AI140" t="s">
        <v>6081</v>
      </c>
      <c r="AJ140" t="s">
        <v>9669</v>
      </c>
      <c r="AK140" t="s">
        <v>7648</v>
      </c>
      <c r="AL140" t="s">
        <v>11338</v>
      </c>
      <c r="AM140" t="s">
        <v>9297</v>
      </c>
      <c r="AN140" t="s">
        <v>7291</v>
      </c>
      <c r="AO140" t="s">
        <v>9379</v>
      </c>
      <c r="AP140" t="s">
        <v>4644</v>
      </c>
      <c r="AQ140" t="s">
        <v>11339</v>
      </c>
      <c r="AR140" t="s">
        <v>7655</v>
      </c>
      <c r="AS140" t="s">
        <v>6674</v>
      </c>
      <c r="AT140" t="s">
        <v>11340</v>
      </c>
      <c r="AU140" t="s">
        <v>11341</v>
      </c>
      <c r="AV140" t="s">
        <v>9386</v>
      </c>
      <c r="AW140" t="s">
        <v>9551</v>
      </c>
      <c r="AX140" t="s">
        <v>6096</v>
      </c>
      <c r="AY140" t="s">
        <v>11342</v>
      </c>
      <c r="AZ140" t="s">
        <v>11343</v>
      </c>
      <c r="BA140" t="s">
        <v>11344</v>
      </c>
      <c r="BB140" t="s">
        <v>11345</v>
      </c>
      <c r="BC140" t="s">
        <v>9557</v>
      </c>
      <c r="BD140" t="s">
        <v>11346</v>
      </c>
      <c r="BE140" t="s">
        <v>11347</v>
      </c>
      <c r="BF140" t="s">
        <v>11348</v>
      </c>
      <c r="BG140" t="s">
        <v>11349</v>
      </c>
      <c r="BH140" t="s">
        <v>9398</v>
      </c>
      <c r="BI140" t="s">
        <v>11350</v>
      </c>
      <c r="BJ140" t="s">
        <v>5982</v>
      </c>
      <c r="BK140" t="s">
        <v>7217</v>
      </c>
      <c r="BL140" t="s">
        <v>7337</v>
      </c>
      <c r="BM140" t="s">
        <v>7071</v>
      </c>
      <c r="BN140" t="s">
        <v>11351</v>
      </c>
      <c r="BO140" t="s">
        <v>9324</v>
      </c>
      <c r="BP140" t="s">
        <v>11352</v>
      </c>
      <c r="BR140" t="s">
        <v>274</v>
      </c>
    </row>
    <row r="141" spans="1:70" x14ac:dyDescent="0.3">
      <c r="A141" t="s">
        <v>2720</v>
      </c>
      <c r="B141" t="s">
        <v>2721</v>
      </c>
      <c r="C141" t="s">
        <v>4632</v>
      </c>
      <c r="D141" t="s">
        <v>4633</v>
      </c>
      <c r="F141" t="s">
        <v>11353</v>
      </c>
      <c r="G141" t="s">
        <v>11354</v>
      </c>
      <c r="H141" t="s">
        <v>11355</v>
      </c>
      <c r="I141" t="s">
        <v>11356</v>
      </c>
      <c r="J141" t="s">
        <v>11357</v>
      </c>
      <c r="K141" t="s">
        <v>11358</v>
      </c>
      <c r="L141" t="s">
        <v>11359</v>
      </c>
      <c r="M141" t="s">
        <v>11360</v>
      </c>
      <c r="N141" t="s">
        <v>11361</v>
      </c>
      <c r="O141" t="s">
        <v>11362</v>
      </c>
      <c r="P141" t="s">
        <v>11363</v>
      </c>
      <c r="Q141" t="s">
        <v>11364</v>
      </c>
      <c r="R141" t="s">
        <v>11365</v>
      </c>
      <c r="S141" t="s">
        <v>11366</v>
      </c>
      <c r="T141" t="s">
        <v>11367</v>
      </c>
      <c r="U141" t="s">
        <v>11368</v>
      </c>
      <c r="V141" t="s">
        <v>10865</v>
      </c>
      <c r="W141" t="s">
        <v>11369</v>
      </c>
      <c r="X141" t="s">
        <v>11370</v>
      </c>
      <c r="Y141" t="s">
        <v>5533</v>
      </c>
      <c r="Z141" t="s">
        <v>11371</v>
      </c>
      <c r="AA141" t="s">
        <v>11372</v>
      </c>
      <c r="AB141" t="s">
        <v>11373</v>
      </c>
      <c r="AC141" t="s">
        <v>11374</v>
      </c>
      <c r="AD141" t="s">
        <v>11375</v>
      </c>
      <c r="AE141" t="s">
        <v>7080</v>
      </c>
      <c r="AF141" t="s">
        <v>11376</v>
      </c>
      <c r="AG141" t="s">
        <v>8980</v>
      </c>
      <c r="AH141" t="s">
        <v>11377</v>
      </c>
      <c r="AI141" t="s">
        <v>8982</v>
      </c>
      <c r="AJ141" t="s">
        <v>11097</v>
      </c>
      <c r="AK141" t="s">
        <v>11378</v>
      </c>
      <c r="AL141" t="s">
        <v>11099</v>
      </c>
      <c r="AM141" t="s">
        <v>11379</v>
      </c>
      <c r="AN141" t="s">
        <v>8284</v>
      </c>
      <c r="AO141" t="s">
        <v>11380</v>
      </c>
      <c r="AP141" t="s">
        <v>10838</v>
      </c>
      <c r="AQ141" t="s">
        <v>5614</v>
      </c>
      <c r="AR141" t="s">
        <v>11381</v>
      </c>
      <c r="AS141" t="s">
        <v>11382</v>
      </c>
      <c r="AT141" t="s">
        <v>11383</v>
      </c>
      <c r="AU141" t="s">
        <v>11384</v>
      </c>
      <c r="AV141" t="s">
        <v>11385</v>
      </c>
      <c r="AW141" t="s">
        <v>11386</v>
      </c>
      <c r="AX141" t="s">
        <v>11387</v>
      </c>
      <c r="AY141" t="s">
        <v>11388</v>
      </c>
      <c r="AZ141" t="s">
        <v>11389</v>
      </c>
      <c r="BA141" t="s">
        <v>11390</v>
      </c>
      <c r="BB141" t="s">
        <v>5625</v>
      </c>
      <c r="BC141" t="s">
        <v>11391</v>
      </c>
      <c r="BD141" t="s">
        <v>11392</v>
      </c>
      <c r="BE141" t="s">
        <v>5628</v>
      </c>
      <c r="BF141" t="s">
        <v>11393</v>
      </c>
      <c r="BG141" t="s">
        <v>11394</v>
      </c>
      <c r="BH141" t="s">
        <v>11395</v>
      </c>
      <c r="BI141" t="s">
        <v>11396</v>
      </c>
      <c r="BJ141" t="s">
        <v>11397</v>
      </c>
      <c r="BK141" t="s">
        <v>11398</v>
      </c>
      <c r="BL141" t="s">
        <v>11399</v>
      </c>
      <c r="BM141" t="s">
        <v>11400</v>
      </c>
      <c r="BN141" t="s">
        <v>11401</v>
      </c>
      <c r="BO141" t="s">
        <v>11402</v>
      </c>
      <c r="BP141" t="s">
        <v>11403</v>
      </c>
      <c r="BR141" t="s">
        <v>274</v>
      </c>
    </row>
    <row r="142" spans="1:70" x14ac:dyDescent="0.3">
      <c r="A142" t="s">
        <v>2722</v>
      </c>
      <c r="B142" t="s">
        <v>2723</v>
      </c>
      <c r="C142" t="s">
        <v>4632</v>
      </c>
      <c r="D142" t="s">
        <v>4633</v>
      </c>
      <c r="F142" t="s">
        <v>11404</v>
      </c>
      <c r="G142" t="s">
        <v>11405</v>
      </c>
      <c r="H142" t="s">
        <v>6404</v>
      </c>
      <c r="I142" t="s">
        <v>11406</v>
      </c>
      <c r="J142" t="s">
        <v>11407</v>
      </c>
      <c r="K142" t="s">
        <v>11408</v>
      </c>
      <c r="L142" t="s">
        <v>11409</v>
      </c>
      <c r="M142" t="s">
        <v>8257</v>
      </c>
      <c r="N142" t="s">
        <v>11410</v>
      </c>
      <c r="O142" t="s">
        <v>5398</v>
      </c>
      <c r="P142" t="s">
        <v>11411</v>
      </c>
      <c r="Q142" t="s">
        <v>11412</v>
      </c>
      <c r="R142" t="s">
        <v>11413</v>
      </c>
      <c r="S142" t="s">
        <v>11414</v>
      </c>
      <c r="T142" t="s">
        <v>11415</v>
      </c>
      <c r="U142" t="s">
        <v>11416</v>
      </c>
      <c r="V142" t="s">
        <v>11417</v>
      </c>
      <c r="W142" t="s">
        <v>11418</v>
      </c>
      <c r="X142" t="s">
        <v>11419</v>
      </c>
      <c r="Y142" t="s">
        <v>11420</v>
      </c>
      <c r="Z142" t="s">
        <v>11421</v>
      </c>
      <c r="AA142" t="s">
        <v>9585</v>
      </c>
      <c r="AB142" t="s">
        <v>11373</v>
      </c>
      <c r="AC142" t="s">
        <v>11422</v>
      </c>
      <c r="AD142" t="s">
        <v>11423</v>
      </c>
      <c r="AE142" t="s">
        <v>11424</v>
      </c>
      <c r="AF142" t="s">
        <v>11425</v>
      </c>
      <c r="AG142" t="s">
        <v>9591</v>
      </c>
      <c r="AH142" t="s">
        <v>11426</v>
      </c>
      <c r="AI142" t="s">
        <v>11427</v>
      </c>
      <c r="AJ142" t="s">
        <v>11428</v>
      </c>
      <c r="AK142" t="s">
        <v>11429</v>
      </c>
      <c r="AL142" t="s">
        <v>11430</v>
      </c>
      <c r="AM142" t="s">
        <v>9039</v>
      </c>
      <c r="AN142" t="s">
        <v>11431</v>
      </c>
      <c r="AO142" t="s">
        <v>11380</v>
      </c>
      <c r="AP142" t="s">
        <v>11432</v>
      </c>
      <c r="AQ142" t="s">
        <v>11433</v>
      </c>
      <c r="AR142" t="s">
        <v>11434</v>
      </c>
      <c r="AS142" t="s">
        <v>11435</v>
      </c>
      <c r="AT142" t="s">
        <v>11436</v>
      </c>
      <c r="AU142" t="s">
        <v>11437</v>
      </c>
      <c r="AV142" t="s">
        <v>11438</v>
      </c>
      <c r="AW142" t="s">
        <v>11439</v>
      </c>
      <c r="AX142" t="s">
        <v>11440</v>
      </c>
      <c r="AY142" t="s">
        <v>11441</v>
      </c>
      <c r="AZ142" t="s">
        <v>11442</v>
      </c>
      <c r="BA142" t="s">
        <v>11390</v>
      </c>
      <c r="BB142" t="s">
        <v>9895</v>
      </c>
      <c r="BC142" t="s">
        <v>9002</v>
      </c>
      <c r="BD142" t="s">
        <v>11443</v>
      </c>
      <c r="BE142" t="s">
        <v>5628</v>
      </c>
      <c r="BF142" t="s">
        <v>11213</v>
      </c>
      <c r="BG142" t="s">
        <v>11444</v>
      </c>
      <c r="BH142" t="s">
        <v>11445</v>
      </c>
      <c r="BI142" t="s">
        <v>6941</v>
      </c>
      <c r="BJ142" t="s">
        <v>6458</v>
      </c>
      <c r="BK142" t="s">
        <v>11446</v>
      </c>
      <c r="BL142" t="s">
        <v>11447</v>
      </c>
      <c r="BM142" t="s">
        <v>6945</v>
      </c>
      <c r="BN142" t="s">
        <v>11448</v>
      </c>
      <c r="BO142" t="s">
        <v>11449</v>
      </c>
      <c r="BP142" t="s">
        <v>11450</v>
      </c>
      <c r="BR142" t="s">
        <v>274</v>
      </c>
    </row>
    <row r="143" spans="1:70" x14ac:dyDescent="0.3">
      <c r="A143" t="s">
        <v>2724</v>
      </c>
      <c r="B143" t="s">
        <v>2725</v>
      </c>
      <c r="C143" t="s">
        <v>4632</v>
      </c>
      <c r="D143" t="s">
        <v>4633</v>
      </c>
      <c r="F143" t="s">
        <v>274</v>
      </c>
      <c r="G143" t="s">
        <v>274</v>
      </c>
      <c r="H143" t="s">
        <v>274</v>
      </c>
      <c r="I143" t="s">
        <v>274</v>
      </c>
      <c r="J143" t="s">
        <v>274</v>
      </c>
      <c r="K143" t="s">
        <v>274</v>
      </c>
      <c r="L143" t="s">
        <v>274</v>
      </c>
      <c r="M143" t="s">
        <v>274</v>
      </c>
      <c r="N143" t="s">
        <v>274</v>
      </c>
      <c r="O143" t="s">
        <v>274</v>
      </c>
      <c r="P143" t="s">
        <v>11451</v>
      </c>
      <c r="Q143" t="s">
        <v>11452</v>
      </c>
      <c r="R143" t="s">
        <v>11453</v>
      </c>
      <c r="S143" t="s">
        <v>11454</v>
      </c>
      <c r="T143" t="s">
        <v>11455</v>
      </c>
      <c r="U143" t="s">
        <v>11456</v>
      </c>
      <c r="V143" t="s">
        <v>11457</v>
      </c>
      <c r="W143" t="s">
        <v>11458</v>
      </c>
      <c r="X143" t="s">
        <v>11459</v>
      </c>
      <c r="Y143" t="s">
        <v>11460</v>
      </c>
      <c r="Z143" t="s">
        <v>11461</v>
      </c>
      <c r="AA143" t="s">
        <v>11462</v>
      </c>
      <c r="AB143" t="s">
        <v>11463</v>
      </c>
      <c r="AC143" t="s">
        <v>11464</v>
      </c>
      <c r="AD143" t="s">
        <v>11465</v>
      </c>
      <c r="AE143" t="s">
        <v>11466</v>
      </c>
      <c r="AF143" t="s">
        <v>11467</v>
      </c>
      <c r="AG143" t="s">
        <v>11468</v>
      </c>
      <c r="AH143" t="s">
        <v>11469</v>
      </c>
      <c r="AI143" t="s">
        <v>11470</v>
      </c>
      <c r="AJ143" t="s">
        <v>11471</v>
      </c>
      <c r="AK143" t="s">
        <v>11472</v>
      </c>
      <c r="AL143" t="s">
        <v>11473</v>
      </c>
      <c r="AM143" t="s">
        <v>11474</v>
      </c>
      <c r="AN143" t="s">
        <v>11475</v>
      </c>
      <c r="AO143" t="s">
        <v>11476</v>
      </c>
      <c r="AP143" t="s">
        <v>11477</v>
      </c>
      <c r="AQ143" t="s">
        <v>11478</v>
      </c>
      <c r="AR143" t="s">
        <v>11479</v>
      </c>
      <c r="AS143" t="s">
        <v>11480</v>
      </c>
      <c r="AT143" t="s">
        <v>11481</v>
      </c>
      <c r="AU143" t="s">
        <v>11482</v>
      </c>
      <c r="AV143" t="s">
        <v>11483</v>
      </c>
      <c r="AW143" t="s">
        <v>11484</v>
      </c>
      <c r="AX143" t="s">
        <v>11485</v>
      </c>
      <c r="AY143" t="s">
        <v>11486</v>
      </c>
      <c r="AZ143" t="s">
        <v>11487</v>
      </c>
      <c r="BA143" t="s">
        <v>11488</v>
      </c>
      <c r="BB143" t="s">
        <v>11489</v>
      </c>
      <c r="BC143" t="s">
        <v>274</v>
      </c>
      <c r="BD143" t="s">
        <v>274</v>
      </c>
      <c r="BE143" t="s">
        <v>274</v>
      </c>
      <c r="BF143" t="s">
        <v>274</v>
      </c>
      <c r="BG143" t="s">
        <v>274</v>
      </c>
      <c r="BH143" t="s">
        <v>274</v>
      </c>
      <c r="BI143" t="s">
        <v>274</v>
      </c>
      <c r="BJ143" t="s">
        <v>274</v>
      </c>
      <c r="BK143" t="s">
        <v>274</v>
      </c>
      <c r="BL143" t="s">
        <v>274</v>
      </c>
      <c r="BM143" t="s">
        <v>274</v>
      </c>
      <c r="BN143" t="s">
        <v>274</v>
      </c>
      <c r="BO143" t="s">
        <v>274</v>
      </c>
      <c r="BP143" t="s">
        <v>274</v>
      </c>
      <c r="BR143" t="s">
        <v>274</v>
      </c>
    </row>
    <row r="144" spans="1:70" x14ac:dyDescent="0.3">
      <c r="A144" t="s">
        <v>118</v>
      </c>
      <c r="B144" t="s">
        <v>2726</v>
      </c>
      <c r="C144" t="s">
        <v>4632</v>
      </c>
      <c r="D144" t="s">
        <v>4633</v>
      </c>
      <c r="F144" t="s">
        <v>274</v>
      </c>
      <c r="G144" t="s">
        <v>11490</v>
      </c>
      <c r="H144" t="s">
        <v>10024</v>
      </c>
      <c r="I144" t="s">
        <v>11491</v>
      </c>
      <c r="J144" t="s">
        <v>11492</v>
      </c>
      <c r="K144" t="s">
        <v>11493</v>
      </c>
      <c r="L144" t="s">
        <v>11494</v>
      </c>
      <c r="M144" t="s">
        <v>11495</v>
      </c>
      <c r="N144" t="s">
        <v>11496</v>
      </c>
      <c r="O144" t="s">
        <v>11497</v>
      </c>
      <c r="P144" t="s">
        <v>11498</v>
      </c>
      <c r="Q144" t="s">
        <v>11499</v>
      </c>
      <c r="R144" t="s">
        <v>11500</v>
      </c>
      <c r="S144" t="s">
        <v>11501</v>
      </c>
      <c r="T144" t="s">
        <v>11502</v>
      </c>
      <c r="U144" t="s">
        <v>11503</v>
      </c>
      <c r="V144" t="s">
        <v>11504</v>
      </c>
      <c r="W144" t="s">
        <v>11505</v>
      </c>
      <c r="X144" t="s">
        <v>11506</v>
      </c>
      <c r="Y144" t="s">
        <v>11507</v>
      </c>
      <c r="Z144" t="s">
        <v>11508</v>
      </c>
      <c r="AA144" t="s">
        <v>11509</v>
      </c>
      <c r="AB144" t="s">
        <v>11510</v>
      </c>
      <c r="AC144" t="s">
        <v>11511</v>
      </c>
      <c r="AD144" t="s">
        <v>11512</v>
      </c>
      <c r="AE144" t="s">
        <v>11513</v>
      </c>
      <c r="AF144" t="s">
        <v>11514</v>
      </c>
      <c r="AG144" t="s">
        <v>11515</v>
      </c>
      <c r="AH144" t="s">
        <v>11516</v>
      </c>
      <c r="AI144" t="s">
        <v>11517</v>
      </c>
      <c r="AJ144" t="s">
        <v>11518</v>
      </c>
      <c r="AK144" t="s">
        <v>11519</v>
      </c>
      <c r="AL144" t="s">
        <v>11520</v>
      </c>
      <c r="AM144" t="s">
        <v>11521</v>
      </c>
      <c r="AN144" t="s">
        <v>11522</v>
      </c>
      <c r="AO144" t="s">
        <v>11523</v>
      </c>
      <c r="AP144" t="s">
        <v>11524</v>
      </c>
      <c r="AQ144" t="s">
        <v>11525</v>
      </c>
      <c r="AR144" t="s">
        <v>11526</v>
      </c>
      <c r="AS144" t="s">
        <v>11527</v>
      </c>
      <c r="AT144" t="s">
        <v>11528</v>
      </c>
      <c r="AU144" t="s">
        <v>11529</v>
      </c>
      <c r="AV144" t="s">
        <v>11530</v>
      </c>
      <c r="AW144" t="s">
        <v>11531</v>
      </c>
      <c r="AX144" t="s">
        <v>11532</v>
      </c>
      <c r="AY144" t="s">
        <v>11533</v>
      </c>
      <c r="AZ144" t="s">
        <v>11534</v>
      </c>
      <c r="BA144" t="s">
        <v>11535</v>
      </c>
      <c r="BB144" t="s">
        <v>11536</v>
      </c>
      <c r="BC144" t="s">
        <v>11537</v>
      </c>
      <c r="BD144" t="s">
        <v>11538</v>
      </c>
      <c r="BE144" t="s">
        <v>11539</v>
      </c>
      <c r="BF144" t="s">
        <v>11540</v>
      </c>
      <c r="BG144" t="s">
        <v>11541</v>
      </c>
      <c r="BH144" t="s">
        <v>11542</v>
      </c>
      <c r="BI144" t="s">
        <v>11543</v>
      </c>
      <c r="BJ144" t="s">
        <v>11544</v>
      </c>
      <c r="BK144" t="s">
        <v>11545</v>
      </c>
      <c r="BL144" t="s">
        <v>11546</v>
      </c>
      <c r="BM144" t="s">
        <v>11547</v>
      </c>
      <c r="BN144" t="s">
        <v>11548</v>
      </c>
      <c r="BO144" t="s">
        <v>11549</v>
      </c>
      <c r="BP144" t="s">
        <v>11550</v>
      </c>
      <c r="BR144" t="s">
        <v>274</v>
      </c>
    </row>
    <row r="145" spans="1:70" x14ac:dyDescent="0.3">
      <c r="A145" t="s">
        <v>2743</v>
      </c>
      <c r="B145" t="s">
        <v>2744</v>
      </c>
      <c r="C145" t="s">
        <v>4632</v>
      </c>
      <c r="D145" t="s">
        <v>4633</v>
      </c>
      <c r="F145" t="s">
        <v>274</v>
      </c>
      <c r="G145" t="s">
        <v>11551</v>
      </c>
      <c r="H145" t="s">
        <v>9511</v>
      </c>
      <c r="I145" t="s">
        <v>6952</v>
      </c>
      <c r="J145" t="s">
        <v>6953</v>
      </c>
      <c r="K145" t="s">
        <v>11552</v>
      </c>
      <c r="L145" t="s">
        <v>11553</v>
      </c>
      <c r="M145" t="s">
        <v>11554</v>
      </c>
      <c r="N145" t="s">
        <v>11555</v>
      </c>
      <c r="O145" t="s">
        <v>11556</v>
      </c>
      <c r="P145" t="s">
        <v>7741</v>
      </c>
      <c r="Q145" t="s">
        <v>6291</v>
      </c>
      <c r="R145" t="s">
        <v>11500</v>
      </c>
      <c r="S145" t="s">
        <v>10113</v>
      </c>
      <c r="T145" t="s">
        <v>7745</v>
      </c>
      <c r="U145" t="s">
        <v>11557</v>
      </c>
      <c r="V145" t="s">
        <v>10865</v>
      </c>
      <c r="W145" t="s">
        <v>11558</v>
      </c>
      <c r="X145" t="s">
        <v>8378</v>
      </c>
      <c r="Y145" t="s">
        <v>11559</v>
      </c>
      <c r="Z145" t="s">
        <v>11560</v>
      </c>
      <c r="AA145" t="s">
        <v>11561</v>
      </c>
      <c r="AB145" t="s">
        <v>11562</v>
      </c>
      <c r="AC145" t="s">
        <v>11563</v>
      </c>
      <c r="AD145" t="s">
        <v>10124</v>
      </c>
      <c r="AE145" t="s">
        <v>11564</v>
      </c>
      <c r="AF145" t="s">
        <v>11514</v>
      </c>
      <c r="AG145" t="s">
        <v>11565</v>
      </c>
      <c r="AH145" t="s">
        <v>11566</v>
      </c>
      <c r="AI145" t="s">
        <v>11567</v>
      </c>
      <c r="AJ145" t="s">
        <v>11568</v>
      </c>
      <c r="AK145" t="s">
        <v>8874</v>
      </c>
      <c r="AL145" t="s">
        <v>11569</v>
      </c>
      <c r="AM145" t="s">
        <v>11570</v>
      </c>
      <c r="AN145" t="s">
        <v>11571</v>
      </c>
      <c r="AO145" t="s">
        <v>11572</v>
      </c>
      <c r="AP145" t="s">
        <v>11573</v>
      </c>
      <c r="AQ145" t="s">
        <v>11574</v>
      </c>
      <c r="AR145" t="s">
        <v>11575</v>
      </c>
      <c r="AS145" t="s">
        <v>11576</v>
      </c>
      <c r="AT145" t="s">
        <v>11577</v>
      </c>
      <c r="AU145" t="s">
        <v>11578</v>
      </c>
      <c r="AV145" t="s">
        <v>11579</v>
      </c>
      <c r="AW145" t="s">
        <v>11580</v>
      </c>
      <c r="AX145" t="s">
        <v>11581</v>
      </c>
      <c r="AY145" t="s">
        <v>11582</v>
      </c>
      <c r="AZ145" t="s">
        <v>11583</v>
      </c>
      <c r="BA145" t="s">
        <v>11584</v>
      </c>
      <c r="BB145" t="s">
        <v>11585</v>
      </c>
      <c r="BC145" t="s">
        <v>11586</v>
      </c>
      <c r="BD145" t="s">
        <v>11587</v>
      </c>
      <c r="BE145" t="s">
        <v>11588</v>
      </c>
      <c r="BF145" t="s">
        <v>11589</v>
      </c>
      <c r="BG145" t="s">
        <v>11590</v>
      </c>
      <c r="BH145" t="s">
        <v>6334</v>
      </c>
      <c r="BI145" t="s">
        <v>7784</v>
      </c>
      <c r="BJ145" t="s">
        <v>6336</v>
      </c>
      <c r="BK145" t="s">
        <v>10855</v>
      </c>
      <c r="BL145" t="s">
        <v>11591</v>
      </c>
      <c r="BM145" t="s">
        <v>5699</v>
      </c>
      <c r="BN145" t="s">
        <v>9568</v>
      </c>
      <c r="BO145" t="s">
        <v>6884</v>
      </c>
      <c r="BP145" t="s">
        <v>6885</v>
      </c>
      <c r="BR145" t="s">
        <v>274</v>
      </c>
    </row>
    <row r="146" spans="1:70" x14ac:dyDescent="0.3">
      <c r="A146" t="s">
        <v>2745</v>
      </c>
      <c r="B146" t="s">
        <v>2746</v>
      </c>
      <c r="C146" t="s">
        <v>4632</v>
      </c>
      <c r="D146" t="s">
        <v>4633</v>
      </c>
      <c r="F146" t="s">
        <v>11592</v>
      </c>
      <c r="G146" t="s">
        <v>9807</v>
      </c>
      <c r="H146" t="s">
        <v>11593</v>
      </c>
      <c r="I146" t="s">
        <v>11594</v>
      </c>
      <c r="J146" t="s">
        <v>11595</v>
      </c>
      <c r="K146" t="s">
        <v>11552</v>
      </c>
      <c r="L146" t="s">
        <v>11596</v>
      </c>
      <c r="M146" t="s">
        <v>8257</v>
      </c>
      <c r="N146" t="s">
        <v>8368</v>
      </c>
      <c r="O146" t="s">
        <v>6061</v>
      </c>
      <c r="P146" t="s">
        <v>6290</v>
      </c>
      <c r="Q146" t="s">
        <v>11597</v>
      </c>
      <c r="R146" t="s">
        <v>11598</v>
      </c>
      <c r="S146" t="s">
        <v>11599</v>
      </c>
      <c r="T146" t="s">
        <v>11600</v>
      </c>
      <c r="U146" t="s">
        <v>11601</v>
      </c>
      <c r="V146" t="s">
        <v>7633</v>
      </c>
      <c r="W146" t="s">
        <v>11602</v>
      </c>
      <c r="X146" t="s">
        <v>11603</v>
      </c>
      <c r="Y146" t="s">
        <v>11604</v>
      </c>
      <c r="Z146" t="s">
        <v>7117</v>
      </c>
      <c r="AA146" t="s">
        <v>9824</v>
      </c>
      <c r="AB146" t="s">
        <v>11605</v>
      </c>
      <c r="AC146" t="s">
        <v>9873</v>
      </c>
      <c r="AD146" t="s">
        <v>7518</v>
      </c>
      <c r="AE146" t="s">
        <v>9827</v>
      </c>
      <c r="AF146" t="s">
        <v>7706</v>
      </c>
      <c r="AG146" t="s">
        <v>11606</v>
      </c>
      <c r="AH146" t="s">
        <v>11607</v>
      </c>
      <c r="AI146" t="s">
        <v>11608</v>
      </c>
      <c r="AJ146" t="s">
        <v>10129</v>
      </c>
      <c r="AK146" t="s">
        <v>11609</v>
      </c>
      <c r="AL146" t="s">
        <v>9831</v>
      </c>
      <c r="AM146" t="s">
        <v>11610</v>
      </c>
      <c r="AN146" t="s">
        <v>11611</v>
      </c>
      <c r="AO146" t="s">
        <v>8144</v>
      </c>
      <c r="AP146" t="s">
        <v>7993</v>
      </c>
      <c r="AQ146" t="s">
        <v>11612</v>
      </c>
      <c r="AR146" t="s">
        <v>11613</v>
      </c>
      <c r="AS146" t="s">
        <v>11614</v>
      </c>
      <c r="AT146" t="s">
        <v>9889</v>
      </c>
      <c r="AU146" t="s">
        <v>6801</v>
      </c>
      <c r="AV146" t="s">
        <v>7828</v>
      </c>
      <c r="AW146" t="s">
        <v>11615</v>
      </c>
      <c r="AX146" t="s">
        <v>11616</v>
      </c>
      <c r="AY146" t="s">
        <v>5875</v>
      </c>
      <c r="AZ146" t="s">
        <v>11617</v>
      </c>
      <c r="BA146" t="s">
        <v>11618</v>
      </c>
      <c r="BB146" t="s">
        <v>11619</v>
      </c>
      <c r="BC146" t="s">
        <v>7209</v>
      </c>
      <c r="BD146" t="s">
        <v>11620</v>
      </c>
      <c r="BE146" t="s">
        <v>7834</v>
      </c>
      <c r="BF146" t="s">
        <v>9607</v>
      </c>
      <c r="BG146" t="s">
        <v>11621</v>
      </c>
      <c r="BH146" t="s">
        <v>11622</v>
      </c>
      <c r="BI146" t="s">
        <v>9899</v>
      </c>
      <c r="BJ146" t="s">
        <v>11623</v>
      </c>
      <c r="BK146" t="s">
        <v>11624</v>
      </c>
      <c r="BL146" t="s">
        <v>11625</v>
      </c>
      <c r="BM146" t="s">
        <v>9855</v>
      </c>
      <c r="BN146" t="s">
        <v>11626</v>
      </c>
      <c r="BO146" t="s">
        <v>11627</v>
      </c>
      <c r="BP146" t="s">
        <v>11628</v>
      </c>
      <c r="BR146" t="s">
        <v>274</v>
      </c>
    </row>
    <row r="147" spans="1:70" x14ac:dyDescent="0.3">
      <c r="A147" t="s">
        <v>2747</v>
      </c>
      <c r="B147" t="s">
        <v>2748</v>
      </c>
      <c r="C147" t="s">
        <v>4632</v>
      </c>
      <c r="D147" t="s">
        <v>4633</v>
      </c>
      <c r="F147" t="s">
        <v>11629</v>
      </c>
      <c r="G147" t="s">
        <v>11630</v>
      </c>
      <c r="H147" t="s">
        <v>11631</v>
      </c>
      <c r="I147" t="s">
        <v>11632</v>
      </c>
      <c r="J147" t="s">
        <v>11633</v>
      </c>
      <c r="K147" t="s">
        <v>10025</v>
      </c>
      <c r="L147" t="s">
        <v>11634</v>
      </c>
      <c r="M147" t="s">
        <v>11635</v>
      </c>
      <c r="N147" t="s">
        <v>11636</v>
      </c>
      <c r="O147" t="s">
        <v>11637</v>
      </c>
      <c r="P147" t="s">
        <v>11638</v>
      </c>
      <c r="Q147" t="s">
        <v>11639</v>
      </c>
      <c r="R147" t="s">
        <v>11640</v>
      </c>
      <c r="S147" t="s">
        <v>11641</v>
      </c>
      <c r="T147" t="s">
        <v>11642</v>
      </c>
      <c r="U147" t="s">
        <v>11643</v>
      </c>
      <c r="V147" t="s">
        <v>11644</v>
      </c>
      <c r="W147" t="s">
        <v>11645</v>
      </c>
      <c r="X147" t="s">
        <v>11646</v>
      </c>
      <c r="Y147" t="s">
        <v>11647</v>
      </c>
      <c r="Z147" t="s">
        <v>11648</v>
      </c>
      <c r="AA147" t="s">
        <v>11649</v>
      </c>
      <c r="AB147" t="s">
        <v>4693</v>
      </c>
      <c r="AC147" t="s">
        <v>11650</v>
      </c>
      <c r="AD147" t="s">
        <v>11651</v>
      </c>
      <c r="AE147" t="s">
        <v>11652</v>
      </c>
      <c r="AF147" t="s">
        <v>11653</v>
      </c>
      <c r="AG147" t="s">
        <v>11654</v>
      </c>
      <c r="AH147" t="s">
        <v>4699</v>
      </c>
      <c r="AI147" t="s">
        <v>4700</v>
      </c>
      <c r="AJ147" t="s">
        <v>11655</v>
      </c>
      <c r="AK147" t="s">
        <v>11656</v>
      </c>
      <c r="AL147" t="s">
        <v>9831</v>
      </c>
      <c r="AM147" t="s">
        <v>11657</v>
      </c>
      <c r="AN147" t="s">
        <v>11658</v>
      </c>
      <c r="AO147" t="s">
        <v>11659</v>
      </c>
      <c r="AP147" t="s">
        <v>11660</v>
      </c>
      <c r="AQ147" t="s">
        <v>11661</v>
      </c>
      <c r="AR147" t="s">
        <v>11662</v>
      </c>
      <c r="AS147" t="s">
        <v>11663</v>
      </c>
      <c r="AT147" t="s">
        <v>11664</v>
      </c>
      <c r="AU147" t="s">
        <v>11665</v>
      </c>
      <c r="AV147" t="s">
        <v>11666</v>
      </c>
      <c r="AW147" t="s">
        <v>4714</v>
      </c>
      <c r="AX147" t="s">
        <v>11667</v>
      </c>
      <c r="AY147" t="s">
        <v>11668</v>
      </c>
      <c r="AZ147" t="s">
        <v>11669</v>
      </c>
      <c r="BA147" t="s">
        <v>11670</v>
      </c>
      <c r="BB147" t="s">
        <v>11671</v>
      </c>
      <c r="BC147" t="s">
        <v>11672</v>
      </c>
      <c r="BD147" t="s">
        <v>11673</v>
      </c>
      <c r="BE147" t="s">
        <v>11674</v>
      </c>
      <c r="BF147" t="s">
        <v>11675</v>
      </c>
      <c r="BG147" t="s">
        <v>11676</v>
      </c>
      <c r="BH147" t="s">
        <v>11677</v>
      </c>
      <c r="BI147" t="s">
        <v>11678</v>
      </c>
      <c r="BJ147" t="s">
        <v>11679</v>
      </c>
      <c r="BK147" t="s">
        <v>11680</v>
      </c>
      <c r="BL147" t="s">
        <v>11591</v>
      </c>
      <c r="BM147" t="s">
        <v>11681</v>
      </c>
      <c r="BN147" t="s">
        <v>11682</v>
      </c>
      <c r="BO147" t="s">
        <v>11683</v>
      </c>
      <c r="BP147" t="s">
        <v>11684</v>
      </c>
      <c r="BR147" t="s">
        <v>274</v>
      </c>
    </row>
    <row r="148" spans="1:70" x14ac:dyDescent="0.3">
      <c r="A148" t="s">
        <v>2784</v>
      </c>
      <c r="B148" t="s">
        <v>2785</v>
      </c>
      <c r="C148" t="s">
        <v>4632</v>
      </c>
      <c r="D148" t="s">
        <v>4633</v>
      </c>
      <c r="F148" t="s">
        <v>274</v>
      </c>
      <c r="G148" t="s">
        <v>274</v>
      </c>
      <c r="H148" t="s">
        <v>274</v>
      </c>
      <c r="I148" t="s">
        <v>274</v>
      </c>
      <c r="J148" t="s">
        <v>274</v>
      </c>
      <c r="K148" t="s">
        <v>274</v>
      </c>
      <c r="L148" t="s">
        <v>274</v>
      </c>
      <c r="M148" t="s">
        <v>274</v>
      </c>
      <c r="N148" t="s">
        <v>274</v>
      </c>
      <c r="O148" t="s">
        <v>274</v>
      </c>
      <c r="P148" t="s">
        <v>11685</v>
      </c>
      <c r="Q148" t="s">
        <v>5808</v>
      </c>
      <c r="R148" t="s">
        <v>7743</v>
      </c>
      <c r="S148" t="s">
        <v>7025</v>
      </c>
      <c r="T148" t="s">
        <v>11686</v>
      </c>
      <c r="U148" t="s">
        <v>11687</v>
      </c>
      <c r="V148" t="s">
        <v>11688</v>
      </c>
      <c r="W148" t="s">
        <v>7177</v>
      </c>
      <c r="X148" t="s">
        <v>6245</v>
      </c>
      <c r="Y148" t="s">
        <v>10538</v>
      </c>
      <c r="Z148" t="s">
        <v>6247</v>
      </c>
      <c r="AA148" t="s">
        <v>11689</v>
      </c>
      <c r="AB148" t="s">
        <v>11690</v>
      </c>
      <c r="AC148" t="s">
        <v>11691</v>
      </c>
      <c r="AD148" t="s">
        <v>11692</v>
      </c>
      <c r="AE148" t="s">
        <v>5822</v>
      </c>
      <c r="AF148" t="s">
        <v>11693</v>
      </c>
      <c r="AG148" t="s">
        <v>11694</v>
      </c>
      <c r="AH148" t="s">
        <v>11695</v>
      </c>
      <c r="AI148" t="s">
        <v>11696</v>
      </c>
      <c r="AJ148" t="s">
        <v>11518</v>
      </c>
      <c r="AK148" t="s">
        <v>11519</v>
      </c>
      <c r="AL148" t="s">
        <v>7192</v>
      </c>
      <c r="AM148" t="s">
        <v>11697</v>
      </c>
      <c r="AN148" t="s">
        <v>4876</v>
      </c>
      <c r="AO148" t="s">
        <v>11698</v>
      </c>
      <c r="AP148" t="s">
        <v>11699</v>
      </c>
      <c r="AQ148" t="s">
        <v>11700</v>
      </c>
      <c r="AR148" t="s">
        <v>11701</v>
      </c>
      <c r="AS148" t="s">
        <v>11702</v>
      </c>
      <c r="AT148" t="s">
        <v>11703</v>
      </c>
      <c r="AU148" t="s">
        <v>11704</v>
      </c>
      <c r="AV148" t="s">
        <v>11705</v>
      </c>
      <c r="AW148" t="s">
        <v>11706</v>
      </c>
      <c r="AX148" t="s">
        <v>11707</v>
      </c>
      <c r="AY148" t="s">
        <v>11708</v>
      </c>
      <c r="AZ148" t="s">
        <v>11709</v>
      </c>
      <c r="BA148" t="s">
        <v>11710</v>
      </c>
      <c r="BB148" t="s">
        <v>11711</v>
      </c>
      <c r="BC148" t="s">
        <v>11712</v>
      </c>
      <c r="BD148" t="s">
        <v>11713</v>
      </c>
      <c r="BE148" t="s">
        <v>11714</v>
      </c>
      <c r="BF148" t="s">
        <v>11715</v>
      </c>
      <c r="BG148" t="s">
        <v>11716</v>
      </c>
      <c r="BH148" t="s">
        <v>11717</v>
      </c>
      <c r="BI148" t="s">
        <v>11718</v>
      </c>
      <c r="BJ148" t="s">
        <v>11719</v>
      </c>
      <c r="BK148" t="s">
        <v>11720</v>
      </c>
      <c r="BL148" t="s">
        <v>11721</v>
      </c>
      <c r="BM148" t="s">
        <v>11722</v>
      </c>
      <c r="BN148" t="s">
        <v>11723</v>
      </c>
      <c r="BO148" t="s">
        <v>11724</v>
      </c>
      <c r="BP148" t="s">
        <v>10405</v>
      </c>
      <c r="BR148" t="s">
        <v>274</v>
      </c>
    </row>
    <row r="149" spans="1:70" x14ac:dyDescent="0.3">
      <c r="A149" t="s">
        <v>218</v>
      </c>
      <c r="B149" t="s">
        <v>2786</v>
      </c>
      <c r="C149" t="s">
        <v>4632</v>
      </c>
      <c r="D149" t="s">
        <v>4633</v>
      </c>
      <c r="F149" t="s">
        <v>274</v>
      </c>
      <c r="G149" t="s">
        <v>274</v>
      </c>
      <c r="H149" t="s">
        <v>274</v>
      </c>
      <c r="I149" t="s">
        <v>274</v>
      </c>
      <c r="J149" t="s">
        <v>274</v>
      </c>
      <c r="K149" t="s">
        <v>274</v>
      </c>
      <c r="L149" t="s">
        <v>274</v>
      </c>
      <c r="M149" t="s">
        <v>274</v>
      </c>
      <c r="N149" t="s">
        <v>274</v>
      </c>
      <c r="O149" t="s">
        <v>274</v>
      </c>
      <c r="P149" t="s">
        <v>274</v>
      </c>
      <c r="Q149" t="s">
        <v>274</v>
      </c>
      <c r="R149" t="s">
        <v>274</v>
      </c>
      <c r="S149" t="s">
        <v>274</v>
      </c>
      <c r="T149" t="s">
        <v>274</v>
      </c>
      <c r="U149" t="s">
        <v>274</v>
      </c>
      <c r="V149" t="s">
        <v>274</v>
      </c>
      <c r="W149" t="s">
        <v>274</v>
      </c>
      <c r="X149" t="s">
        <v>274</v>
      </c>
      <c r="Y149" t="s">
        <v>274</v>
      </c>
      <c r="Z149" t="s">
        <v>274</v>
      </c>
      <c r="AA149" t="s">
        <v>274</v>
      </c>
      <c r="AB149" t="s">
        <v>274</v>
      </c>
      <c r="AC149" t="s">
        <v>274</v>
      </c>
      <c r="AD149" t="s">
        <v>274</v>
      </c>
      <c r="AE149" t="s">
        <v>274</v>
      </c>
      <c r="AF149" t="s">
        <v>274</v>
      </c>
      <c r="AG149" t="s">
        <v>274</v>
      </c>
      <c r="AH149" t="s">
        <v>274</v>
      </c>
      <c r="AI149" t="s">
        <v>274</v>
      </c>
      <c r="AJ149" t="s">
        <v>11725</v>
      </c>
      <c r="AK149" t="s">
        <v>11726</v>
      </c>
      <c r="AL149" t="s">
        <v>11727</v>
      </c>
      <c r="AM149" t="s">
        <v>11728</v>
      </c>
      <c r="AN149" t="s">
        <v>11729</v>
      </c>
      <c r="AO149" t="s">
        <v>11730</v>
      </c>
      <c r="AP149" t="s">
        <v>11731</v>
      </c>
      <c r="AQ149" t="s">
        <v>8343</v>
      </c>
      <c r="AR149" t="s">
        <v>11732</v>
      </c>
      <c r="AS149" t="s">
        <v>11733</v>
      </c>
      <c r="AT149" t="s">
        <v>11734</v>
      </c>
      <c r="AU149" t="s">
        <v>11735</v>
      </c>
      <c r="AV149" t="s">
        <v>11736</v>
      </c>
      <c r="AW149" t="s">
        <v>11737</v>
      </c>
      <c r="AX149" t="s">
        <v>11738</v>
      </c>
      <c r="AY149" t="s">
        <v>11739</v>
      </c>
      <c r="AZ149" t="s">
        <v>11740</v>
      </c>
      <c r="BA149" t="s">
        <v>11741</v>
      </c>
      <c r="BB149" t="s">
        <v>11742</v>
      </c>
      <c r="BC149" t="s">
        <v>11743</v>
      </c>
      <c r="BD149" t="s">
        <v>11744</v>
      </c>
      <c r="BE149" t="s">
        <v>11745</v>
      </c>
      <c r="BF149" t="s">
        <v>11746</v>
      </c>
      <c r="BG149" t="s">
        <v>11747</v>
      </c>
      <c r="BH149" t="s">
        <v>11748</v>
      </c>
      <c r="BI149" t="s">
        <v>6550</v>
      </c>
      <c r="BJ149" t="s">
        <v>11749</v>
      </c>
      <c r="BK149" t="s">
        <v>6552</v>
      </c>
      <c r="BL149" t="s">
        <v>11750</v>
      </c>
      <c r="BM149" t="s">
        <v>8360</v>
      </c>
      <c r="BN149" t="s">
        <v>11751</v>
      </c>
      <c r="BO149" t="s">
        <v>11752</v>
      </c>
      <c r="BP149" t="s">
        <v>11753</v>
      </c>
      <c r="BR149" t="s">
        <v>274</v>
      </c>
    </row>
    <row r="150" spans="1:70" x14ac:dyDescent="0.3">
      <c r="A150" t="s">
        <v>219</v>
      </c>
      <c r="B150" t="s">
        <v>2787</v>
      </c>
      <c r="C150" t="s">
        <v>4632</v>
      </c>
      <c r="D150" t="s">
        <v>4633</v>
      </c>
      <c r="F150" t="s">
        <v>11754</v>
      </c>
      <c r="G150" t="s">
        <v>11755</v>
      </c>
      <c r="H150" t="s">
        <v>11756</v>
      </c>
      <c r="I150" t="s">
        <v>11757</v>
      </c>
      <c r="J150" t="s">
        <v>11758</v>
      </c>
      <c r="K150" t="s">
        <v>9407</v>
      </c>
      <c r="L150" t="s">
        <v>11759</v>
      </c>
      <c r="M150" t="s">
        <v>11760</v>
      </c>
      <c r="N150" t="s">
        <v>11761</v>
      </c>
      <c r="O150" t="s">
        <v>11762</v>
      </c>
      <c r="P150" t="s">
        <v>11763</v>
      </c>
      <c r="Q150" t="s">
        <v>11764</v>
      </c>
      <c r="R150" t="s">
        <v>11765</v>
      </c>
      <c r="S150" t="s">
        <v>11766</v>
      </c>
      <c r="T150" t="s">
        <v>11767</v>
      </c>
      <c r="U150" t="s">
        <v>11768</v>
      </c>
      <c r="V150" t="s">
        <v>11769</v>
      </c>
      <c r="W150" t="s">
        <v>11770</v>
      </c>
      <c r="X150" t="s">
        <v>11771</v>
      </c>
      <c r="Y150" t="s">
        <v>11772</v>
      </c>
      <c r="Z150" t="s">
        <v>11773</v>
      </c>
      <c r="AA150" t="s">
        <v>11774</v>
      </c>
      <c r="AB150" t="s">
        <v>11775</v>
      </c>
      <c r="AC150" t="s">
        <v>11776</v>
      </c>
      <c r="AD150" t="s">
        <v>11777</v>
      </c>
      <c r="AE150" t="s">
        <v>11778</v>
      </c>
      <c r="AF150" t="s">
        <v>11779</v>
      </c>
      <c r="AG150" t="s">
        <v>11780</v>
      </c>
      <c r="AH150" t="s">
        <v>11781</v>
      </c>
      <c r="AI150" t="s">
        <v>11782</v>
      </c>
      <c r="AJ150" t="s">
        <v>11783</v>
      </c>
      <c r="AK150" t="s">
        <v>11784</v>
      </c>
      <c r="AL150" t="s">
        <v>8339</v>
      </c>
      <c r="AM150" t="s">
        <v>11785</v>
      </c>
      <c r="AN150" t="s">
        <v>11786</v>
      </c>
      <c r="AO150" t="s">
        <v>8341</v>
      </c>
      <c r="AP150" t="s">
        <v>11787</v>
      </c>
      <c r="AQ150" t="s">
        <v>11788</v>
      </c>
      <c r="AR150" t="s">
        <v>11789</v>
      </c>
      <c r="AS150" t="s">
        <v>11790</v>
      </c>
      <c r="AT150" t="s">
        <v>11791</v>
      </c>
      <c r="AU150" t="s">
        <v>11792</v>
      </c>
      <c r="AV150" t="s">
        <v>11793</v>
      </c>
      <c r="AW150" t="s">
        <v>11794</v>
      </c>
      <c r="AX150" t="s">
        <v>11795</v>
      </c>
      <c r="AY150" t="s">
        <v>11796</v>
      </c>
      <c r="AZ150" t="s">
        <v>11797</v>
      </c>
      <c r="BA150" t="s">
        <v>11798</v>
      </c>
      <c r="BB150" t="s">
        <v>11799</v>
      </c>
      <c r="BC150" t="s">
        <v>11800</v>
      </c>
      <c r="BD150" t="s">
        <v>11801</v>
      </c>
      <c r="BE150" t="s">
        <v>11802</v>
      </c>
      <c r="BF150" t="s">
        <v>11803</v>
      </c>
      <c r="BG150" t="s">
        <v>11804</v>
      </c>
      <c r="BH150" t="s">
        <v>11805</v>
      </c>
      <c r="BI150" t="s">
        <v>11806</v>
      </c>
      <c r="BJ150" t="s">
        <v>11807</v>
      </c>
      <c r="BK150" t="s">
        <v>11808</v>
      </c>
      <c r="BL150" t="s">
        <v>11809</v>
      </c>
      <c r="BM150" t="s">
        <v>11810</v>
      </c>
      <c r="BN150" t="s">
        <v>11811</v>
      </c>
      <c r="BO150" t="s">
        <v>11812</v>
      </c>
      <c r="BP150" t="s">
        <v>11813</v>
      </c>
      <c r="BR150" t="s">
        <v>274</v>
      </c>
    </row>
    <row r="151" spans="1:70" x14ac:dyDescent="0.3">
      <c r="A151" t="s">
        <v>220</v>
      </c>
      <c r="B151" t="s">
        <v>2788</v>
      </c>
      <c r="C151" t="s">
        <v>4632</v>
      </c>
      <c r="D151" t="s">
        <v>4633</v>
      </c>
      <c r="F151" t="s">
        <v>274</v>
      </c>
      <c r="G151" t="s">
        <v>274</v>
      </c>
      <c r="H151" t="s">
        <v>274</v>
      </c>
      <c r="I151" t="s">
        <v>274</v>
      </c>
      <c r="J151" t="s">
        <v>274</v>
      </c>
      <c r="K151" t="s">
        <v>274</v>
      </c>
      <c r="L151" t="s">
        <v>274</v>
      </c>
      <c r="M151" t="s">
        <v>274</v>
      </c>
      <c r="N151" t="s">
        <v>274</v>
      </c>
      <c r="O151" t="s">
        <v>274</v>
      </c>
      <c r="P151" t="s">
        <v>274</v>
      </c>
      <c r="Q151" t="s">
        <v>274</v>
      </c>
      <c r="R151" t="s">
        <v>274</v>
      </c>
      <c r="S151" t="s">
        <v>274</v>
      </c>
      <c r="T151" t="s">
        <v>274</v>
      </c>
      <c r="U151" t="s">
        <v>274</v>
      </c>
      <c r="V151" t="s">
        <v>274</v>
      </c>
      <c r="W151" t="s">
        <v>274</v>
      </c>
      <c r="X151" t="s">
        <v>274</v>
      </c>
      <c r="Y151" t="s">
        <v>274</v>
      </c>
      <c r="Z151" t="s">
        <v>274</v>
      </c>
      <c r="AA151" t="s">
        <v>274</v>
      </c>
      <c r="AB151" t="s">
        <v>274</v>
      </c>
      <c r="AC151" t="s">
        <v>274</v>
      </c>
      <c r="AD151" t="s">
        <v>274</v>
      </c>
      <c r="AE151" t="s">
        <v>274</v>
      </c>
      <c r="AF151" t="s">
        <v>274</v>
      </c>
      <c r="AG151" t="s">
        <v>274</v>
      </c>
      <c r="AH151" t="s">
        <v>274</v>
      </c>
      <c r="AI151" t="s">
        <v>274</v>
      </c>
      <c r="AJ151" t="s">
        <v>11814</v>
      </c>
      <c r="AK151" t="s">
        <v>11815</v>
      </c>
      <c r="AL151" t="s">
        <v>11816</v>
      </c>
      <c r="AM151" t="s">
        <v>11817</v>
      </c>
      <c r="AN151" t="s">
        <v>11818</v>
      </c>
      <c r="AO151" t="s">
        <v>11819</v>
      </c>
      <c r="AP151" t="s">
        <v>11820</v>
      </c>
      <c r="AQ151" t="s">
        <v>11821</v>
      </c>
      <c r="AR151" t="s">
        <v>11822</v>
      </c>
      <c r="AS151" t="s">
        <v>11823</v>
      </c>
      <c r="AT151" t="s">
        <v>11824</v>
      </c>
      <c r="AU151" t="s">
        <v>11825</v>
      </c>
      <c r="AV151" t="s">
        <v>11826</v>
      </c>
      <c r="AW151" t="s">
        <v>11827</v>
      </c>
      <c r="AX151" t="s">
        <v>11828</v>
      </c>
      <c r="AY151" t="s">
        <v>11829</v>
      </c>
      <c r="AZ151" t="s">
        <v>11830</v>
      </c>
      <c r="BA151" t="s">
        <v>11831</v>
      </c>
      <c r="BB151" t="s">
        <v>11832</v>
      </c>
      <c r="BC151" t="s">
        <v>11833</v>
      </c>
      <c r="BD151" t="s">
        <v>11834</v>
      </c>
      <c r="BE151" t="s">
        <v>11835</v>
      </c>
      <c r="BF151" t="s">
        <v>11836</v>
      </c>
      <c r="BG151" t="s">
        <v>11837</v>
      </c>
      <c r="BH151" t="s">
        <v>11838</v>
      </c>
      <c r="BI151" t="s">
        <v>11839</v>
      </c>
      <c r="BJ151" t="s">
        <v>6551</v>
      </c>
      <c r="BK151" t="s">
        <v>11840</v>
      </c>
      <c r="BL151" t="s">
        <v>11841</v>
      </c>
      <c r="BM151" t="s">
        <v>11842</v>
      </c>
      <c r="BN151" t="s">
        <v>11843</v>
      </c>
      <c r="BO151" t="s">
        <v>11844</v>
      </c>
      <c r="BP151" t="s">
        <v>7957</v>
      </c>
      <c r="BR151" t="s">
        <v>274</v>
      </c>
    </row>
    <row r="152" spans="1:70" x14ac:dyDescent="0.3">
      <c r="A152" t="s">
        <v>2789</v>
      </c>
      <c r="B152" t="s">
        <v>2790</v>
      </c>
      <c r="C152" t="s">
        <v>4632</v>
      </c>
      <c r="D152" t="s">
        <v>4633</v>
      </c>
      <c r="F152" t="s">
        <v>274</v>
      </c>
      <c r="G152" t="s">
        <v>274</v>
      </c>
      <c r="H152" t="s">
        <v>274</v>
      </c>
      <c r="I152" t="s">
        <v>274</v>
      </c>
      <c r="J152" t="s">
        <v>274</v>
      </c>
      <c r="K152" t="s">
        <v>274</v>
      </c>
      <c r="L152" t="s">
        <v>274</v>
      </c>
      <c r="M152" t="s">
        <v>274</v>
      </c>
      <c r="N152" t="s">
        <v>274</v>
      </c>
      <c r="O152" t="s">
        <v>274</v>
      </c>
      <c r="P152" t="s">
        <v>274</v>
      </c>
      <c r="Q152" t="s">
        <v>274</v>
      </c>
      <c r="R152" t="s">
        <v>274</v>
      </c>
      <c r="S152" t="s">
        <v>274</v>
      </c>
      <c r="T152" t="s">
        <v>274</v>
      </c>
      <c r="U152" t="s">
        <v>274</v>
      </c>
      <c r="V152" t="s">
        <v>274</v>
      </c>
      <c r="W152" t="s">
        <v>274</v>
      </c>
      <c r="X152" t="s">
        <v>274</v>
      </c>
      <c r="Y152" t="s">
        <v>274</v>
      </c>
      <c r="Z152" t="s">
        <v>274</v>
      </c>
      <c r="AA152" t="s">
        <v>274</v>
      </c>
      <c r="AB152" t="s">
        <v>11845</v>
      </c>
      <c r="AC152" t="s">
        <v>11846</v>
      </c>
      <c r="AD152" t="s">
        <v>11847</v>
      </c>
      <c r="AE152" t="s">
        <v>11848</v>
      </c>
      <c r="AF152" t="s">
        <v>11849</v>
      </c>
      <c r="AG152" t="s">
        <v>11850</v>
      </c>
      <c r="AH152" t="s">
        <v>11851</v>
      </c>
      <c r="AI152" t="s">
        <v>11852</v>
      </c>
      <c r="AJ152" t="s">
        <v>11853</v>
      </c>
      <c r="AK152" t="s">
        <v>11854</v>
      </c>
      <c r="AL152" t="s">
        <v>11855</v>
      </c>
      <c r="AM152" t="s">
        <v>11856</v>
      </c>
      <c r="AN152" t="s">
        <v>11857</v>
      </c>
      <c r="AO152" t="s">
        <v>11858</v>
      </c>
      <c r="AP152" t="s">
        <v>11859</v>
      </c>
      <c r="AQ152" t="s">
        <v>11860</v>
      </c>
      <c r="AR152" t="s">
        <v>11861</v>
      </c>
      <c r="AS152" t="s">
        <v>11862</v>
      </c>
      <c r="AT152" t="s">
        <v>11863</v>
      </c>
      <c r="AU152" t="s">
        <v>11864</v>
      </c>
      <c r="AV152" t="s">
        <v>11865</v>
      </c>
      <c r="AW152" t="s">
        <v>11866</v>
      </c>
      <c r="AX152" t="s">
        <v>11867</v>
      </c>
      <c r="AY152" t="s">
        <v>11868</v>
      </c>
      <c r="AZ152" t="s">
        <v>11869</v>
      </c>
      <c r="BA152" t="s">
        <v>11870</v>
      </c>
      <c r="BB152" t="s">
        <v>11871</v>
      </c>
      <c r="BC152" t="s">
        <v>11872</v>
      </c>
      <c r="BD152" t="s">
        <v>11873</v>
      </c>
      <c r="BE152" t="s">
        <v>11874</v>
      </c>
      <c r="BF152" t="s">
        <v>11875</v>
      </c>
      <c r="BG152" t="s">
        <v>11876</v>
      </c>
      <c r="BH152" t="s">
        <v>11877</v>
      </c>
      <c r="BI152" t="s">
        <v>11878</v>
      </c>
      <c r="BJ152" t="s">
        <v>11879</v>
      </c>
      <c r="BK152" t="s">
        <v>11880</v>
      </c>
      <c r="BL152" t="s">
        <v>11881</v>
      </c>
      <c r="BM152" t="s">
        <v>11882</v>
      </c>
      <c r="BN152" t="s">
        <v>11883</v>
      </c>
      <c r="BO152" t="s">
        <v>11884</v>
      </c>
      <c r="BP152" t="s">
        <v>11885</v>
      </c>
      <c r="BR152" t="s">
        <v>274</v>
      </c>
    </row>
    <row r="153" spans="1:70" x14ac:dyDescent="0.3">
      <c r="A153" t="s">
        <v>2815</v>
      </c>
      <c r="B153" t="s">
        <v>2816</v>
      </c>
      <c r="C153" t="s">
        <v>4632</v>
      </c>
      <c r="D153" t="s">
        <v>4633</v>
      </c>
      <c r="F153" t="s">
        <v>274</v>
      </c>
      <c r="G153" t="s">
        <v>274</v>
      </c>
      <c r="H153" t="s">
        <v>274</v>
      </c>
      <c r="I153" t="s">
        <v>274</v>
      </c>
      <c r="J153" t="s">
        <v>274</v>
      </c>
      <c r="K153" t="s">
        <v>274</v>
      </c>
      <c r="L153" t="s">
        <v>274</v>
      </c>
      <c r="M153" t="s">
        <v>274</v>
      </c>
      <c r="N153" t="s">
        <v>274</v>
      </c>
      <c r="O153" t="s">
        <v>274</v>
      </c>
      <c r="P153" t="s">
        <v>274</v>
      </c>
      <c r="Q153" t="s">
        <v>274</v>
      </c>
      <c r="R153" t="s">
        <v>274</v>
      </c>
      <c r="S153" t="s">
        <v>274</v>
      </c>
      <c r="T153" t="s">
        <v>274</v>
      </c>
      <c r="U153" t="s">
        <v>274</v>
      </c>
      <c r="V153" t="s">
        <v>274</v>
      </c>
      <c r="W153" t="s">
        <v>274</v>
      </c>
      <c r="X153" t="s">
        <v>274</v>
      </c>
      <c r="Y153" t="s">
        <v>274</v>
      </c>
      <c r="Z153" t="s">
        <v>274</v>
      </c>
      <c r="AA153" t="s">
        <v>274</v>
      </c>
      <c r="AB153" t="s">
        <v>274</v>
      </c>
      <c r="AC153" t="s">
        <v>274</v>
      </c>
      <c r="AD153" t="s">
        <v>274</v>
      </c>
      <c r="AE153" t="s">
        <v>274</v>
      </c>
      <c r="AF153" t="s">
        <v>274</v>
      </c>
      <c r="AG153" t="s">
        <v>274</v>
      </c>
      <c r="AH153" t="s">
        <v>274</v>
      </c>
      <c r="AI153" t="s">
        <v>274</v>
      </c>
      <c r="AJ153" t="s">
        <v>274</v>
      </c>
      <c r="AK153" t="s">
        <v>274</v>
      </c>
      <c r="AL153" t="s">
        <v>274</v>
      </c>
      <c r="AM153" t="s">
        <v>274</v>
      </c>
      <c r="AN153" t="s">
        <v>274</v>
      </c>
      <c r="AO153" t="s">
        <v>274</v>
      </c>
      <c r="AP153" t="s">
        <v>274</v>
      </c>
      <c r="AQ153" t="s">
        <v>274</v>
      </c>
      <c r="AR153" t="s">
        <v>274</v>
      </c>
      <c r="AS153" t="s">
        <v>274</v>
      </c>
      <c r="AT153" t="s">
        <v>274</v>
      </c>
      <c r="AU153" t="s">
        <v>274</v>
      </c>
      <c r="AV153" t="s">
        <v>274</v>
      </c>
      <c r="AW153" t="s">
        <v>274</v>
      </c>
      <c r="AX153" t="s">
        <v>274</v>
      </c>
      <c r="AY153" t="s">
        <v>274</v>
      </c>
      <c r="AZ153" t="s">
        <v>274</v>
      </c>
      <c r="BA153" t="s">
        <v>274</v>
      </c>
      <c r="BB153" t="s">
        <v>274</v>
      </c>
      <c r="BC153" t="s">
        <v>274</v>
      </c>
      <c r="BD153" t="s">
        <v>274</v>
      </c>
      <c r="BE153" t="s">
        <v>274</v>
      </c>
      <c r="BF153" t="s">
        <v>274</v>
      </c>
      <c r="BG153" t="s">
        <v>274</v>
      </c>
      <c r="BH153" t="s">
        <v>274</v>
      </c>
      <c r="BI153" t="s">
        <v>274</v>
      </c>
      <c r="BJ153" t="s">
        <v>274</v>
      </c>
      <c r="BK153" t="s">
        <v>274</v>
      </c>
      <c r="BL153" t="s">
        <v>274</v>
      </c>
      <c r="BM153" t="s">
        <v>274</v>
      </c>
      <c r="BN153" t="s">
        <v>274</v>
      </c>
      <c r="BO153" t="s">
        <v>274</v>
      </c>
      <c r="BP153" t="s">
        <v>274</v>
      </c>
      <c r="BR153" t="s">
        <v>274</v>
      </c>
    </row>
    <row r="154" spans="1:70" x14ac:dyDescent="0.3">
      <c r="A154" t="s">
        <v>120</v>
      </c>
      <c r="B154" t="s">
        <v>2817</v>
      </c>
      <c r="C154" t="s">
        <v>4632</v>
      </c>
      <c r="D154" t="s">
        <v>4633</v>
      </c>
      <c r="F154" t="s">
        <v>274</v>
      </c>
      <c r="G154" t="s">
        <v>274</v>
      </c>
      <c r="H154" t="s">
        <v>274</v>
      </c>
      <c r="I154" t="s">
        <v>274</v>
      </c>
      <c r="J154" t="s">
        <v>274</v>
      </c>
      <c r="K154" t="s">
        <v>274</v>
      </c>
      <c r="L154" t="s">
        <v>11886</v>
      </c>
      <c r="M154" t="s">
        <v>11887</v>
      </c>
      <c r="N154" t="s">
        <v>11888</v>
      </c>
      <c r="O154" t="s">
        <v>11889</v>
      </c>
      <c r="P154" t="s">
        <v>11890</v>
      </c>
      <c r="Q154" t="s">
        <v>11891</v>
      </c>
      <c r="R154" t="s">
        <v>11892</v>
      </c>
      <c r="S154" t="s">
        <v>11893</v>
      </c>
      <c r="T154" t="s">
        <v>11894</v>
      </c>
      <c r="U154" t="s">
        <v>11895</v>
      </c>
      <c r="V154" t="s">
        <v>11896</v>
      </c>
      <c r="W154" t="s">
        <v>11897</v>
      </c>
      <c r="X154" t="s">
        <v>11898</v>
      </c>
      <c r="Y154" t="s">
        <v>11899</v>
      </c>
      <c r="Z154" t="s">
        <v>11900</v>
      </c>
      <c r="AA154" t="s">
        <v>11901</v>
      </c>
      <c r="AB154" t="s">
        <v>11902</v>
      </c>
      <c r="AC154" t="s">
        <v>11903</v>
      </c>
      <c r="AD154" t="s">
        <v>11904</v>
      </c>
      <c r="AE154" t="s">
        <v>9784</v>
      </c>
      <c r="AF154" t="s">
        <v>11905</v>
      </c>
      <c r="AG154" t="s">
        <v>11906</v>
      </c>
      <c r="AH154" t="s">
        <v>11907</v>
      </c>
      <c r="AI154" t="s">
        <v>11908</v>
      </c>
      <c r="AJ154" t="s">
        <v>11909</v>
      </c>
      <c r="AK154" t="s">
        <v>11910</v>
      </c>
      <c r="AL154" t="s">
        <v>11911</v>
      </c>
      <c r="AM154" t="s">
        <v>11912</v>
      </c>
      <c r="AN154" t="s">
        <v>11913</v>
      </c>
      <c r="AO154" t="s">
        <v>11914</v>
      </c>
      <c r="AP154" t="s">
        <v>11915</v>
      </c>
      <c r="AQ154" t="s">
        <v>11916</v>
      </c>
      <c r="AR154" t="s">
        <v>11917</v>
      </c>
      <c r="AS154" t="s">
        <v>11918</v>
      </c>
      <c r="AT154" t="s">
        <v>11919</v>
      </c>
      <c r="AU154" t="s">
        <v>11920</v>
      </c>
      <c r="AV154" t="s">
        <v>11921</v>
      </c>
      <c r="AW154" t="s">
        <v>11922</v>
      </c>
      <c r="AX154" t="s">
        <v>11923</v>
      </c>
      <c r="AY154" t="s">
        <v>11924</v>
      </c>
      <c r="AZ154" t="s">
        <v>11925</v>
      </c>
      <c r="BA154" t="s">
        <v>11926</v>
      </c>
      <c r="BB154" t="s">
        <v>11927</v>
      </c>
      <c r="BC154" t="s">
        <v>11928</v>
      </c>
      <c r="BD154" t="s">
        <v>11929</v>
      </c>
      <c r="BE154" t="s">
        <v>11930</v>
      </c>
      <c r="BF154" t="s">
        <v>5009</v>
      </c>
      <c r="BG154" t="s">
        <v>11931</v>
      </c>
      <c r="BH154" t="s">
        <v>11932</v>
      </c>
      <c r="BI154" t="s">
        <v>11933</v>
      </c>
      <c r="BJ154" t="s">
        <v>11934</v>
      </c>
      <c r="BK154" t="s">
        <v>11935</v>
      </c>
      <c r="BL154" t="s">
        <v>11936</v>
      </c>
      <c r="BM154" t="s">
        <v>11937</v>
      </c>
      <c r="BN154" t="s">
        <v>11938</v>
      </c>
      <c r="BO154" t="s">
        <v>11939</v>
      </c>
      <c r="BP154" t="s">
        <v>11940</v>
      </c>
      <c r="BR154" t="s">
        <v>274</v>
      </c>
    </row>
    <row r="155" spans="1:70" x14ac:dyDescent="0.3">
      <c r="A155" t="s">
        <v>2818</v>
      </c>
      <c r="B155" t="s">
        <v>2819</v>
      </c>
      <c r="C155" t="s">
        <v>4632</v>
      </c>
      <c r="D155" t="s">
        <v>4633</v>
      </c>
      <c r="F155" t="s">
        <v>274</v>
      </c>
      <c r="G155" t="s">
        <v>274</v>
      </c>
      <c r="H155" t="s">
        <v>274</v>
      </c>
      <c r="I155" t="s">
        <v>274</v>
      </c>
      <c r="J155" t="s">
        <v>274</v>
      </c>
      <c r="K155" t="s">
        <v>274</v>
      </c>
      <c r="L155" t="s">
        <v>274</v>
      </c>
      <c r="M155" t="s">
        <v>274</v>
      </c>
      <c r="N155" t="s">
        <v>274</v>
      </c>
      <c r="O155" t="s">
        <v>274</v>
      </c>
      <c r="P155" t="s">
        <v>11941</v>
      </c>
      <c r="Q155" t="s">
        <v>11942</v>
      </c>
      <c r="R155" t="s">
        <v>11943</v>
      </c>
      <c r="S155" t="s">
        <v>11944</v>
      </c>
      <c r="T155" t="s">
        <v>11945</v>
      </c>
      <c r="U155" t="s">
        <v>11946</v>
      </c>
      <c r="V155" t="s">
        <v>11947</v>
      </c>
      <c r="W155" t="s">
        <v>11948</v>
      </c>
      <c r="X155" t="s">
        <v>11949</v>
      </c>
      <c r="Y155" t="s">
        <v>11950</v>
      </c>
      <c r="Z155" t="s">
        <v>11951</v>
      </c>
      <c r="AA155" t="s">
        <v>11952</v>
      </c>
      <c r="AB155" t="s">
        <v>11953</v>
      </c>
      <c r="AC155" t="s">
        <v>11954</v>
      </c>
      <c r="AD155" t="s">
        <v>11955</v>
      </c>
      <c r="AE155" t="s">
        <v>11956</v>
      </c>
      <c r="AF155" t="s">
        <v>11957</v>
      </c>
      <c r="AG155" t="s">
        <v>11958</v>
      </c>
      <c r="AH155" t="s">
        <v>11959</v>
      </c>
      <c r="AI155" t="s">
        <v>11960</v>
      </c>
      <c r="AJ155" t="s">
        <v>11961</v>
      </c>
      <c r="AK155" t="s">
        <v>11962</v>
      </c>
      <c r="AL155" t="s">
        <v>11963</v>
      </c>
      <c r="AM155" t="s">
        <v>11964</v>
      </c>
      <c r="AN155" t="s">
        <v>11965</v>
      </c>
      <c r="AO155" t="s">
        <v>11966</v>
      </c>
      <c r="AP155" t="s">
        <v>11967</v>
      </c>
      <c r="AQ155" t="s">
        <v>11968</v>
      </c>
      <c r="AR155" t="s">
        <v>11969</v>
      </c>
      <c r="AS155" t="s">
        <v>11970</v>
      </c>
      <c r="AT155" t="s">
        <v>11971</v>
      </c>
      <c r="AU155" t="s">
        <v>11972</v>
      </c>
      <c r="AV155" t="s">
        <v>11973</v>
      </c>
      <c r="AW155" t="s">
        <v>11974</v>
      </c>
      <c r="AX155" t="s">
        <v>11975</v>
      </c>
      <c r="AY155" t="s">
        <v>11976</v>
      </c>
      <c r="AZ155" t="s">
        <v>11977</v>
      </c>
      <c r="BA155" t="s">
        <v>11978</v>
      </c>
      <c r="BB155" t="s">
        <v>11979</v>
      </c>
      <c r="BC155" t="s">
        <v>11980</v>
      </c>
      <c r="BD155" t="s">
        <v>11981</v>
      </c>
      <c r="BE155" t="s">
        <v>11982</v>
      </c>
      <c r="BF155" t="s">
        <v>11983</v>
      </c>
      <c r="BG155" t="s">
        <v>11984</v>
      </c>
      <c r="BH155" t="s">
        <v>11985</v>
      </c>
      <c r="BI155" t="s">
        <v>11986</v>
      </c>
      <c r="BJ155" t="s">
        <v>11987</v>
      </c>
      <c r="BK155" t="s">
        <v>11988</v>
      </c>
      <c r="BL155" t="s">
        <v>11989</v>
      </c>
      <c r="BM155" t="s">
        <v>11990</v>
      </c>
      <c r="BN155" t="s">
        <v>11991</v>
      </c>
      <c r="BO155" t="s">
        <v>11992</v>
      </c>
      <c r="BP155" t="s">
        <v>11993</v>
      </c>
      <c r="BR155" t="s">
        <v>274</v>
      </c>
    </row>
    <row r="156" spans="1:70" x14ac:dyDescent="0.3">
      <c r="A156" t="s">
        <v>221</v>
      </c>
      <c r="B156" t="s">
        <v>2820</v>
      </c>
      <c r="C156" t="s">
        <v>4632</v>
      </c>
      <c r="D156" t="s">
        <v>4633</v>
      </c>
      <c r="F156" t="s">
        <v>274</v>
      </c>
      <c r="G156" t="s">
        <v>274</v>
      </c>
      <c r="H156" t="s">
        <v>274</v>
      </c>
      <c r="I156" t="s">
        <v>274</v>
      </c>
      <c r="J156" t="s">
        <v>274</v>
      </c>
      <c r="K156" t="s">
        <v>274</v>
      </c>
      <c r="L156" t="s">
        <v>274</v>
      </c>
      <c r="M156" t="s">
        <v>274</v>
      </c>
      <c r="N156" t="s">
        <v>274</v>
      </c>
      <c r="O156" t="s">
        <v>274</v>
      </c>
      <c r="P156" t="s">
        <v>274</v>
      </c>
      <c r="Q156" t="s">
        <v>274</v>
      </c>
      <c r="R156" t="s">
        <v>274</v>
      </c>
      <c r="S156" t="s">
        <v>274</v>
      </c>
      <c r="T156" t="s">
        <v>274</v>
      </c>
      <c r="U156" t="s">
        <v>274</v>
      </c>
      <c r="V156" t="s">
        <v>274</v>
      </c>
      <c r="W156" t="s">
        <v>274</v>
      </c>
      <c r="X156" t="s">
        <v>274</v>
      </c>
      <c r="Y156" t="s">
        <v>274</v>
      </c>
      <c r="Z156" t="s">
        <v>274</v>
      </c>
      <c r="AA156" t="s">
        <v>274</v>
      </c>
      <c r="AB156" t="s">
        <v>274</v>
      </c>
      <c r="AC156" t="s">
        <v>274</v>
      </c>
      <c r="AD156" t="s">
        <v>274</v>
      </c>
      <c r="AE156" t="s">
        <v>274</v>
      </c>
      <c r="AF156" t="s">
        <v>274</v>
      </c>
      <c r="AG156" t="s">
        <v>274</v>
      </c>
      <c r="AH156" t="s">
        <v>274</v>
      </c>
      <c r="AI156" t="s">
        <v>274</v>
      </c>
      <c r="AJ156" t="s">
        <v>11994</v>
      </c>
      <c r="AK156" t="s">
        <v>11995</v>
      </c>
      <c r="AL156" t="s">
        <v>11996</v>
      </c>
      <c r="AM156" t="s">
        <v>11997</v>
      </c>
      <c r="AN156" t="s">
        <v>11998</v>
      </c>
      <c r="AO156" t="s">
        <v>11999</v>
      </c>
      <c r="AP156" t="s">
        <v>12000</v>
      </c>
      <c r="AQ156" t="s">
        <v>7898</v>
      </c>
      <c r="AR156" t="s">
        <v>12001</v>
      </c>
      <c r="AS156" t="s">
        <v>12002</v>
      </c>
      <c r="AT156" t="s">
        <v>12003</v>
      </c>
      <c r="AU156" t="s">
        <v>12004</v>
      </c>
      <c r="AV156" t="s">
        <v>12005</v>
      </c>
      <c r="AW156" t="s">
        <v>12006</v>
      </c>
      <c r="AX156" t="s">
        <v>12007</v>
      </c>
      <c r="AY156" t="s">
        <v>12008</v>
      </c>
      <c r="AZ156" t="s">
        <v>12009</v>
      </c>
      <c r="BA156" t="s">
        <v>12010</v>
      </c>
      <c r="BB156" t="s">
        <v>12011</v>
      </c>
      <c r="BC156" t="s">
        <v>12012</v>
      </c>
      <c r="BD156" t="s">
        <v>11620</v>
      </c>
      <c r="BE156" t="s">
        <v>12013</v>
      </c>
      <c r="BF156" t="s">
        <v>12014</v>
      </c>
      <c r="BG156" t="s">
        <v>12015</v>
      </c>
      <c r="BH156" t="s">
        <v>12016</v>
      </c>
      <c r="BI156" t="s">
        <v>12017</v>
      </c>
      <c r="BJ156" t="s">
        <v>12018</v>
      </c>
      <c r="BK156" t="s">
        <v>12019</v>
      </c>
      <c r="BL156" t="s">
        <v>12020</v>
      </c>
      <c r="BM156" t="s">
        <v>12021</v>
      </c>
      <c r="BN156" t="s">
        <v>12022</v>
      </c>
      <c r="BO156" t="s">
        <v>12023</v>
      </c>
      <c r="BP156" t="s">
        <v>12024</v>
      </c>
      <c r="BR156" t="s">
        <v>274</v>
      </c>
    </row>
    <row r="157" spans="1:70" x14ac:dyDescent="0.3">
      <c r="A157" t="s">
        <v>121</v>
      </c>
      <c r="B157" t="s">
        <v>2851</v>
      </c>
      <c r="C157" t="s">
        <v>4632</v>
      </c>
      <c r="D157" t="s">
        <v>4633</v>
      </c>
      <c r="F157" t="s">
        <v>12025</v>
      </c>
      <c r="G157" t="s">
        <v>12026</v>
      </c>
      <c r="H157" t="s">
        <v>12027</v>
      </c>
      <c r="I157" t="s">
        <v>12028</v>
      </c>
      <c r="J157" t="s">
        <v>11407</v>
      </c>
      <c r="K157" t="s">
        <v>12029</v>
      </c>
      <c r="L157" t="s">
        <v>11359</v>
      </c>
      <c r="M157" t="s">
        <v>12030</v>
      </c>
      <c r="N157" t="s">
        <v>10027</v>
      </c>
      <c r="O157" t="s">
        <v>12031</v>
      </c>
      <c r="P157" t="s">
        <v>12032</v>
      </c>
      <c r="Q157" t="s">
        <v>12033</v>
      </c>
      <c r="R157" t="s">
        <v>12034</v>
      </c>
      <c r="S157" t="s">
        <v>12035</v>
      </c>
      <c r="T157" t="s">
        <v>12036</v>
      </c>
      <c r="U157" t="s">
        <v>12037</v>
      </c>
      <c r="V157" t="s">
        <v>12038</v>
      </c>
      <c r="W157" t="s">
        <v>12039</v>
      </c>
      <c r="X157" t="s">
        <v>12040</v>
      </c>
      <c r="Y157" t="s">
        <v>12041</v>
      </c>
      <c r="Z157" t="s">
        <v>12042</v>
      </c>
      <c r="AA157" t="s">
        <v>12043</v>
      </c>
      <c r="AB157" t="s">
        <v>12044</v>
      </c>
      <c r="AC157" t="s">
        <v>12045</v>
      </c>
      <c r="AD157" t="s">
        <v>12046</v>
      </c>
      <c r="AE157" t="s">
        <v>12047</v>
      </c>
      <c r="AF157" t="s">
        <v>12048</v>
      </c>
      <c r="AG157" t="s">
        <v>12049</v>
      </c>
      <c r="AH157" t="s">
        <v>12050</v>
      </c>
      <c r="AI157" t="s">
        <v>10043</v>
      </c>
      <c r="AJ157" t="s">
        <v>12051</v>
      </c>
      <c r="AK157" t="s">
        <v>12052</v>
      </c>
      <c r="AL157" t="s">
        <v>11430</v>
      </c>
      <c r="AM157" t="s">
        <v>12053</v>
      </c>
      <c r="AN157" t="s">
        <v>12054</v>
      </c>
      <c r="AO157" t="s">
        <v>12055</v>
      </c>
      <c r="AP157" t="s">
        <v>11432</v>
      </c>
      <c r="AQ157" t="s">
        <v>12056</v>
      </c>
      <c r="AR157" t="s">
        <v>11381</v>
      </c>
      <c r="AS157" t="s">
        <v>12057</v>
      </c>
      <c r="AT157" t="s">
        <v>12058</v>
      </c>
      <c r="AU157" t="s">
        <v>12059</v>
      </c>
      <c r="AV157" t="s">
        <v>12060</v>
      </c>
      <c r="AW157" t="s">
        <v>12061</v>
      </c>
      <c r="AX157" t="s">
        <v>12062</v>
      </c>
      <c r="AY157" t="s">
        <v>12063</v>
      </c>
      <c r="AZ157" t="s">
        <v>12064</v>
      </c>
      <c r="BA157" t="s">
        <v>12065</v>
      </c>
      <c r="BB157" t="s">
        <v>12066</v>
      </c>
      <c r="BC157" t="s">
        <v>12067</v>
      </c>
      <c r="BD157" t="s">
        <v>11443</v>
      </c>
      <c r="BE157" t="s">
        <v>12068</v>
      </c>
      <c r="BF157" t="s">
        <v>12069</v>
      </c>
      <c r="BG157" t="s">
        <v>12070</v>
      </c>
      <c r="BH157" t="s">
        <v>11445</v>
      </c>
      <c r="BI157" t="s">
        <v>12071</v>
      </c>
      <c r="BJ157" t="s">
        <v>12072</v>
      </c>
      <c r="BK157" t="s">
        <v>12073</v>
      </c>
      <c r="BL157" t="s">
        <v>12074</v>
      </c>
      <c r="BM157" t="s">
        <v>12075</v>
      </c>
      <c r="BN157" t="s">
        <v>11448</v>
      </c>
      <c r="BO157" t="s">
        <v>12076</v>
      </c>
      <c r="BP157" t="s">
        <v>12077</v>
      </c>
      <c r="BR157" t="s">
        <v>274</v>
      </c>
    </row>
    <row r="158" spans="1:70" x14ac:dyDescent="0.3">
      <c r="A158" t="s">
        <v>222</v>
      </c>
      <c r="B158" t="s">
        <v>2882</v>
      </c>
      <c r="C158" t="s">
        <v>4632</v>
      </c>
      <c r="D158" t="s">
        <v>4633</v>
      </c>
      <c r="F158" t="s">
        <v>274</v>
      </c>
      <c r="G158" t="s">
        <v>274</v>
      </c>
      <c r="H158" t="s">
        <v>274</v>
      </c>
      <c r="I158" t="s">
        <v>274</v>
      </c>
      <c r="J158" t="s">
        <v>274</v>
      </c>
      <c r="K158" t="s">
        <v>274</v>
      </c>
      <c r="L158" t="s">
        <v>274</v>
      </c>
      <c r="M158" t="s">
        <v>274</v>
      </c>
      <c r="N158" t="s">
        <v>274</v>
      </c>
      <c r="O158" t="s">
        <v>274</v>
      </c>
      <c r="P158" t="s">
        <v>12078</v>
      </c>
      <c r="Q158" t="s">
        <v>10029</v>
      </c>
      <c r="R158" t="s">
        <v>10030</v>
      </c>
      <c r="S158" t="s">
        <v>12079</v>
      </c>
      <c r="T158" t="s">
        <v>12080</v>
      </c>
      <c r="U158" t="s">
        <v>12081</v>
      </c>
      <c r="V158" t="s">
        <v>12082</v>
      </c>
      <c r="W158" t="s">
        <v>12083</v>
      </c>
      <c r="X158" t="s">
        <v>12084</v>
      </c>
      <c r="Y158" t="s">
        <v>12085</v>
      </c>
      <c r="Z158" t="s">
        <v>12086</v>
      </c>
      <c r="AA158" t="s">
        <v>12087</v>
      </c>
      <c r="AB158" t="s">
        <v>12088</v>
      </c>
      <c r="AC158" t="s">
        <v>12089</v>
      </c>
      <c r="AD158" t="s">
        <v>12090</v>
      </c>
      <c r="AE158" t="s">
        <v>12091</v>
      </c>
      <c r="AF158" t="s">
        <v>12092</v>
      </c>
      <c r="AG158" t="s">
        <v>12093</v>
      </c>
      <c r="AH158" t="s">
        <v>12094</v>
      </c>
      <c r="AI158" t="s">
        <v>12095</v>
      </c>
      <c r="AJ158" t="s">
        <v>12096</v>
      </c>
      <c r="AK158" t="s">
        <v>12097</v>
      </c>
      <c r="AL158" t="s">
        <v>12098</v>
      </c>
      <c r="AM158" t="s">
        <v>12099</v>
      </c>
      <c r="AN158" t="s">
        <v>12100</v>
      </c>
      <c r="AO158" t="s">
        <v>12101</v>
      </c>
      <c r="AP158" t="s">
        <v>12102</v>
      </c>
      <c r="AQ158" t="s">
        <v>12103</v>
      </c>
      <c r="AR158" t="s">
        <v>12104</v>
      </c>
      <c r="AS158" t="s">
        <v>12105</v>
      </c>
      <c r="AT158" t="s">
        <v>12106</v>
      </c>
      <c r="AU158" t="s">
        <v>12107</v>
      </c>
      <c r="AV158" t="s">
        <v>12108</v>
      </c>
      <c r="AW158" t="s">
        <v>12109</v>
      </c>
      <c r="AX158" t="s">
        <v>12110</v>
      </c>
      <c r="AY158" t="s">
        <v>12111</v>
      </c>
      <c r="AZ158" t="s">
        <v>12112</v>
      </c>
      <c r="BA158" t="s">
        <v>12113</v>
      </c>
      <c r="BB158" t="s">
        <v>12114</v>
      </c>
      <c r="BC158" t="s">
        <v>12115</v>
      </c>
      <c r="BD158" t="s">
        <v>12116</v>
      </c>
      <c r="BE158" t="s">
        <v>12117</v>
      </c>
      <c r="BF158" t="s">
        <v>12118</v>
      </c>
      <c r="BG158" t="s">
        <v>12119</v>
      </c>
      <c r="BH158" t="s">
        <v>12120</v>
      </c>
      <c r="BI158" t="s">
        <v>12121</v>
      </c>
      <c r="BJ158" t="s">
        <v>12122</v>
      </c>
      <c r="BK158" t="s">
        <v>12123</v>
      </c>
      <c r="BL158" t="s">
        <v>12124</v>
      </c>
      <c r="BM158" t="s">
        <v>12125</v>
      </c>
      <c r="BN158" t="s">
        <v>12126</v>
      </c>
      <c r="BO158" t="s">
        <v>12127</v>
      </c>
      <c r="BP158" t="s">
        <v>12128</v>
      </c>
      <c r="BR158" t="s">
        <v>274</v>
      </c>
    </row>
    <row r="159" spans="1:70" x14ac:dyDescent="0.3">
      <c r="A159" t="s">
        <v>122</v>
      </c>
      <c r="B159" t="s">
        <v>2903</v>
      </c>
      <c r="C159" t="s">
        <v>4632</v>
      </c>
      <c r="D159" t="s">
        <v>4633</v>
      </c>
      <c r="F159" t="s">
        <v>274</v>
      </c>
      <c r="G159" t="s">
        <v>274</v>
      </c>
      <c r="H159" t="s">
        <v>274</v>
      </c>
      <c r="I159" t="s">
        <v>274</v>
      </c>
      <c r="J159" t="s">
        <v>274</v>
      </c>
      <c r="K159" t="s">
        <v>274</v>
      </c>
      <c r="L159" t="s">
        <v>7686</v>
      </c>
      <c r="M159" t="s">
        <v>8025</v>
      </c>
      <c r="N159" t="s">
        <v>12129</v>
      </c>
      <c r="O159" t="s">
        <v>11889</v>
      </c>
      <c r="P159" t="s">
        <v>12130</v>
      </c>
      <c r="Q159" t="s">
        <v>12131</v>
      </c>
      <c r="R159" t="s">
        <v>12132</v>
      </c>
      <c r="S159" t="s">
        <v>12133</v>
      </c>
      <c r="T159" t="s">
        <v>12134</v>
      </c>
      <c r="U159" t="s">
        <v>12135</v>
      </c>
      <c r="V159" t="s">
        <v>11896</v>
      </c>
      <c r="W159" t="s">
        <v>4974</v>
      </c>
      <c r="X159" t="s">
        <v>8036</v>
      </c>
      <c r="Y159" t="s">
        <v>7699</v>
      </c>
      <c r="Z159" t="s">
        <v>11243</v>
      </c>
      <c r="AA159" t="s">
        <v>12136</v>
      </c>
      <c r="AB159" t="s">
        <v>12137</v>
      </c>
      <c r="AC159" t="s">
        <v>10589</v>
      </c>
      <c r="AD159" t="s">
        <v>10304</v>
      </c>
      <c r="AE159" t="s">
        <v>7705</v>
      </c>
      <c r="AF159" t="s">
        <v>7706</v>
      </c>
      <c r="AG159" t="s">
        <v>11906</v>
      </c>
      <c r="AH159" t="s">
        <v>12138</v>
      </c>
      <c r="AI159" t="s">
        <v>12139</v>
      </c>
      <c r="AJ159" t="s">
        <v>10596</v>
      </c>
      <c r="AK159" t="s">
        <v>12140</v>
      </c>
      <c r="AL159" t="s">
        <v>11911</v>
      </c>
      <c r="AM159" t="s">
        <v>10599</v>
      </c>
      <c r="AN159" t="s">
        <v>12141</v>
      </c>
      <c r="AO159" t="s">
        <v>12142</v>
      </c>
      <c r="AP159" t="s">
        <v>12143</v>
      </c>
      <c r="AQ159" t="s">
        <v>12144</v>
      </c>
      <c r="AR159" t="s">
        <v>12145</v>
      </c>
      <c r="AS159" t="s">
        <v>12146</v>
      </c>
      <c r="AT159" t="s">
        <v>12147</v>
      </c>
      <c r="AU159" t="s">
        <v>12148</v>
      </c>
      <c r="AV159" t="s">
        <v>12149</v>
      </c>
      <c r="AW159" t="s">
        <v>12150</v>
      </c>
      <c r="AX159" t="s">
        <v>12151</v>
      </c>
      <c r="AY159" t="s">
        <v>12152</v>
      </c>
      <c r="AZ159" t="s">
        <v>12153</v>
      </c>
      <c r="BA159" t="s">
        <v>12154</v>
      </c>
      <c r="BB159" t="s">
        <v>12155</v>
      </c>
      <c r="BC159" t="s">
        <v>12156</v>
      </c>
      <c r="BD159" t="s">
        <v>12157</v>
      </c>
      <c r="BE159" t="s">
        <v>12158</v>
      </c>
      <c r="BF159" t="s">
        <v>12159</v>
      </c>
      <c r="BG159" t="s">
        <v>7502</v>
      </c>
      <c r="BH159" t="s">
        <v>10273</v>
      </c>
      <c r="BI159" t="s">
        <v>7734</v>
      </c>
      <c r="BJ159" t="s">
        <v>7735</v>
      </c>
      <c r="BK159" t="s">
        <v>12160</v>
      </c>
      <c r="BL159" t="s">
        <v>7737</v>
      </c>
      <c r="BM159" t="s">
        <v>11937</v>
      </c>
      <c r="BN159" t="s">
        <v>12161</v>
      </c>
      <c r="BO159" t="s">
        <v>12162</v>
      </c>
      <c r="BP159" t="s">
        <v>12163</v>
      </c>
      <c r="BR159" t="s">
        <v>274</v>
      </c>
    </row>
    <row r="160" spans="1:70" x14ac:dyDescent="0.3">
      <c r="A160" t="s">
        <v>123</v>
      </c>
      <c r="B160" t="s">
        <v>2904</v>
      </c>
      <c r="C160" t="s">
        <v>4632</v>
      </c>
      <c r="D160" t="s">
        <v>4633</v>
      </c>
      <c r="F160" t="s">
        <v>12164</v>
      </c>
      <c r="G160" t="s">
        <v>12165</v>
      </c>
      <c r="H160" t="s">
        <v>12166</v>
      </c>
      <c r="I160" t="s">
        <v>12167</v>
      </c>
      <c r="J160" t="s">
        <v>12168</v>
      </c>
      <c r="K160" t="s">
        <v>12169</v>
      </c>
      <c r="L160" t="s">
        <v>12170</v>
      </c>
      <c r="M160" t="s">
        <v>12171</v>
      </c>
      <c r="N160" t="s">
        <v>12172</v>
      </c>
      <c r="O160" t="s">
        <v>12173</v>
      </c>
      <c r="P160" t="s">
        <v>12174</v>
      </c>
      <c r="Q160" t="s">
        <v>7803</v>
      </c>
      <c r="R160" t="s">
        <v>12175</v>
      </c>
      <c r="S160" t="s">
        <v>12176</v>
      </c>
      <c r="T160" t="s">
        <v>12177</v>
      </c>
      <c r="U160" t="s">
        <v>12178</v>
      </c>
      <c r="V160" t="s">
        <v>12179</v>
      </c>
      <c r="W160" t="s">
        <v>12180</v>
      </c>
      <c r="X160" t="s">
        <v>12181</v>
      </c>
      <c r="Y160" t="s">
        <v>12182</v>
      </c>
      <c r="Z160" t="s">
        <v>12183</v>
      </c>
      <c r="AA160" t="s">
        <v>12184</v>
      </c>
      <c r="AB160" t="s">
        <v>12185</v>
      </c>
      <c r="AC160" t="s">
        <v>12186</v>
      </c>
      <c r="AD160" t="s">
        <v>12187</v>
      </c>
      <c r="AE160" t="s">
        <v>12188</v>
      </c>
      <c r="AF160" t="s">
        <v>12189</v>
      </c>
      <c r="AG160" t="s">
        <v>12190</v>
      </c>
      <c r="AH160" t="s">
        <v>12191</v>
      </c>
      <c r="AI160" t="s">
        <v>12192</v>
      </c>
      <c r="AJ160" t="s">
        <v>11079</v>
      </c>
      <c r="AK160" t="s">
        <v>12193</v>
      </c>
      <c r="AL160" t="s">
        <v>12194</v>
      </c>
      <c r="AM160" t="s">
        <v>12195</v>
      </c>
      <c r="AN160" t="s">
        <v>12196</v>
      </c>
      <c r="AO160" t="s">
        <v>12197</v>
      </c>
      <c r="AP160" t="s">
        <v>12198</v>
      </c>
      <c r="AQ160" t="s">
        <v>12199</v>
      </c>
      <c r="AR160" t="s">
        <v>12200</v>
      </c>
      <c r="AS160" t="s">
        <v>12201</v>
      </c>
      <c r="AT160" t="s">
        <v>12202</v>
      </c>
      <c r="AU160" t="s">
        <v>11083</v>
      </c>
      <c r="AV160" t="s">
        <v>12203</v>
      </c>
      <c r="AW160" t="s">
        <v>12204</v>
      </c>
      <c r="AX160" t="s">
        <v>12205</v>
      </c>
      <c r="AY160" t="s">
        <v>11342</v>
      </c>
      <c r="AZ160" t="s">
        <v>12206</v>
      </c>
      <c r="BA160" t="s">
        <v>12207</v>
      </c>
      <c r="BB160" t="s">
        <v>12208</v>
      </c>
      <c r="BC160" t="s">
        <v>12209</v>
      </c>
      <c r="BD160" t="s">
        <v>12210</v>
      </c>
      <c r="BE160" t="s">
        <v>11086</v>
      </c>
      <c r="BF160" t="s">
        <v>12211</v>
      </c>
      <c r="BG160" t="s">
        <v>12212</v>
      </c>
      <c r="BH160" t="s">
        <v>11088</v>
      </c>
      <c r="BI160" t="s">
        <v>12213</v>
      </c>
      <c r="BJ160" t="s">
        <v>12214</v>
      </c>
      <c r="BK160" t="s">
        <v>12215</v>
      </c>
      <c r="BL160" t="s">
        <v>12216</v>
      </c>
      <c r="BM160" t="s">
        <v>12217</v>
      </c>
      <c r="BN160" t="s">
        <v>11351</v>
      </c>
      <c r="BO160" t="s">
        <v>12218</v>
      </c>
      <c r="BP160" t="s">
        <v>11352</v>
      </c>
      <c r="BR160" t="s">
        <v>274</v>
      </c>
    </row>
    <row r="161" spans="1:70" x14ac:dyDescent="0.3">
      <c r="A161" t="s">
        <v>245</v>
      </c>
      <c r="B161" t="s">
        <v>2936</v>
      </c>
      <c r="C161" t="s">
        <v>4632</v>
      </c>
      <c r="D161" t="s">
        <v>4633</v>
      </c>
      <c r="F161" t="s">
        <v>274</v>
      </c>
      <c r="G161" t="s">
        <v>274</v>
      </c>
      <c r="H161" t="s">
        <v>274</v>
      </c>
      <c r="I161" t="s">
        <v>274</v>
      </c>
      <c r="J161" t="s">
        <v>274</v>
      </c>
      <c r="K161" t="s">
        <v>274</v>
      </c>
      <c r="L161" t="s">
        <v>274</v>
      </c>
      <c r="M161" t="s">
        <v>274</v>
      </c>
      <c r="N161" t="s">
        <v>274</v>
      </c>
      <c r="O161" t="s">
        <v>274</v>
      </c>
      <c r="P161" t="s">
        <v>8370</v>
      </c>
      <c r="Q161" t="s">
        <v>12219</v>
      </c>
      <c r="R161" t="s">
        <v>12220</v>
      </c>
      <c r="S161" t="s">
        <v>12221</v>
      </c>
      <c r="T161" t="s">
        <v>11600</v>
      </c>
      <c r="U161" t="s">
        <v>12222</v>
      </c>
      <c r="V161" t="s">
        <v>8376</v>
      </c>
      <c r="W161" t="s">
        <v>12223</v>
      </c>
      <c r="X161" t="s">
        <v>12224</v>
      </c>
      <c r="Y161" t="s">
        <v>7750</v>
      </c>
      <c r="Z161" t="s">
        <v>12225</v>
      </c>
      <c r="AA161" t="s">
        <v>12226</v>
      </c>
      <c r="AB161" t="s">
        <v>12227</v>
      </c>
      <c r="AC161" t="s">
        <v>12228</v>
      </c>
      <c r="AD161" t="s">
        <v>8383</v>
      </c>
      <c r="AE161" t="s">
        <v>8384</v>
      </c>
      <c r="AF161" t="s">
        <v>12229</v>
      </c>
      <c r="AG161" t="s">
        <v>12230</v>
      </c>
      <c r="AH161" t="s">
        <v>12231</v>
      </c>
      <c r="AI161" t="s">
        <v>12232</v>
      </c>
      <c r="AJ161" t="s">
        <v>12233</v>
      </c>
      <c r="AK161" t="s">
        <v>12234</v>
      </c>
      <c r="AL161" t="s">
        <v>12235</v>
      </c>
      <c r="AM161" t="s">
        <v>12236</v>
      </c>
      <c r="AN161" t="s">
        <v>12237</v>
      </c>
      <c r="AO161" t="s">
        <v>12238</v>
      </c>
      <c r="AP161" t="s">
        <v>7766</v>
      </c>
      <c r="AQ161" t="s">
        <v>12239</v>
      </c>
      <c r="AR161" t="s">
        <v>12240</v>
      </c>
      <c r="AS161" t="s">
        <v>12241</v>
      </c>
      <c r="AT161" t="s">
        <v>12242</v>
      </c>
      <c r="AU161" t="s">
        <v>12243</v>
      </c>
      <c r="AV161" t="s">
        <v>12244</v>
      </c>
      <c r="AW161" t="s">
        <v>12245</v>
      </c>
      <c r="AX161" t="s">
        <v>12246</v>
      </c>
      <c r="AY161" t="s">
        <v>12247</v>
      </c>
      <c r="AZ161" t="s">
        <v>12248</v>
      </c>
      <c r="BA161" t="s">
        <v>12249</v>
      </c>
      <c r="BB161" t="s">
        <v>12250</v>
      </c>
      <c r="BC161" t="s">
        <v>12251</v>
      </c>
      <c r="BD161" t="s">
        <v>12252</v>
      </c>
      <c r="BE161" t="s">
        <v>12253</v>
      </c>
      <c r="BF161" t="s">
        <v>12254</v>
      </c>
      <c r="BG161" t="s">
        <v>12255</v>
      </c>
      <c r="BH161" t="s">
        <v>12256</v>
      </c>
      <c r="BI161" t="s">
        <v>12257</v>
      </c>
      <c r="BJ161" t="s">
        <v>12258</v>
      </c>
      <c r="BK161" t="s">
        <v>12259</v>
      </c>
      <c r="BL161" t="s">
        <v>12260</v>
      </c>
      <c r="BM161" t="s">
        <v>12261</v>
      </c>
      <c r="BN161" t="s">
        <v>12262</v>
      </c>
      <c r="BO161" t="s">
        <v>12263</v>
      </c>
      <c r="BP161" t="s">
        <v>12264</v>
      </c>
      <c r="BR161" t="s">
        <v>274</v>
      </c>
    </row>
    <row r="162" spans="1:70" x14ac:dyDescent="0.3">
      <c r="A162" t="s">
        <v>2937</v>
      </c>
      <c r="B162" t="s">
        <v>2938</v>
      </c>
      <c r="C162" t="s">
        <v>4632</v>
      </c>
      <c r="D162" t="s">
        <v>4633</v>
      </c>
      <c r="F162" t="s">
        <v>9806</v>
      </c>
      <c r="G162" t="s">
        <v>7681</v>
      </c>
      <c r="H162" t="s">
        <v>9511</v>
      </c>
      <c r="I162" t="s">
        <v>12265</v>
      </c>
      <c r="J162" t="s">
        <v>6827</v>
      </c>
      <c r="K162" t="s">
        <v>12266</v>
      </c>
      <c r="L162" t="s">
        <v>12267</v>
      </c>
      <c r="M162" t="s">
        <v>12268</v>
      </c>
      <c r="N162" t="s">
        <v>12269</v>
      </c>
      <c r="O162" t="s">
        <v>9865</v>
      </c>
      <c r="P162" t="s">
        <v>6351</v>
      </c>
      <c r="Q162" t="s">
        <v>7171</v>
      </c>
      <c r="R162" t="s">
        <v>12175</v>
      </c>
      <c r="S162" t="s">
        <v>12270</v>
      </c>
      <c r="T162" t="s">
        <v>11600</v>
      </c>
      <c r="U162" t="s">
        <v>12271</v>
      </c>
      <c r="V162" t="s">
        <v>12272</v>
      </c>
      <c r="W162" t="s">
        <v>11897</v>
      </c>
      <c r="X162" t="s">
        <v>5532</v>
      </c>
      <c r="Y162" t="s">
        <v>11604</v>
      </c>
      <c r="Z162" t="s">
        <v>12273</v>
      </c>
      <c r="AA162" t="s">
        <v>12274</v>
      </c>
      <c r="AB162" t="s">
        <v>12275</v>
      </c>
      <c r="AC162" t="s">
        <v>12276</v>
      </c>
      <c r="AD162" t="s">
        <v>10124</v>
      </c>
      <c r="AE162" t="s">
        <v>9827</v>
      </c>
      <c r="AF162" t="s">
        <v>11337</v>
      </c>
      <c r="AG162" t="s">
        <v>7707</v>
      </c>
      <c r="AH162" t="s">
        <v>12277</v>
      </c>
      <c r="AI162" t="s">
        <v>12278</v>
      </c>
      <c r="AJ162" t="s">
        <v>12279</v>
      </c>
      <c r="AK162" t="s">
        <v>11609</v>
      </c>
      <c r="AL162" t="s">
        <v>12280</v>
      </c>
      <c r="AM162" t="s">
        <v>12281</v>
      </c>
      <c r="AN162" t="s">
        <v>11134</v>
      </c>
      <c r="AO162" t="s">
        <v>12282</v>
      </c>
      <c r="AP162" t="s">
        <v>12283</v>
      </c>
      <c r="AQ162" t="s">
        <v>10757</v>
      </c>
      <c r="AR162" t="s">
        <v>12284</v>
      </c>
      <c r="AS162" t="s">
        <v>7656</v>
      </c>
      <c r="AT162" t="s">
        <v>7657</v>
      </c>
      <c r="AU162" t="s">
        <v>12285</v>
      </c>
      <c r="AV162" t="s">
        <v>9891</v>
      </c>
      <c r="AW162" t="s">
        <v>10053</v>
      </c>
      <c r="AX162" t="s">
        <v>12286</v>
      </c>
      <c r="AY162" t="s">
        <v>12287</v>
      </c>
      <c r="AZ162" t="s">
        <v>7725</v>
      </c>
      <c r="BA162" t="s">
        <v>8404</v>
      </c>
      <c r="BB162" t="s">
        <v>12288</v>
      </c>
      <c r="BC162" t="s">
        <v>12289</v>
      </c>
      <c r="BD162" t="s">
        <v>12290</v>
      </c>
      <c r="BE162" t="s">
        <v>12291</v>
      </c>
      <c r="BF162" t="s">
        <v>12292</v>
      </c>
      <c r="BG162" t="s">
        <v>10150</v>
      </c>
      <c r="BH162" t="s">
        <v>12293</v>
      </c>
      <c r="BI162" t="s">
        <v>9207</v>
      </c>
      <c r="BJ162" t="s">
        <v>12294</v>
      </c>
      <c r="BK162" t="s">
        <v>11279</v>
      </c>
      <c r="BL162" t="s">
        <v>7840</v>
      </c>
      <c r="BM162" t="s">
        <v>12295</v>
      </c>
      <c r="BN162" t="s">
        <v>7842</v>
      </c>
      <c r="BO162" t="s">
        <v>12296</v>
      </c>
      <c r="BP162" t="s">
        <v>12297</v>
      </c>
      <c r="BR162" t="s">
        <v>274</v>
      </c>
    </row>
    <row r="163" spans="1:70" x14ac:dyDescent="0.3">
      <c r="A163" t="s">
        <v>223</v>
      </c>
      <c r="B163" t="s">
        <v>2939</v>
      </c>
      <c r="C163" t="s">
        <v>4632</v>
      </c>
      <c r="D163" t="s">
        <v>4633</v>
      </c>
      <c r="F163" t="s">
        <v>274</v>
      </c>
      <c r="G163" t="s">
        <v>274</v>
      </c>
      <c r="H163" t="s">
        <v>274</v>
      </c>
      <c r="I163" t="s">
        <v>274</v>
      </c>
      <c r="J163" t="s">
        <v>274</v>
      </c>
      <c r="K163" t="s">
        <v>274</v>
      </c>
      <c r="L163" t="s">
        <v>274</v>
      </c>
      <c r="M163" t="s">
        <v>274</v>
      </c>
      <c r="N163" t="s">
        <v>274</v>
      </c>
      <c r="O163" t="s">
        <v>274</v>
      </c>
      <c r="P163" t="s">
        <v>274</v>
      </c>
      <c r="Q163" t="s">
        <v>274</v>
      </c>
      <c r="R163" t="s">
        <v>274</v>
      </c>
      <c r="S163" t="s">
        <v>274</v>
      </c>
      <c r="T163" t="s">
        <v>274</v>
      </c>
      <c r="U163" t="s">
        <v>274</v>
      </c>
      <c r="V163" t="s">
        <v>274</v>
      </c>
      <c r="W163" t="s">
        <v>274</v>
      </c>
      <c r="X163" t="s">
        <v>274</v>
      </c>
      <c r="Y163" t="s">
        <v>274</v>
      </c>
      <c r="Z163" t="s">
        <v>274</v>
      </c>
      <c r="AA163" t="s">
        <v>274</v>
      </c>
      <c r="AB163" t="s">
        <v>274</v>
      </c>
      <c r="AC163" t="s">
        <v>274</v>
      </c>
      <c r="AD163" t="s">
        <v>274</v>
      </c>
      <c r="AE163" t="s">
        <v>274</v>
      </c>
      <c r="AF163" t="s">
        <v>274</v>
      </c>
      <c r="AG163" t="s">
        <v>274</v>
      </c>
      <c r="AH163" t="s">
        <v>274</v>
      </c>
      <c r="AI163" t="s">
        <v>274</v>
      </c>
      <c r="AJ163" t="s">
        <v>7893</v>
      </c>
      <c r="AK163" t="s">
        <v>12298</v>
      </c>
      <c r="AL163" t="s">
        <v>12299</v>
      </c>
      <c r="AM163" t="s">
        <v>12300</v>
      </c>
      <c r="AN163" t="s">
        <v>12301</v>
      </c>
      <c r="AO163" t="s">
        <v>12302</v>
      </c>
      <c r="AP163" t="s">
        <v>12303</v>
      </c>
      <c r="AQ163" t="s">
        <v>12304</v>
      </c>
      <c r="AR163" t="s">
        <v>12305</v>
      </c>
      <c r="AS163" t="s">
        <v>12306</v>
      </c>
      <c r="AT163" t="s">
        <v>12307</v>
      </c>
      <c r="AU163" t="s">
        <v>12308</v>
      </c>
      <c r="AV163" t="s">
        <v>12309</v>
      </c>
      <c r="AW163" t="s">
        <v>12310</v>
      </c>
      <c r="AX163" t="s">
        <v>12311</v>
      </c>
      <c r="AY163" t="s">
        <v>12312</v>
      </c>
      <c r="AZ163" t="s">
        <v>12313</v>
      </c>
      <c r="BA163" t="s">
        <v>12314</v>
      </c>
      <c r="BB163" t="s">
        <v>12315</v>
      </c>
      <c r="BC163" t="s">
        <v>12316</v>
      </c>
      <c r="BD163" t="s">
        <v>12317</v>
      </c>
      <c r="BE163" t="s">
        <v>12318</v>
      </c>
      <c r="BF163" t="s">
        <v>12319</v>
      </c>
      <c r="BG163" t="s">
        <v>12320</v>
      </c>
      <c r="BH163" t="s">
        <v>12321</v>
      </c>
      <c r="BI163" t="s">
        <v>12322</v>
      </c>
      <c r="BJ163" t="s">
        <v>12323</v>
      </c>
      <c r="BK163" t="s">
        <v>12324</v>
      </c>
      <c r="BL163" t="s">
        <v>12325</v>
      </c>
      <c r="BM163" t="s">
        <v>12326</v>
      </c>
      <c r="BN163" t="s">
        <v>12327</v>
      </c>
      <c r="BO163" t="s">
        <v>11724</v>
      </c>
      <c r="BP163" t="s">
        <v>12328</v>
      </c>
      <c r="BR163" t="s">
        <v>274</v>
      </c>
    </row>
    <row r="164" spans="1:70" x14ac:dyDescent="0.3">
      <c r="A164" t="s">
        <v>124</v>
      </c>
      <c r="B164" t="s">
        <v>2960</v>
      </c>
      <c r="C164" t="s">
        <v>4632</v>
      </c>
      <c r="D164" t="s">
        <v>4633</v>
      </c>
      <c r="F164" t="s">
        <v>274</v>
      </c>
      <c r="G164" t="s">
        <v>274</v>
      </c>
      <c r="H164" t="s">
        <v>274</v>
      </c>
      <c r="I164" t="s">
        <v>274</v>
      </c>
      <c r="J164" t="s">
        <v>274</v>
      </c>
      <c r="K164" t="s">
        <v>274</v>
      </c>
      <c r="L164" t="s">
        <v>274</v>
      </c>
      <c r="M164" t="s">
        <v>12329</v>
      </c>
      <c r="N164" t="s">
        <v>8368</v>
      </c>
      <c r="O164" t="s">
        <v>12330</v>
      </c>
      <c r="P164" t="s">
        <v>12331</v>
      </c>
      <c r="Q164" t="s">
        <v>12332</v>
      </c>
      <c r="R164" t="s">
        <v>12333</v>
      </c>
      <c r="S164" t="s">
        <v>12334</v>
      </c>
      <c r="T164" t="s">
        <v>12335</v>
      </c>
      <c r="U164" t="s">
        <v>12336</v>
      </c>
      <c r="V164" t="s">
        <v>12337</v>
      </c>
      <c r="W164" t="s">
        <v>9582</v>
      </c>
      <c r="X164" t="s">
        <v>12338</v>
      </c>
      <c r="Y164" t="s">
        <v>8379</v>
      </c>
      <c r="Z164" t="s">
        <v>9584</v>
      </c>
      <c r="AA164" t="s">
        <v>12339</v>
      </c>
      <c r="AB164" t="s">
        <v>12340</v>
      </c>
      <c r="AC164" t="s">
        <v>12341</v>
      </c>
      <c r="AD164" t="s">
        <v>12342</v>
      </c>
      <c r="AE164" t="s">
        <v>12343</v>
      </c>
      <c r="AF164" t="s">
        <v>12344</v>
      </c>
      <c r="AG164" t="s">
        <v>12345</v>
      </c>
      <c r="AH164" t="s">
        <v>12346</v>
      </c>
      <c r="AI164" t="s">
        <v>8387</v>
      </c>
      <c r="AJ164" t="s">
        <v>12347</v>
      </c>
      <c r="AK164" t="s">
        <v>12348</v>
      </c>
      <c r="AL164" t="s">
        <v>12349</v>
      </c>
      <c r="AM164" t="s">
        <v>12350</v>
      </c>
      <c r="AN164" t="s">
        <v>11431</v>
      </c>
      <c r="AO164" t="s">
        <v>12351</v>
      </c>
      <c r="AP164" t="s">
        <v>12352</v>
      </c>
      <c r="AQ164" t="s">
        <v>12353</v>
      </c>
      <c r="AR164" t="s">
        <v>12354</v>
      </c>
      <c r="AS164" t="s">
        <v>12355</v>
      </c>
      <c r="AT164" t="s">
        <v>12356</v>
      </c>
      <c r="AU164" t="s">
        <v>12357</v>
      </c>
      <c r="AV164" t="s">
        <v>12358</v>
      </c>
      <c r="AW164" t="s">
        <v>12359</v>
      </c>
      <c r="AX164" t="s">
        <v>12360</v>
      </c>
      <c r="AY164" t="s">
        <v>12361</v>
      </c>
      <c r="AZ164" t="s">
        <v>12362</v>
      </c>
      <c r="BA164" t="s">
        <v>12363</v>
      </c>
      <c r="BB164" t="s">
        <v>12364</v>
      </c>
      <c r="BC164" t="s">
        <v>12365</v>
      </c>
      <c r="BD164" t="s">
        <v>12366</v>
      </c>
      <c r="BE164" t="s">
        <v>12367</v>
      </c>
      <c r="BF164" t="s">
        <v>12368</v>
      </c>
      <c r="BG164" t="s">
        <v>12369</v>
      </c>
      <c r="BH164" t="s">
        <v>12370</v>
      </c>
      <c r="BI164" t="s">
        <v>12371</v>
      </c>
      <c r="BJ164" t="s">
        <v>12372</v>
      </c>
      <c r="BK164" t="s">
        <v>12373</v>
      </c>
      <c r="BL164" t="s">
        <v>12374</v>
      </c>
      <c r="BM164" t="s">
        <v>12375</v>
      </c>
      <c r="BN164" t="s">
        <v>12376</v>
      </c>
      <c r="BO164" t="s">
        <v>12377</v>
      </c>
      <c r="BP164" t="s">
        <v>12378</v>
      </c>
      <c r="BR164" t="s">
        <v>274</v>
      </c>
    </row>
    <row r="165" spans="1:70" x14ac:dyDescent="0.3">
      <c r="A165" t="s">
        <v>125</v>
      </c>
      <c r="B165" t="s">
        <v>2962</v>
      </c>
      <c r="C165" t="s">
        <v>4632</v>
      </c>
      <c r="D165" t="s">
        <v>4633</v>
      </c>
      <c r="F165" t="s">
        <v>274</v>
      </c>
      <c r="G165" t="s">
        <v>274</v>
      </c>
      <c r="H165" t="s">
        <v>274</v>
      </c>
      <c r="I165" t="s">
        <v>274</v>
      </c>
      <c r="J165" t="s">
        <v>274</v>
      </c>
      <c r="K165" t="s">
        <v>274</v>
      </c>
      <c r="L165" t="s">
        <v>274</v>
      </c>
      <c r="M165" t="s">
        <v>274</v>
      </c>
      <c r="N165" t="s">
        <v>274</v>
      </c>
      <c r="O165" t="s">
        <v>274</v>
      </c>
      <c r="P165" t="s">
        <v>12379</v>
      </c>
      <c r="Q165" t="s">
        <v>12380</v>
      </c>
      <c r="R165" t="s">
        <v>12381</v>
      </c>
      <c r="S165" t="s">
        <v>12382</v>
      </c>
      <c r="T165" t="s">
        <v>12383</v>
      </c>
      <c r="U165" t="s">
        <v>12384</v>
      </c>
      <c r="V165" t="s">
        <v>12385</v>
      </c>
      <c r="W165" t="s">
        <v>12386</v>
      </c>
      <c r="X165" t="s">
        <v>12387</v>
      </c>
      <c r="Y165" t="s">
        <v>12388</v>
      </c>
      <c r="Z165" t="s">
        <v>12389</v>
      </c>
      <c r="AA165" t="s">
        <v>12136</v>
      </c>
      <c r="AB165" t="s">
        <v>12390</v>
      </c>
      <c r="AC165" t="s">
        <v>12391</v>
      </c>
      <c r="AD165" t="s">
        <v>12392</v>
      </c>
      <c r="AE165" t="s">
        <v>12393</v>
      </c>
      <c r="AF165" t="s">
        <v>12394</v>
      </c>
      <c r="AG165" t="s">
        <v>12395</v>
      </c>
      <c r="AH165" t="s">
        <v>12396</v>
      </c>
      <c r="AI165" t="s">
        <v>12397</v>
      </c>
      <c r="AJ165" t="s">
        <v>12398</v>
      </c>
      <c r="AK165" t="s">
        <v>12399</v>
      </c>
      <c r="AL165" t="s">
        <v>12400</v>
      </c>
      <c r="AM165" t="s">
        <v>12401</v>
      </c>
      <c r="AN165" t="s">
        <v>8340</v>
      </c>
      <c r="AO165" t="s">
        <v>12402</v>
      </c>
      <c r="AP165" t="s">
        <v>12403</v>
      </c>
      <c r="AQ165" t="s">
        <v>12404</v>
      </c>
      <c r="AR165" t="s">
        <v>12405</v>
      </c>
      <c r="AS165" t="s">
        <v>12406</v>
      </c>
      <c r="AT165" t="s">
        <v>12407</v>
      </c>
      <c r="AU165" t="s">
        <v>12408</v>
      </c>
      <c r="AV165" t="s">
        <v>12409</v>
      </c>
      <c r="AW165" t="s">
        <v>12410</v>
      </c>
      <c r="AX165" t="s">
        <v>12411</v>
      </c>
      <c r="AY165" t="s">
        <v>12412</v>
      </c>
      <c r="AZ165" t="s">
        <v>12413</v>
      </c>
      <c r="BA165" t="s">
        <v>8351</v>
      </c>
      <c r="BB165" t="s">
        <v>12414</v>
      </c>
      <c r="BC165" t="s">
        <v>12415</v>
      </c>
      <c r="BD165" t="s">
        <v>12416</v>
      </c>
      <c r="BE165" t="s">
        <v>12417</v>
      </c>
      <c r="BF165" t="s">
        <v>12418</v>
      </c>
      <c r="BG165" t="s">
        <v>12419</v>
      </c>
      <c r="BH165" t="s">
        <v>12420</v>
      </c>
      <c r="BI165" t="s">
        <v>12421</v>
      </c>
      <c r="BJ165" t="s">
        <v>12422</v>
      </c>
      <c r="BK165" t="s">
        <v>12423</v>
      </c>
      <c r="BL165" t="s">
        <v>12424</v>
      </c>
      <c r="BM165" t="s">
        <v>12425</v>
      </c>
      <c r="BN165" t="s">
        <v>12426</v>
      </c>
      <c r="BO165" t="s">
        <v>12427</v>
      </c>
      <c r="BP165" t="s">
        <v>12428</v>
      </c>
      <c r="BR165" t="s">
        <v>274</v>
      </c>
    </row>
    <row r="166" spans="1:70" x14ac:dyDescent="0.3">
      <c r="A166" t="s">
        <v>126</v>
      </c>
      <c r="B166" t="s">
        <v>2981</v>
      </c>
      <c r="C166" t="s">
        <v>4632</v>
      </c>
      <c r="D166" t="s">
        <v>4633</v>
      </c>
      <c r="F166" t="s">
        <v>12429</v>
      </c>
      <c r="G166" t="s">
        <v>12430</v>
      </c>
      <c r="H166" t="s">
        <v>12431</v>
      </c>
      <c r="I166" t="s">
        <v>12432</v>
      </c>
      <c r="J166" t="s">
        <v>12433</v>
      </c>
      <c r="K166" t="s">
        <v>12434</v>
      </c>
      <c r="L166" t="s">
        <v>12435</v>
      </c>
      <c r="M166" t="s">
        <v>12436</v>
      </c>
      <c r="N166" t="s">
        <v>12437</v>
      </c>
      <c r="O166" t="s">
        <v>12438</v>
      </c>
      <c r="P166" t="s">
        <v>12439</v>
      </c>
      <c r="Q166" t="s">
        <v>12440</v>
      </c>
      <c r="R166" t="s">
        <v>8372</v>
      </c>
      <c r="S166" t="s">
        <v>12441</v>
      </c>
      <c r="T166" t="s">
        <v>12442</v>
      </c>
      <c r="U166" t="s">
        <v>12443</v>
      </c>
      <c r="V166" t="s">
        <v>12444</v>
      </c>
      <c r="W166" t="s">
        <v>12445</v>
      </c>
      <c r="X166" t="s">
        <v>12446</v>
      </c>
      <c r="Y166" t="s">
        <v>12447</v>
      </c>
      <c r="Z166" t="s">
        <v>12448</v>
      </c>
      <c r="AA166" t="s">
        <v>12449</v>
      </c>
      <c r="AB166" t="s">
        <v>12450</v>
      </c>
      <c r="AC166" t="s">
        <v>12451</v>
      </c>
      <c r="AD166" t="s">
        <v>12452</v>
      </c>
      <c r="AE166" t="s">
        <v>9827</v>
      </c>
      <c r="AF166" t="s">
        <v>12453</v>
      </c>
      <c r="AG166" t="s">
        <v>12454</v>
      </c>
      <c r="AH166" t="s">
        <v>12455</v>
      </c>
      <c r="AI166" t="s">
        <v>12456</v>
      </c>
      <c r="AJ166" t="s">
        <v>12457</v>
      </c>
      <c r="AK166" t="s">
        <v>12458</v>
      </c>
      <c r="AL166" t="s">
        <v>12459</v>
      </c>
      <c r="AM166" t="s">
        <v>8390</v>
      </c>
      <c r="AN166" t="s">
        <v>12460</v>
      </c>
      <c r="AO166" t="s">
        <v>12461</v>
      </c>
      <c r="AP166" t="s">
        <v>12462</v>
      </c>
      <c r="AQ166" t="s">
        <v>12463</v>
      </c>
      <c r="AR166" t="s">
        <v>12464</v>
      </c>
      <c r="AS166" t="s">
        <v>12465</v>
      </c>
      <c r="AT166" t="s">
        <v>12466</v>
      </c>
      <c r="AU166" t="s">
        <v>12467</v>
      </c>
      <c r="AV166" t="s">
        <v>12468</v>
      </c>
      <c r="AW166" t="s">
        <v>12469</v>
      </c>
      <c r="AX166" t="s">
        <v>12470</v>
      </c>
      <c r="AY166" t="s">
        <v>12471</v>
      </c>
      <c r="AZ166" t="s">
        <v>12472</v>
      </c>
      <c r="BA166" t="s">
        <v>12473</v>
      </c>
      <c r="BB166" t="s">
        <v>12474</v>
      </c>
      <c r="BC166" t="s">
        <v>12475</v>
      </c>
      <c r="BD166" t="s">
        <v>12476</v>
      </c>
      <c r="BE166" t="s">
        <v>12477</v>
      </c>
      <c r="BF166" t="s">
        <v>11393</v>
      </c>
      <c r="BG166" t="s">
        <v>12478</v>
      </c>
      <c r="BH166" t="s">
        <v>12479</v>
      </c>
      <c r="BI166" t="s">
        <v>12480</v>
      </c>
      <c r="BJ166" t="s">
        <v>12481</v>
      </c>
      <c r="BK166" t="s">
        <v>12482</v>
      </c>
      <c r="BL166" t="s">
        <v>12483</v>
      </c>
      <c r="BM166" t="s">
        <v>12484</v>
      </c>
      <c r="BN166" t="s">
        <v>12485</v>
      </c>
      <c r="BO166" t="s">
        <v>12486</v>
      </c>
      <c r="BP166" t="s">
        <v>12487</v>
      </c>
      <c r="BR166" t="s">
        <v>274</v>
      </c>
    </row>
    <row r="167" spans="1:70" x14ac:dyDescent="0.3">
      <c r="A167" t="s">
        <v>2990</v>
      </c>
      <c r="B167" t="s">
        <v>2991</v>
      </c>
      <c r="C167" t="s">
        <v>4632</v>
      </c>
      <c r="D167" t="s">
        <v>4633</v>
      </c>
      <c r="F167" t="s">
        <v>274</v>
      </c>
      <c r="G167" t="s">
        <v>4958</v>
      </c>
      <c r="H167" t="s">
        <v>8021</v>
      </c>
      <c r="I167" t="s">
        <v>12488</v>
      </c>
      <c r="J167" t="s">
        <v>7684</v>
      </c>
      <c r="K167" t="s">
        <v>4962</v>
      </c>
      <c r="L167" t="s">
        <v>12489</v>
      </c>
      <c r="M167" t="s">
        <v>12490</v>
      </c>
      <c r="N167" t="s">
        <v>12491</v>
      </c>
      <c r="O167" t="s">
        <v>4966</v>
      </c>
      <c r="P167" t="s">
        <v>12492</v>
      </c>
      <c r="Q167" t="s">
        <v>12493</v>
      </c>
      <c r="R167" t="s">
        <v>12494</v>
      </c>
      <c r="S167" t="s">
        <v>4970</v>
      </c>
      <c r="T167" t="s">
        <v>12495</v>
      </c>
      <c r="U167" t="s">
        <v>12496</v>
      </c>
      <c r="V167" t="s">
        <v>12497</v>
      </c>
      <c r="W167" t="s">
        <v>11897</v>
      </c>
      <c r="X167" t="s">
        <v>4975</v>
      </c>
      <c r="Y167" t="s">
        <v>7809</v>
      </c>
      <c r="Z167" t="s">
        <v>11243</v>
      </c>
      <c r="AA167" t="s">
        <v>10587</v>
      </c>
      <c r="AB167" t="s">
        <v>10588</v>
      </c>
      <c r="AC167" t="s">
        <v>8041</v>
      </c>
      <c r="AD167" t="s">
        <v>10244</v>
      </c>
      <c r="AE167" t="s">
        <v>9784</v>
      </c>
      <c r="AF167" t="s">
        <v>10306</v>
      </c>
      <c r="AG167" t="s">
        <v>7707</v>
      </c>
      <c r="AH167" t="s">
        <v>12498</v>
      </c>
      <c r="AI167" t="s">
        <v>12499</v>
      </c>
      <c r="AJ167" t="s">
        <v>12500</v>
      </c>
      <c r="AK167" t="s">
        <v>12501</v>
      </c>
      <c r="AL167" t="s">
        <v>8050</v>
      </c>
      <c r="AM167" t="s">
        <v>8051</v>
      </c>
      <c r="AN167" t="s">
        <v>12502</v>
      </c>
      <c r="AO167" t="s">
        <v>12503</v>
      </c>
      <c r="AP167" t="s">
        <v>12504</v>
      </c>
      <c r="AQ167" t="s">
        <v>12505</v>
      </c>
      <c r="AR167" t="s">
        <v>12506</v>
      </c>
      <c r="AS167" t="s">
        <v>12507</v>
      </c>
      <c r="AT167" t="s">
        <v>12508</v>
      </c>
      <c r="AU167" t="s">
        <v>12509</v>
      </c>
      <c r="AV167" t="s">
        <v>12510</v>
      </c>
      <c r="AW167" t="s">
        <v>12511</v>
      </c>
      <c r="AX167" t="s">
        <v>12512</v>
      </c>
      <c r="AY167" t="s">
        <v>12152</v>
      </c>
      <c r="AZ167" t="s">
        <v>12513</v>
      </c>
      <c r="BA167" t="s">
        <v>12514</v>
      </c>
      <c r="BB167" t="s">
        <v>12515</v>
      </c>
      <c r="BC167" t="s">
        <v>12516</v>
      </c>
      <c r="BD167" t="s">
        <v>12517</v>
      </c>
      <c r="BE167" t="s">
        <v>12518</v>
      </c>
      <c r="BF167" t="s">
        <v>12519</v>
      </c>
      <c r="BG167" t="s">
        <v>10618</v>
      </c>
      <c r="BH167" t="s">
        <v>10619</v>
      </c>
      <c r="BI167" t="s">
        <v>12520</v>
      </c>
      <c r="BJ167" t="s">
        <v>12521</v>
      </c>
      <c r="BK167" t="s">
        <v>7736</v>
      </c>
      <c r="BL167" t="s">
        <v>11157</v>
      </c>
      <c r="BM167" t="s">
        <v>12522</v>
      </c>
      <c r="BN167" t="s">
        <v>7739</v>
      </c>
      <c r="BO167" t="s">
        <v>7740</v>
      </c>
      <c r="BP167" t="s">
        <v>12523</v>
      </c>
      <c r="BR167" t="s">
        <v>274</v>
      </c>
    </row>
    <row r="168" spans="1:70" x14ac:dyDescent="0.3">
      <c r="A168" t="s">
        <v>246</v>
      </c>
      <c r="B168" t="s">
        <v>2992</v>
      </c>
      <c r="C168" t="s">
        <v>4632</v>
      </c>
      <c r="D168" t="s">
        <v>4633</v>
      </c>
      <c r="F168" t="s">
        <v>274</v>
      </c>
      <c r="G168" t="s">
        <v>274</v>
      </c>
      <c r="H168" t="s">
        <v>274</v>
      </c>
      <c r="I168" t="s">
        <v>274</v>
      </c>
      <c r="J168" t="s">
        <v>274</v>
      </c>
      <c r="K168" t="s">
        <v>274</v>
      </c>
      <c r="L168" t="s">
        <v>274</v>
      </c>
      <c r="M168" t="s">
        <v>274</v>
      </c>
      <c r="N168" t="s">
        <v>274</v>
      </c>
      <c r="O168" t="s">
        <v>274</v>
      </c>
      <c r="P168" t="s">
        <v>274</v>
      </c>
      <c r="Q168" t="s">
        <v>274</v>
      </c>
      <c r="R168" t="s">
        <v>274</v>
      </c>
      <c r="S168" t="s">
        <v>274</v>
      </c>
      <c r="T168" t="s">
        <v>274</v>
      </c>
      <c r="U168" t="s">
        <v>274</v>
      </c>
      <c r="V168" t="s">
        <v>274</v>
      </c>
      <c r="W168" t="s">
        <v>274</v>
      </c>
      <c r="X168" t="s">
        <v>274</v>
      </c>
      <c r="Y168" t="s">
        <v>274</v>
      </c>
      <c r="Z168" t="s">
        <v>274</v>
      </c>
      <c r="AA168" t="s">
        <v>274</v>
      </c>
      <c r="AB168" t="s">
        <v>274</v>
      </c>
      <c r="AC168" t="s">
        <v>274</v>
      </c>
      <c r="AD168" t="s">
        <v>274</v>
      </c>
      <c r="AE168" t="s">
        <v>274</v>
      </c>
      <c r="AF168" t="s">
        <v>274</v>
      </c>
      <c r="AG168" t="s">
        <v>274</v>
      </c>
      <c r="AH168" t="s">
        <v>274</v>
      </c>
      <c r="AI168" t="s">
        <v>274</v>
      </c>
      <c r="AJ168" t="s">
        <v>274</v>
      </c>
      <c r="AK168" t="s">
        <v>274</v>
      </c>
      <c r="AL168" t="s">
        <v>274</v>
      </c>
      <c r="AM168" t="s">
        <v>274</v>
      </c>
      <c r="AN168" t="s">
        <v>274</v>
      </c>
      <c r="AO168" t="s">
        <v>274</v>
      </c>
      <c r="AP168" t="s">
        <v>274</v>
      </c>
      <c r="AQ168" t="s">
        <v>12524</v>
      </c>
      <c r="AR168" t="s">
        <v>12525</v>
      </c>
      <c r="AS168" t="s">
        <v>12526</v>
      </c>
      <c r="AT168" t="s">
        <v>12527</v>
      </c>
      <c r="AU168" t="s">
        <v>12528</v>
      </c>
      <c r="AV168" t="s">
        <v>7903</v>
      </c>
      <c r="AW168" t="s">
        <v>12529</v>
      </c>
      <c r="AX168" t="s">
        <v>12530</v>
      </c>
      <c r="AY168" t="s">
        <v>12531</v>
      </c>
      <c r="AZ168" t="s">
        <v>12532</v>
      </c>
      <c r="BA168" t="s">
        <v>12533</v>
      </c>
      <c r="BB168" t="s">
        <v>12534</v>
      </c>
      <c r="BC168" t="s">
        <v>12535</v>
      </c>
      <c r="BD168" t="s">
        <v>12536</v>
      </c>
      <c r="BE168" t="s">
        <v>12537</v>
      </c>
      <c r="BF168" t="s">
        <v>12538</v>
      </c>
      <c r="BG168" t="s">
        <v>12539</v>
      </c>
      <c r="BH168" t="s">
        <v>12540</v>
      </c>
      <c r="BI168" t="s">
        <v>12541</v>
      </c>
      <c r="BJ168" t="s">
        <v>12542</v>
      </c>
      <c r="BK168" t="s">
        <v>11720</v>
      </c>
      <c r="BL168" t="s">
        <v>12543</v>
      </c>
      <c r="BM168" t="s">
        <v>12544</v>
      </c>
      <c r="BN168" t="s">
        <v>12545</v>
      </c>
      <c r="BO168" t="s">
        <v>12546</v>
      </c>
      <c r="BP168" t="s">
        <v>12547</v>
      </c>
      <c r="BR168" t="s">
        <v>274</v>
      </c>
    </row>
    <row r="169" spans="1:70" x14ac:dyDescent="0.3">
      <c r="A169" t="s">
        <v>127</v>
      </c>
      <c r="B169" t="s">
        <v>3012</v>
      </c>
      <c r="C169" t="s">
        <v>4632</v>
      </c>
      <c r="D169" t="s">
        <v>4633</v>
      </c>
      <c r="F169" t="s">
        <v>274</v>
      </c>
      <c r="G169" t="s">
        <v>274</v>
      </c>
      <c r="H169" t="s">
        <v>274</v>
      </c>
      <c r="I169" t="s">
        <v>274</v>
      </c>
      <c r="J169" t="s">
        <v>274</v>
      </c>
      <c r="K169" t="s">
        <v>274</v>
      </c>
      <c r="L169" t="s">
        <v>274</v>
      </c>
      <c r="M169" t="s">
        <v>274</v>
      </c>
      <c r="N169" t="s">
        <v>274</v>
      </c>
      <c r="O169" t="s">
        <v>274</v>
      </c>
      <c r="P169" t="s">
        <v>274</v>
      </c>
      <c r="Q169" t="s">
        <v>274</v>
      </c>
      <c r="R169" t="s">
        <v>274</v>
      </c>
      <c r="S169" t="s">
        <v>274</v>
      </c>
      <c r="T169" t="s">
        <v>274</v>
      </c>
      <c r="U169" t="s">
        <v>274</v>
      </c>
      <c r="V169" t="s">
        <v>274</v>
      </c>
      <c r="W169" t="s">
        <v>274</v>
      </c>
      <c r="X169" t="s">
        <v>274</v>
      </c>
      <c r="Y169" t="s">
        <v>274</v>
      </c>
      <c r="Z169" t="s">
        <v>274</v>
      </c>
      <c r="AA169" t="s">
        <v>12548</v>
      </c>
      <c r="AB169" t="s">
        <v>12549</v>
      </c>
      <c r="AC169" t="s">
        <v>12550</v>
      </c>
      <c r="AD169" t="s">
        <v>12551</v>
      </c>
      <c r="AE169" t="s">
        <v>12552</v>
      </c>
      <c r="AF169" t="s">
        <v>12553</v>
      </c>
      <c r="AG169" t="s">
        <v>12554</v>
      </c>
      <c r="AH169" t="s">
        <v>12555</v>
      </c>
      <c r="AI169" t="s">
        <v>12556</v>
      </c>
      <c r="AJ169" t="s">
        <v>12557</v>
      </c>
      <c r="AK169" t="s">
        <v>12558</v>
      </c>
      <c r="AL169" t="s">
        <v>12559</v>
      </c>
      <c r="AM169" t="s">
        <v>12560</v>
      </c>
      <c r="AN169" t="s">
        <v>12561</v>
      </c>
      <c r="AO169" t="s">
        <v>12562</v>
      </c>
      <c r="AP169" t="s">
        <v>12563</v>
      </c>
      <c r="AQ169" t="s">
        <v>12564</v>
      </c>
      <c r="AR169" t="s">
        <v>12565</v>
      </c>
      <c r="AS169" t="s">
        <v>12566</v>
      </c>
      <c r="AT169" t="s">
        <v>12567</v>
      </c>
      <c r="AU169" t="s">
        <v>12568</v>
      </c>
      <c r="AV169" t="s">
        <v>12569</v>
      </c>
      <c r="AW169" t="s">
        <v>12570</v>
      </c>
      <c r="AX169" t="s">
        <v>12571</v>
      </c>
      <c r="AY169" t="s">
        <v>12572</v>
      </c>
      <c r="AZ169" t="s">
        <v>12573</v>
      </c>
      <c r="BA169" t="s">
        <v>12574</v>
      </c>
      <c r="BB169" t="s">
        <v>12575</v>
      </c>
      <c r="BC169" t="s">
        <v>12576</v>
      </c>
      <c r="BD169" t="s">
        <v>12577</v>
      </c>
      <c r="BE169" t="s">
        <v>12578</v>
      </c>
      <c r="BF169" t="s">
        <v>12579</v>
      </c>
      <c r="BG169" t="s">
        <v>12580</v>
      </c>
      <c r="BH169" t="s">
        <v>12581</v>
      </c>
      <c r="BI169" t="s">
        <v>12582</v>
      </c>
      <c r="BJ169" t="s">
        <v>12583</v>
      </c>
      <c r="BK169" t="s">
        <v>12584</v>
      </c>
      <c r="BL169" t="s">
        <v>12585</v>
      </c>
      <c r="BM169" t="s">
        <v>12586</v>
      </c>
      <c r="BN169" t="s">
        <v>12587</v>
      </c>
      <c r="BO169" t="s">
        <v>12588</v>
      </c>
      <c r="BP169" t="s">
        <v>12589</v>
      </c>
      <c r="BR169" t="s">
        <v>274</v>
      </c>
    </row>
    <row r="170" spans="1:70" x14ac:dyDescent="0.3">
      <c r="A170" t="s">
        <v>3036</v>
      </c>
      <c r="B170" t="s">
        <v>3037</v>
      </c>
      <c r="C170" t="s">
        <v>4632</v>
      </c>
      <c r="D170" t="s">
        <v>4633</v>
      </c>
      <c r="F170" t="s">
        <v>274</v>
      </c>
      <c r="G170" t="s">
        <v>274</v>
      </c>
      <c r="H170" t="s">
        <v>274</v>
      </c>
      <c r="I170" t="s">
        <v>274</v>
      </c>
      <c r="J170" t="s">
        <v>274</v>
      </c>
      <c r="K170" t="s">
        <v>274</v>
      </c>
      <c r="L170" t="s">
        <v>274</v>
      </c>
      <c r="M170" t="s">
        <v>274</v>
      </c>
      <c r="N170" t="s">
        <v>274</v>
      </c>
      <c r="O170" t="s">
        <v>274</v>
      </c>
      <c r="P170" t="s">
        <v>274</v>
      </c>
      <c r="Q170" t="s">
        <v>274</v>
      </c>
      <c r="R170" t="s">
        <v>274</v>
      </c>
      <c r="S170" t="s">
        <v>274</v>
      </c>
      <c r="T170" t="s">
        <v>274</v>
      </c>
      <c r="U170" t="s">
        <v>274</v>
      </c>
      <c r="V170" t="s">
        <v>274</v>
      </c>
      <c r="W170" t="s">
        <v>274</v>
      </c>
      <c r="X170" t="s">
        <v>274</v>
      </c>
      <c r="Y170" t="s">
        <v>274</v>
      </c>
      <c r="Z170" t="s">
        <v>274</v>
      </c>
      <c r="AA170" t="s">
        <v>274</v>
      </c>
      <c r="AB170" t="s">
        <v>274</v>
      </c>
      <c r="AC170" t="s">
        <v>274</v>
      </c>
      <c r="AD170" t="s">
        <v>274</v>
      </c>
      <c r="AE170" t="s">
        <v>274</v>
      </c>
      <c r="AF170" t="s">
        <v>274</v>
      </c>
      <c r="AG170" t="s">
        <v>274</v>
      </c>
      <c r="AH170" t="s">
        <v>274</v>
      </c>
      <c r="AI170" t="s">
        <v>274</v>
      </c>
      <c r="AJ170" t="s">
        <v>274</v>
      </c>
      <c r="AK170" t="s">
        <v>274</v>
      </c>
      <c r="AL170" t="s">
        <v>274</v>
      </c>
      <c r="AM170" t="s">
        <v>274</v>
      </c>
      <c r="AN170" t="s">
        <v>274</v>
      </c>
      <c r="AO170" t="s">
        <v>274</v>
      </c>
      <c r="AP170" t="s">
        <v>274</v>
      </c>
      <c r="AQ170" t="s">
        <v>274</v>
      </c>
      <c r="AR170" t="s">
        <v>274</v>
      </c>
      <c r="AS170" t="s">
        <v>274</v>
      </c>
      <c r="AT170" t="s">
        <v>274</v>
      </c>
      <c r="AU170" t="s">
        <v>274</v>
      </c>
      <c r="AV170" t="s">
        <v>12590</v>
      </c>
      <c r="AW170" t="s">
        <v>12591</v>
      </c>
      <c r="AX170" t="s">
        <v>12592</v>
      </c>
      <c r="AY170" t="s">
        <v>12593</v>
      </c>
      <c r="AZ170" t="s">
        <v>12594</v>
      </c>
      <c r="BA170" t="s">
        <v>12595</v>
      </c>
      <c r="BB170" t="s">
        <v>12596</v>
      </c>
      <c r="BC170" t="s">
        <v>12597</v>
      </c>
      <c r="BD170" t="s">
        <v>12598</v>
      </c>
      <c r="BE170" t="s">
        <v>12599</v>
      </c>
      <c r="BF170" t="s">
        <v>12600</v>
      </c>
      <c r="BG170" t="s">
        <v>12601</v>
      </c>
      <c r="BH170" t="s">
        <v>12602</v>
      </c>
      <c r="BI170" t="s">
        <v>12603</v>
      </c>
      <c r="BJ170" t="s">
        <v>12604</v>
      </c>
      <c r="BK170" t="s">
        <v>12605</v>
      </c>
      <c r="BL170" t="s">
        <v>12606</v>
      </c>
      <c r="BM170" t="s">
        <v>12607</v>
      </c>
      <c r="BN170" t="s">
        <v>12608</v>
      </c>
      <c r="BO170" t="s">
        <v>12609</v>
      </c>
      <c r="BP170" t="s">
        <v>274</v>
      </c>
      <c r="BR170" t="s">
        <v>274</v>
      </c>
    </row>
    <row r="171" spans="1:70" x14ac:dyDescent="0.3">
      <c r="A171" t="s">
        <v>224</v>
      </c>
      <c r="B171" t="s">
        <v>3038</v>
      </c>
      <c r="C171" t="s">
        <v>4632</v>
      </c>
      <c r="D171" t="s">
        <v>4633</v>
      </c>
      <c r="F171" t="s">
        <v>274</v>
      </c>
      <c r="G171" t="s">
        <v>274</v>
      </c>
      <c r="H171" t="s">
        <v>274</v>
      </c>
      <c r="I171" t="s">
        <v>274</v>
      </c>
      <c r="J171" t="s">
        <v>274</v>
      </c>
      <c r="K171" t="s">
        <v>274</v>
      </c>
      <c r="L171" t="s">
        <v>274</v>
      </c>
      <c r="M171" t="s">
        <v>274</v>
      </c>
      <c r="N171" t="s">
        <v>274</v>
      </c>
      <c r="O171" t="s">
        <v>274</v>
      </c>
      <c r="P171" t="s">
        <v>274</v>
      </c>
      <c r="Q171" t="s">
        <v>274</v>
      </c>
      <c r="R171" t="s">
        <v>274</v>
      </c>
      <c r="S171" t="s">
        <v>274</v>
      </c>
      <c r="T171" t="s">
        <v>274</v>
      </c>
      <c r="U171" t="s">
        <v>274</v>
      </c>
      <c r="V171" t="s">
        <v>274</v>
      </c>
      <c r="W171" t="s">
        <v>274</v>
      </c>
      <c r="X171" t="s">
        <v>274</v>
      </c>
      <c r="Y171" t="s">
        <v>274</v>
      </c>
      <c r="Z171" t="s">
        <v>274</v>
      </c>
      <c r="AA171" t="s">
        <v>274</v>
      </c>
      <c r="AB171" t="s">
        <v>274</v>
      </c>
      <c r="AC171" t="s">
        <v>274</v>
      </c>
      <c r="AD171" t="s">
        <v>274</v>
      </c>
      <c r="AE171" t="s">
        <v>274</v>
      </c>
      <c r="AF171" t="s">
        <v>274</v>
      </c>
      <c r="AG171" t="s">
        <v>274</v>
      </c>
      <c r="AH171" t="s">
        <v>274</v>
      </c>
      <c r="AI171" t="s">
        <v>274</v>
      </c>
      <c r="AJ171" t="s">
        <v>274</v>
      </c>
      <c r="AK171" t="s">
        <v>12610</v>
      </c>
      <c r="AL171" t="s">
        <v>12611</v>
      </c>
      <c r="AM171" t="s">
        <v>12612</v>
      </c>
      <c r="AN171" t="s">
        <v>12613</v>
      </c>
      <c r="AO171" t="s">
        <v>12614</v>
      </c>
      <c r="AP171" t="s">
        <v>4707</v>
      </c>
      <c r="AQ171" t="s">
        <v>12615</v>
      </c>
      <c r="AR171" t="s">
        <v>12616</v>
      </c>
      <c r="AS171" t="s">
        <v>12617</v>
      </c>
      <c r="AT171" t="s">
        <v>12618</v>
      </c>
      <c r="AU171" t="s">
        <v>12619</v>
      </c>
      <c r="AV171" t="s">
        <v>12620</v>
      </c>
      <c r="AW171" t="s">
        <v>8400</v>
      </c>
      <c r="AX171" t="s">
        <v>12621</v>
      </c>
      <c r="AY171" t="s">
        <v>8402</v>
      </c>
      <c r="AZ171" t="s">
        <v>10054</v>
      </c>
      <c r="BA171" t="s">
        <v>12622</v>
      </c>
      <c r="BB171" t="s">
        <v>12623</v>
      </c>
      <c r="BC171" t="s">
        <v>12624</v>
      </c>
      <c r="BD171" t="s">
        <v>12625</v>
      </c>
      <c r="BE171" t="s">
        <v>12626</v>
      </c>
      <c r="BF171" t="s">
        <v>12627</v>
      </c>
      <c r="BG171" t="s">
        <v>12628</v>
      </c>
      <c r="BH171" t="s">
        <v>12629</v>
      </c>
      <c r="BI171" t="s">
        <v>12630</v>
      </c>
      <c r="BJ171" t="s">
        <v>12631</v>
      </c>
      <c r="BK171" t="s">
        <v>12632</v>
      </c>
      <c r="BL171" t="s">
        <v>11447</v>
      </c>
      <c r="BM171" t="s">
        <v>12633</v>
      </c>
      <c r="BN171" t="s">
        <v>12634</v>
      </c>
      <c r="BO171" t="s">
        <v>11449</v>
      </c>
      <c r="BP171" t="s">
        <v>12635</v>
      </c>
      <c r="BR171" t="s">
        <v>274</v>
      </c>
    </row>
    <row r="172" spans="1:70" x14ac:dyDescent="0.3">
      <c r="A172" t="s">
        <v>128</v>
      </c>
      <c r="B172" t="s">
        <v>3067</v>
      </c>
      <c r="C172" t="s">
        <v>4632</v>
      </c>
      <c r="D172" t="s">
        <v>4633</v>
      </c>
      <c r="F172" t="s">
        <v>274</v>
      </c>
      <c r="G172" t="s">
        <v>12636</v>
      </c>
      <c r="H172" t="s">
        <v>12637</v>
      </c>
      <c r="I172" t="s">
        <v>12638</v>
      </c>
      <c r="J172" t="s">
        <v>12639</v>
      </c>
      <c r="K172" t="s">
        <v>12640</v>
      </c>
      <c r="L172" t="s">
        <v>12641</v>
      </c>
      <c r="M172" t="s">
        <v>12642</v>
      </c>
      <c r="N172" t="s">
        <v>12643</v>
      </c>
      <c r="O172" t="s">
        <v>12644</v>
      </c>
      <c r="P172" t="s">
        <v>12645</v>
      </c>
      <c r="Q172" t="s">
        <v>12646</v>
      </c>
      <c r="R172" t="s">
        <v>12647</v>
      </c>
      <c r="S172" t="s">
        <v>12648</v>
      </c>
      <c r="T172" t="s">
        <v>12649</v>
      </c>
      <c r="U172" t="s">
        <v>12650</v>
      </c>
      <c r="V172" t="s">
        <v>12651</v>
      </c>
      <c r="W172" t="s">
        <v>12652</v>
      </c>
      <c r="X172" t="s">
        <v>11603</v>
      </c>
      <c r="Y172" t="s">
        <v>12653</v>
      </c>
      <c r="Z172" t="s">
        <v>12654</v>
      </c>
      <c r="AA172" t="s">
        <v>12655</v>
      </c>
      <c r="AB172" t="s">
        <v>12656</v>
      </c>
      <c r="AC172" t="s">
        <v>12657</v>
      </c>
      <c r="AD172" t="s">
        <v>11375</v>
      </c>
      <c r="AE172" t="s">
        <v>11564</v>
      </c>
      <c r="AF172" t="s">
        <v>12658</v>
      </c>
      <c r="AG172" t="s">
        <v>12659</v>
      </c>
      <c r="AH172" t="s">
        <v>4985</v>
      </c>
      <c r="AI172" t="s">
        <v>12660</v>
      </c>
      <c r="AJ172" t="s">
        <v>12661</v>
      </c>
      <c r="AK172" t="s">
        <v>12662</v>
      </c>
      <c r="AL172" t="s">
        <v>12663</v>
      </c>
      <c r="AM172" t="s">
        <v>11570</v>
      </c>
      <c r="AN172" t="s">
        <v>12664</v>
      </c>
      <c r="AO172" t="s">
        <v>12665</v>
      </c>
      <c r="AP172" t="s">
        <v>12666</v>
      </c>
      <c r="AQ172" t="s">
        <v>12667</v>
      </c>
      <c r="AR172" t="s">
        <v>12668</v>
      </c>
      <c r="AS172" t="s">
        <v>11382</v>
      </c>
      <c r="AT172" t="s">
        <v>9603</v>
      </c>
      <c r="AU172" t="s">
        <v>12669</v>
      </c>
      <c r="AV172" t="s">
        <v>12670</v>
      </c>
      <c r="AW172" t="s">
        <v>5000</v>
      </c>
      <c r="AX172" t="s">
        <v>5001</v>
      </c>
      <c r="AY172" t="s">
        <v>12671</v>
      </c>
      <c r="AZ172" t="s">
        <v>12672</v>
      </c>
      <c r="BA172" t="s">
        <v>12673</v>
      </c>
      <c r="BB172" t="s">
        <v>12674</v>
      </c>
      <c r="BC172" t="s">
        <v>12675</v>
      </c>
      <c r="BD172" t="s">
        <v>12676</v>
      </c>
      <c r="BE172" t="s">
        <v>12677</v>
      </c>
      <c r="BF172" t="s">
        <v>12678</v>
      </c>
      <c r="BG172" t="s">
        <v>12679</v>
      </c>
      <c r="BH172" t="s">
        <v>12680</v>
      </c>
      <c r="BI172" t="s">
        <v>12681</v>
      </c>
      <c r="BJ172" t="s">
        <v>12682</v>
      </c>
      <c r="BK172" t="s">
        <v>12683</v>
      </c>
      <c r="BL172" t="s">
        <v>12684</v>
      </c>
      <c r="BM172" t="s">
        <v>12685</v>
      </c>
      <c r="BN172" t="s">
        <v>12686</v>
      </c>
      <c r="BO172" t="s">
        <v>12687</v>
      </c>
      <c r="BP172" t="s">
        <v>12688</v>
      </c>
      <c r="BR172" t="s">
        <v>274</v>
      </c>
    </row>
    <row r="173" spans="1:70" x14ac:dyDescent="0.3">
      <c r="A173" t="s">
        <v>129</v>
      </c>
      <c r="B173" t="s">
        <v>3070</v>
      </c>
      <c r="C173" t="s">
        <v>4632</v>
      </c>
      <c r="D173" t="s">
        <v>4633</v>
      </c>
      <c r="F173" t="s">
        <v>12689</v>
      </c>
      <c r="G173" t="s">
        <v>12690</v>
      </c>
      <c r="H173" t="s">
        <v>12691</v>
      </c>
      <c r="I173" t="s">
        <v>12692</v>
      </c>
      <c r="J173" t="s">
        <v>12693</v>
      </c>
      <c r="K173" t="s">
        <v>12694</v>
      </c>
      <c r="L173" t="s">
        <v>12695</v>
      </c>
      <c r="M173" t="s">
        <v>12696</v>
      </c>
      <c r="N173" t="s">
        <v>12697</v>
      </c>
      <c r="O173" t="s">
        <v>12698</v>
      </c>
      <c r="P173" t="s">
        <v>12699</v>
      </c>
      <c r="Q173" t="s">
        <v>12700</v>
      </c>
      <c r="R173" t="s">
        <v>9773</v>
      </c>
      <c r="S173" t="s">
        <v>12701</v>
      </c>
      <c r="T173" t="s">
        <v>12702</v>
      </c>
      <c r="U173" t="s">
        <v>12703</v>
      </c>
      <c r="V173" t="s">
        <v>12704</v>
      </c>
      <c r="W173" t="s">
        <v>12705</v>
      </c>
      <c r="X173" t="s">
        <v>12706</v>
      </c>
      <c r="Y173" t="s">
        <v>12707</v>
      </c>
      <c r="Z173" t="s">
        <v>12708</v>
      </c>
      <c r="AA173" t="s">
        <v>12709</v>
      </c>
      <c r="AB173" t="s">
        <v>12710</v>
      </c>
      <c r="AC173" t="s">
        <v>12711</v>
      </c>
      <c r="AD173" t="s">
        <v>12712</v>
      </c>
      <c r="AE173" t="s">
        <v>12713</v>
      </c>
      <c r="AF173" t="s">
        <v>12714</v>
      </c>
      <c r="AG173" t="s">
        <v>12715</v>
      </c>
      <c r="AH173" t="s">
        <v>12716</v>
      </c>
      <c r="AI173" t="s">
        <v>12717</v>
      </c>
      <c r="AJ173" t="s">
        <v>12718</v>
      </c>
      <c r="AK173" t="s">
        <v>12719</v>
      </c>
      <c r="AL173" t="s">
        <v>12720</v>
      </c>
      <c r="AM173" t="s">
        <v>12721</v>
      </c>
      <c r="AN173" t="s">
        <v>12722</v>
      </c>
      <c r="AO173" t="s">
        <v>12723</v>
      </c>
      <c r="AP173" t="s">
        <v>12724</v>
      </c>
      <c r="AQ173" t="s">
        <v>12725</v>
      </c>
      <c r="AR173" t="s">
        <v>12726</v>
      </c>
      <c r="AS173" t="s">
        <v>12727</v>
      </c>
      <c r="AT173" t="s">
        <v>12728</v>
      </c>
      <c r="AU173" t="s">
        <v>12729</v>
      </c>
      <c r="AV173" t="s">
        <v>9795</v>
      </c>
      <c r="AW173" t="s">
        <v>12730</v>
      </c>
      <c r="AX173" t="s">
        <v>12731</v>
      </c>
      <c r="AY173" t="s">
        <v>12732</v>
      </c>
      <c r="AZ173" t="s">
        <v>12733</v>
      </c>
      <c r="BA173" t="s">
        <v>12734</v>
      </c>
      <c r="BB173" t="s">
        <v>12735</v>
      </c>
      <c r="BC173" t="s">
        <v>12736</v>
      </c>
      <c r="BD173" t="s">
        <v>12737</v>
      </c>
      <c r="BE173" t="s">
        <v>12738</v>
      </c>
      <c r="BF173" t="s">
        <v>12739</v>
      </c>
      <c r="BG173" t="s">
        <v>12740</v>
      </c>
      <c r="BH173" t="s">
        <v>12741</v>
      </c>
      <c r="BI173" t="s">
        <v>12742</v>
      </c>
      <c r="BJ173" t="s">
        <v>12743</v>
      </c>
      <c r="BK173" t="s">
        <v>12744</v>
      </c>
      <c r="BL173" t="s">
        <v>12745</v>
      </c>
      <c r="BM173" t="s">
        <v>12746</v>
      </c>
      <c r="BN173" t="s">
        <v>12747</v>
      </c>
      <c r="BO173" t="s">
        <v>12748</v>
      </c>
      <c r="BP173" t="s">
        <v>12749</v>
      </c>
      <c r="BR173" t="s">
        <v>274</v>
      </c>
    </row>
    <row r="174" spans="1:70" x14ac:dyDescent="0.3">
      <c r="A174" t="s">
        <v>130</v>
      </c>
      <c r="B174" t="s">
        <v>3092</v>
      </c>
      <c r="C174" t="s">
        <v>4632</v>
      </c>
      <c r="D174" t="s">
        <v>4633</v>
      </c>
      <c r="F174" t="s">
        <v>274</v>
      </c>
      <c r="G174" t="s">
        <v>274</v>
      </c>
      <c r="H174" t="s">
        <v>274</v>
      </c>
      <c r="I174" t="s">
        <v>274</v>
      </c>
      <c r="J174" t="s">
        <v>274</v>
      </c>
      <c r="K174" t="s">
        <v>274</v>
      </c>
      <c r="L174" t="s">
        <v>274</v>
      </c>
      <c r="M174" t="s">
        <v>274</v>
      </c>
      <c r="N174" t="s">
        <v>274</v>
      </c>
      <c r="O174" t="s">
        <v>274</v>
      </c>
      <c r="P174" t="s">
        <v>274</v>
      </c>
      <c r="Q174" t="s">
        <v>274</v>
      </c>
      <c r="R174" t="s">
        <v>274</v>
      </c>
      <c r="S174" t="s">
        <v>274</v>
      </c>
      <c r="T174" t="s">
        <v>274</v>
      </c>
      <c r="U174" t="s">
        <v>274</v>
      </c>
      <c r="V174" t="s">
        <v>274</v>
      </c>
      <c r="W174" t="s">
        <v>274</v>
      </c>
      <c r="X174" t="s">
        <v>274</v>
      </c>
      <c r="Y174" t="s">
        <v>274</v>
      </c>
      <c r="Z174" t="s">
        <v>12750</v>
      </c>
      <c r="AA174" t="s">
        <v>11372</v>
      </c>
      <c r="AB174" t="s">
        <v>12751</v>
      </c>
      <c r="AC174" t="s">
        <v>12752</v>
      </c>
      <c r="AD174" t="s">
        <v>10040</v>
      </c>
      <c r="AE174" t="s">
        <v>12753</v>
      </c>
      <c r="AF174" t="s">
        <v>12754</v>
      </c>
      <c r="AG174" t="s">
        <v>12755</v>
      </c>
      <c r="AH174" t="s">
        <v>12756</v>
      </c>
      <c r="AI174" t="s">
        <v>12757</v>
      </c>
      <c r="AJ174" t="s">
        <v>11428</v>
      </c>
      <c r="AK174" t="s">
        <v>12758</v>
      </c>
      <c r="AL174" t="s">
        <v>12759</v>
      </c>
      <c r="AM174" t="s">
        <v>12760</v>
      </c>
      <c r="AN174" t="s">
        <v>12761</v>
      </c>
      <c r="AO174" t="s">
        <v>12762</v>
      </c>
      <c r="AP174" t="s">
        <v>12763</v>
      </c>
      <c r="AQ174" t="s">
        <v>12764</v>
      </c>
      <c r="AR174" t="s">
        <v>12765</v>
      </c>
      <c r="AS174" t="s">
        <v>12766</v>
      </c>
      <c r="AT174" t="s">
        <v>12767</v>
      </c>
      <c r="AU174" t="s">
        <v>12768</v>
      </c>
      <c r="AV174" t="s">
        <v>12769</v>
      </c>
      <c r="AW174" t="s">
        <v>12770</v>
      </c>
      <c r="AX174" t="s">
        <v>12771</v>
      </c>
      <c r="AY174" t="s">
        <v>12772</v>
      </c>
      <c r="AZ174" t="s">
        <v>12773</v>
      </c>
      <c r="BA174" t="s">
        <v>12774</v>
      </c>
      <c r="BB174" t="s">
        <v>12775</v>
      </c>
      <c r="BC174" t="s">
        <v>12776</v>
      </c>
      <c r="BD174" t="s">
        <v>12777</v>
      </c>
      <c r="BE174" t="s">
        <v>12778</v>
      </c>
      <c r="BF174" t="s">
        <v>12779</v>
      </c>
      <c r="BG174" t="s">
        <v>12780</v>
      </c>
      <c r="BH174" t="s">
        <v>12781</v>
      </c>
      <c r="BI174" t="s">
        <v>12782</v>
      </c>
      <c r="BJ174" t="s">
        <v>12783</v>
      </c>
      <c r="BK174" t="s">
        <v>12784</v>
      </c>
      <c r="BL174" t="s">
        <v>12785</v>
      </c>
      <c r="BM174" t="s">
        <v>12786</v>
      </c>
      <c r="BN174" t="s">
        <v>12787</v>
      </c>
      <c r="BO174" t="s">
        <v>12788</v>
      </c>
      <c r="BP174" t="s">
        <v>12789</v>
      </c>
      <c r="BR174" t="s">
        <v>274</v>
      </c>
    </row>
    <row r="175" spans="1:70" x14ac:dyDescent="0.3">
      <c r="A175" t="s">
        <v>131</v>
      </c>
      <c r="B175" t="s">
        <v>3127</v>
      </c>
      <c r="C175" t="s">
        <v>4632</v>
      </c>
      <c r="D175" t="s">
        <v>4633</v>
      </c>
      <c r="F175" t="s">
        <v>12790</v>
      </c>
      <c r="G175" t="s">
        <v>12791</v>
      </c>
      <c r="H175" t="s">
        <v>12792</v>
      </c>
      <c r="I175" t="s">
        <v>12793</v>
      </c>
      <c r="J175" t="s">
        <v>12794</v>
      </c>
      <c r="K175" t="s">
        <v>12795</v>
      </c>
      <c r="L175" t="s">
        <v>12796</v>
      </c>
      <c r="M175" t="s">
        <v>12797</v>
      </c>
      <c r="N175" t="s">
        <v>12798</v>
      </c>
      <c r="O175" t="s">
        <v>12799</v>
      </c>
      <c r="P175" t="s">
        <v>12800</v>
      </c>
      <c r="Q175" t="s">
        <v>12801</v>
      </c>
      <c r="R175" t="s">
        <v>12802</v>
      </c>
      <c r="S175" t="s">
        <v>12803</v>
      </c>
      <c r="T175" t="s">
        <v>12804</v>
      </c>
      <c r="U175" t="s">
        <v>12805</v>
      </c>
      <c r="V175" t="s">
        <v>12806</v>
      </c>
      <c r="W175" t="s">
        <v>12807</v>
      </c>
      <c r="X175" t="s">
        <v>12808</v>
      </c>
      <c r="Y175" t="s">
        <v>12809</v>
      </c>
      <c r="Z175" t="s">
        <v>12810</v>
      </c>
      <c r="AA175" t="s">
        <v>12811</v>
      </c>
      <c r="AB175" t="s">
        <v>12812</v>
      </c>
      <c r="AC175" t="s">
        <v>12813</v>
      </c>
      <c r="AD175" t="s">
        <v>12814</v>
      </c>
      <c r="AE175" t="s">
        <v>12815</v>
      </c>
      <c r="AF175" t="s">
        <v>12816</v>
      </c>
      <c r="AG175" t="s">
        <v>12817</v>
      </c>
      <c r="AH175" t="s">
        <v>12818</v>
      </c>
      <c r="AI175" t="s">
        <v>12819</v>
      </c>
      <c r="AJ175" t="s">
        <v>12820</v>
      </c>
      <c r="AK175" t="s">
        <v>12821</v>
      </c>
      <c r="AL175" t="s">
        <v>12822</v>
      </c>
      <c r="AM175" t="s">
        <v>12823</v>
      </c>
      <c r="AN175" t="s">
        <v>12824</v>
      </c>
      <c r="AO175" t="s">
        <v>12825</v>
      </c>
      <c r="AP175" t="s">
        <v>12826</v>
      </c>
      <c r="AQ175" t="s">
        <v>12827</v>
      </c>
      <c r="AR175" t="s">
        <v>12828</v>
      </c>
      <c r="AS175" t="s">
        <v>12829</v>
      </c>
      <c r="AT175" t="s">
        <v>12830</v>
      </c>
      <c r="AU175" t="s">
        <v>7873</v>
      </c>
      <c r="AV175" t="s">
        <v>12831</v>
      </c>
      <c r="AW175" t="s">
        <v>12832</v>
      </c>
      <c r="AX175" t="s">
        <v>12833</v>
      </c>
      <c r="AY175" t="s">
        <v>12834</v>
      </c>
      <c r="AZ175" t="s">
        <v>12835</v>
      </c>
      <c r="BA175" t="s">
        <v>12836</v>
      </c>
      <c r="BB175" t="s">
        <v>12837</v>
      </c>
      <c r="BC175" t="s">
        <v>12838</v>
      </c>
      <c r="BD175" t="s">
        <v>7779</v>
      </c>
      <c r="BE175" t="s">
        <v>12839</v>
      </c>
      <c r="BF175" t="s">
        <v>12840</v>
      </c>
      <c r="BG175" t="s">
        <v>12841</v>
      </c>
      <c r="BH175" t="s">
        <v>12842</v>
      </c>
      <c r="BI175" t="s">
        <v>12843</v>
      </c>
      <c r="BJ175" t="s">
        <v>12844</v>
      </c>
      <c r="BK175" t="s">
        <v>12845</v>
      </c>
      <c r="BL175" t="s">
        <v>12846</v>
      </c>
      <c r="BM175" t="s">
        <v>12847</v>
      </c>
      <c r="BN175" t="s">
        <v>12848</v>
      </c>
      <c r="BO175" t="s">
        <v>12849</v>
      </c>
      <c r="BP175" t="s">
        <v>12850</v>
      </c>
      <c r="BR175" t="s">
        <v>274</v>
      </c>
    </row>
    <row r="176" spans="1:70" x14ac:dyDescent="0.3">
      <c r="A176" t="s">
        <v>132</v>
      </c>
      <c r="B176" t="s">
        <v>3177</v>
      </c>
      <c r="C176" t="s">
        <v>4632</v>
      </c>
      <c r="D176" t="s">
        <v>4633</v>
      </c>
      <c r="F176" t="s">
        <v>12851</v>
      </c>
      <c r="G176" t="s">
        <v>12852</v>
      </c>
      <c r="H176" t="s">
        <v>5991</v>
      </c>
      <c r="I176" t="s">
        <v>12853</v>
      </c>
      <c r="J176" t="s">
        <v>12854</v>
      </c>
      <c r="K176" t="s">
        <v>12855</v>
      </c>
      <c r="L176" t="s">
        <v>5995</v>
      </c>
      <c r="M176" t="s">
        <v>12856</v>
      </c>
      <c r="N176" t="s">
        <v>12857</v>
      </c>
      <c r="O176" t="s">
        <v>12858</v>
      </c>
      <c r="P176" t="s">
        <v>12859</v>
      </c>
      <c r="Q176" t="s">
        <v>6476</v>
      </c>
      <c r="R176" t="s">
        <v>6477</v>
      </c>
      <c r="S176" t="s">
        <v>6002</v>
      </c>
      <c r="T176" t="s">
        <v>12860</v>
      </c>
      <c r="U176" t="s">
        <v>12861</v>
      </c>
      <c r="V176" t="s">
        <v>6481</v>
      </c>
      <c r="W176" t="s">
        <v>6482</v>
      </c>
      <c r="X176" t="s">
        <v>12862</v>
      </c>
      <c r="Y176" t="s">
        <v>6008</v>
      </c>
      <c r="Z176" t="s">
        <v>6485</v>
      </c>
      <c r="AA176" t="s">
        <v>6486</v>
      </c>
      <c r="AB176" t="s">
        <v>6487</v>
      </c>
      <c r="AC176" t="s">
        <v>12863</v>
      </c>
      <c r="AD176" t="s">
        <v>6489</v>
      </c>
      <c r="AE176" t="s">
        <v>6490</v>
      </c>
      <c r="AF176" t="s">
        <v>6491</v>
      </c>
      <c r="AG176" t="s">
        <v>6492</v>
      </c>
      <c r="AH176" t="s">
        <v>6493</v>
      </c>
      <c r="AI176" t="s">
        <v>12864</v>
      </c>
      <c r="AJ176" t="s">
        <v>12865</v>
      </c>
      <c r="AK176" t="s">
        <v>12866</v>
      </c>
      <c r="AL176" t="s">
        <v>12867</v>
      </c>
      <c r="AM176" t="s">
        <v>6022</v>
      </c>
      <c r="AN176" t="s">
        <v>6499</v>
      </c>
      <c r="AO176" t="s">
        <v>12868</v>
      </c>
      <c r="AP176" t="s">
        <v>12869</v>
      </c>
      <c r="AQ176" t="s">
        <v>12870</v>
      </c>
      <c r="AR176" t="s">
        <v>6503</v>
      </c>
      <c r="AS176" t="s">
        <v>12871</v>
      </c>
      <c r="AT176" t="s">
        <v>6505</v>
      </c>
      <c r="AU176" t="s">
        <v>12872</v>
      </c>
      <c r="AV176" t="s">
        <v>6031</v>
      </c>
      <c r="AW176" t="s">
        <v>6508</v>
      </c>
      <c r="AX176" t="s">
        <v>12873</v>
      </c>
      <c r="AY176" t="s">
        <v>12874</v>
      </c>
      <c r="AZ176" t="s">
        <v>6511</v>
      </c>
      <c r="BA176" t="s">
        <v>6512</v>
      </c>
      <c r="BB176" t="s">
        <v>12875</v>
      </c>
      <c r="BC176" t="s">
        <v>6038</v>
      </c>
      <c r="BD176" t="s">
        <v>12876</v>
      </c>
      <c r="BE176" t="s">
        <v>12877</v>
      </c>
      <c r="BF176" t="s">
        <v>12878</v>
      </c>
      <c r="BG176" t="s">
        <v>6518</v>
      </c>
      <c r="BH176" t="s">
        <v>12879</v>
      </c>
      <c r="BI176" t="s">
        <v>9441</v>
      </c>
      <c r="BJ176" t="s">
        <v>12880</v>
      </c>
      <c r="BK176" t="s">
        <v>6522</v>
      </c>
      <c r="BL176" t="s">
        <v>12881</v>
      </c>
      <c r="BM176" t="s">
        <v>6524</v>
      </c>
      <c r="BN176" t="s">
        <v>12882</v>
      </c>
      <c r="BO176" t="s">
        <v>12883</v>
      </c>
      <c r="BP176" t="s">
        <v>12884</v>
      </c>
      <c r="BR176" t="s">
        <v>274</v>
      </c>
    </row>
    <row r="177" spans="1:70" x14ac:dyDescent="0.3">
      <c r="A177" t="s">
        <v>226</v>
      </c>
      <c r="B177" t="s">
        <v>3178</v>
      </c>
      <c r="C177" t="s">
        <v>4632</v>
      </c>
      <c r="D177" t="s">
        <v>4633</v>
      </c>
      <c r="F177" t="s">
        <v>274</v>
      </c>
      <c r="G177" t="s">
        <v>274</v>
      </c>
      <c r="H177" t="s">
        <v>274</v>
      </c>
      <c r="I177" t="s">
        <v>274</v>
      </c>
      <c r="J177" t="s">
        <v>274</v>
      </c>
      <c r="K177" t="s">
        <v>274</v>
      </c>
      <c r="L177" t="s">
        <v>274</v>
      </c>
      <c r="M177" t="s">
        <v>274</v>
      </c>
      <c r="N177" t="s">
        <v>274</v>
      </c>
      <c r="O177" t="s">
        <v>274</v>
      </c>
      <c r="P177" t="s">
        <v>274</v>
      </c>
      <c r="Q177" t="s">
        <v>274</v>
      </c>
      <c r="R177" t="s">
        <v>274</v>
      </c>
      <c r="S177" t="s">
        <v>274</v>
      </c>
      <c r="T177" t="s">
        <v>274</v>
      </c>
      <c r="U177" t="s">
        <v>274</v>
      </c>
      <c r="V177" t="s">
        <v>274</v>
      </c>
      <c r="W177" t="s">
        <v>274</v>
      </c>
      <c r="X177" t="s">
        <v>274</v>
      </c>
      <c r="Y177" t="s">
        <v>274</v>
      </c>
      <c r="Z177" t="s">
        <v>12885</v>
      </c>
      <c r="AA177" t="s">
        <v>12886</v>
      </c>
      <c r="AB177" t="s">
        <v>12887</v>
      </c>
      <c r="AC177" t="s">
        <v>4694</v>
      </c>
      <c r="AD177" t="s">
        <v>12888</v>
      </c>
      <c r="AE177" t="s">
        <v>12889</v>
      </c>
      <c r="AF177" t="s">
        <v>12890</v>
      </c>
      <c r="AG177" t="s">
        <v>4698</v>
      </c>
      <c r="AH177" t="s">
        <v>12891</v>
      </c>
      <c r="AI177" t="s">
        <v>12892</v>
      </c>
      <c r="AJ177" t="s">
        <v>12893</v>
      </c>
      <c r="AK177" t="s">
        <v>12894</v>
      </c>
      <c r="AL177" t="s">
        <v>12895</v>
      </c>
      <c r="AM177" t="s">
        <v>12896</v>
      </c>
      <c r="AN177" t="s">
        <v>12897</v>
      </c>
      <c r="AO177" t="s">
        <v>4706</v>
      </c>
      <c r="AP177" t="s">
        <v>12898</v>
      </c>
      <c r="AQ177" t="s">
        <v>12899</v>
      </c>
      <c r="AR177" t="s">
        <v>12284</v>
      </c>
      <c r="AS177" t="s">
        <v>12900</v>
      </c>
      <c r="AT177" t="s">
        <v>12901</v>
      </c>
      <c r="AU177" t="s">
        <v>12902</v>
      </c>
      <c r="AV177" t="s">
        <v>12903</v>
      </c>
      <c r="AW177" t="s">
        <v>12904</v>
      </c>
      <c r="AX177" t="s">
        <v>12905</v>
      </c>
      <c r="AY177" t="s">
        <v>12906</v>
      </c>
      <c r="AZ177" t="s">
        <v>12907</v>
      </c>
      <c r="BA177" t="s">
        <v>4718</v>
      </c>
      <c r="BB177" t="s">
        <v>12908</v>
      </c>
      <c r="BC177" t="s">
        <v>12909</v>
      </c>
      <c r="BD177" t="s">
        <v>12910</v>
      </c>
      <c r="BE177" t="s">
        <v>12911</v>
      </c>
      <c r="BF177" t="s">
        <v>7835</v>
      </c>
      <c r="BG177" t="s">
        <v>12912</v>
      </c>
      <c r="BH177" t="s">
        <v>12913</v>
      </c>
      <c r="BI177" t="s">
        <v>12914</v>
      </c>
      <c r="BJ177" t="s">
        <v>12915</v>
      </c>
      <c r="BK177" t="s">
        <v>12916</v>
      </c>
      <c r="BL177" t="s">
        <v>12917</v>
      </c>
      <c r="BM177" t="s">
        <v>12918</v>
      </c>
      <c r="BN177" t="s">
        <v>12919</v>
      </c>
      <c r="BO177" t="s">
        <v>12920</v>
      </c>
      <c r="BP177" t="s">
        <v>12921</v>
      </c>
      <c r="BR177" t="s">
        <v>274</v>
      </c>
    </row>
    <row r="178" spans="1:70" x14ac:dyDescent="0.3">
      <c r="A178" t="s">
        <v>227</v>
      </c>
      <c r="B178" t="s">
        <v>3212</v>
      </c>
      <c r="C178" t="s">
        <v>4632</v>
      </c>
      <c r="D178" t="s">
        <v>4633</v>
      </c>
      <c r="F178" t="s">
        <v>274</v>
      </c>
      <c r="G178" t="s">
        <v>274</v>
      </c>
      <c r="H178" t="s">
        <v>274</v>
      </c>
      <c r="I178" t="s">
        <v>274</v>
      </c>
      <c r="J178" t="s">
        <v>274</v>
      </c>
      <c r="K178" t="s">
        <v>12922</v>
      </c>
      <c r="L178" t="s">
        <v>12923</v>
      </c>
      <c r="M178" t="s">
        <v>12924</v>
      </c>
      <c r="N178" t="s">
        <v>12925</v>
      </c>
      <c r="O178" t="s">
        <v>12926</v>
      </c>
      <c r="P178" t="s">
        <v>12927</v>
      </c>
      <c r="Q178" t="s">
        <v>12928</v>
      </c>
      <c r="R178" t="s">
        <v>12929</v>
      </c>
      <c r="S178" t="s">
        <v>12930</v>
      </c>
      <c r="T178" t="s">
        <v>12931</v>
      </c>
      <c r="U178" t="s">
        <v>12932</v>
      </c>
      <c r="V178" t="s">
        <v>12933</v>
      </c>
      <c r="W178" t="s">
        <v>12934</v>
      </c>
      <c r="X178" t="s">
        <v>12935</v>
      </c>
      <c r="Y178" t="s">
        <v>7853</v>
      </c>
      <c r="Z178" t="s">
        <v>12936</v>
      </c>
      <c r="AA178" t="s">
        <v>12937</v>
      </c>
      <c r="AB178" t="s">
        <v>12938</v>
      </c>
      <c r="AC178" t="s">
        <v>12939</v>
      </c>
      <c r="AD178" t="s">
        <v>12940</v>
      </c>
      <c r="AE178" t="s">
        <v>12941</v>
      </c>
      <c r="AF178" t="s">
        <v>12942</v>
      </c>
      <c r="AG178" t="s">
        <v>12943</v>
      </c>
      <c r="AH178" t="s">
        <v>12944</v>
      </c>
      <c r="AI178" t="s">
        <v>12945</v>
      </c>
      <c r="AJ178" t="s">
        <v>12946</v>
      </c>
      <c r="AK178" t="s">
        <v>12947</v>
      </c>
      <c r="AL178" t="s">
        <v>12948</v>
      </c>
      <c r="AM178" t="s">
        <v>12949</v>
      </c>
      <c r="AN178" t="s">
        <v>12950</v>
      </c>
      <c r="AO178" t="s">
        <v>12951</v>
      </c>
      <c r="AP178" t="s">
        <v>12952</v>
      </c>
      <c r="AQ178" t="s">
        <v>12953</v>
      </c>
      <c r="AR178" t="s">
        <v>12954</v>
      </c>
      <c r="AS178" t="s">
        <v>11702</v>
      </c>
      <c r="AT178" t="s">
        <v>274</v>
      </c>
      <c r="AU178" t="s">
        <v>274</v>
      </c>
      <c r="AV178" t="s">
        <v>274</v>
      </c>
      <c r="AW178" t="s">
        <v>274</v>
      </c>
      <c r="AX178" t="s">
        <v>274</v>
      </c>
      <c r="AY178" t="s">
        <v>274</v>
      </c>
      <c r="AZ178" t="s">
        <v>274</v>
      </c>
      <c r="BA178" t="s">
        <v>274</v>
      </c>
      <c r="BB178" t="s">
        <v>274</v>
      </c>
      <c r="BC178" t="s">
        <v>274</v>
      </c>
      <c r="BD178" t="s">
        <v>274</v>
      </c>
      <c r="BE178" t="s">
        <v>274</v>
      </c>
      <c r="BF178" t="s">
        <v>274</v>
      </c>
      <c r="BG178" t="s">
        <v>274</v>
      </c>
      <c r="BH178" t="s">
        <v>274</v>
      </c>
      <c r="BI178" t="s">
        <v>274</v>
      </c>
      <c r="BJ178" t="s">
        <v>274</v>
      </c>
      <c r="BK178" t="s">
        <v>12955</v>
      </c>
      <c r="BL178" t="s">
        <v>12956</v>
      </c>
      <c r="BM178" t="s">
        <v>12957</v>
      </c>
      <c r="BN178" t="s">
        <v>12958</v>
      </c>
      <c r="BO178" t="s">
        <v>12959</v>
      </c>
      <c r="BP178" t="s">
        <v>274</v>
      </c>
      <c r="BR178" t="s">
        <v>274</v>
      </c>
    </row>
    <row r="179" spans="1:70" x14ac:dyDescent="0.3">
      <c r="A179" t="s">
        <v>133</v>
      </c>
      <c r="B179" t="s">
        <v>3213</v>
      </c>
      <c r="C179" t="s">
        <v>4632</v>
      </c>
      <c r="D179" t="s">
        <v>4633</v>
      </c>
      <c r="F179" t="s">
        <v>12960</v>
      </c>
      <c r="G179" t="s">
        <v>12961</v>
      </c>
      <c r="H179" t="s">
        <v>12962</v>
      </c>
      <c r="I179" t="s">
        <v>12963</v>
      </c>
      <c r="J179" t="s">
        <v>12964</v>
      </c>
      <c r="K179" t="s">
        <v>11408</v>
      </c>
      <c r="L179" t="s">
        <v>12965</v>
      </c>
      <c r="M179" t="s">
        <v>12966</v>
      </c>
      <c r="N179" t="s">
        <v>12967</v>
      </c>
      <c r="O179" t="s">
        <v>12968</v>
      </c>
      <c r="P179" t="s">
        <v>12969</v>
      </c>
      <c r="Q179" t="s">
        <v>12970</v>
      </c>
      <c r="R179" t="s">
        <v>12971</v>
      </c>
      <c r="S179" t="s">
        <v>12972</v>
      </c>
      <c r="T179" t="s">
        <v>12973</v>
      </c>
      <c r="U179" t="s">
        <v>12974</v>
      </c>
      <c r="V179" t="s">
        <v>12975</v>
      </c>
      <c r="W179" t="s">
        <v>12976</v>
      </c>
      <c r="X179" t="s">
        <v>12977</v>
      </c>
      <c r="Y179" t="s">
        <v>12978</v>
      </c>
      <c r="Z179" t="s">
        <v>11421</v>
      </c>
      <c r="AA179" t="s">
        <v>9585</v>
      </c>
      <c r="AB179" t="s">
        <v>8381</v>
      </c>
      <c r="AC179" t="s">
        <v>12979</v>
      </c>
      <c r="AD179" t="s">
        <v>12980</v>
      </c>
      <c r="AE179" t="s">
        <v>12981</v>
      </c>
      <c r="AF179" t="s">
        <v>12982</v>
      </c>
      <c r="AG179" t="s">
        <v>12983</v>
      </c>
      <c r="AH179" t="s">
        <v>12984</v>
      </c>
      <c r="AI179" t="s">
        <v>12985</v>
      </c>
      <c r="AJ179" t="s">
        <v>12986</v>
      </c>
      <c r="AK179" t="s">
        <v>12987</v>
      </c>
      <c r="AL179" t="s">
        <v>12988</v>
      </c>
      <c r="AM179" t="s">
        <v>11379</v>
      </c>
      <c r="AN179" t="s">
        <v>12989</v>
      </c>
      <c r="AO179" t="s">
        <v>12990</v>
      </c>
      <c r="AP179" t="s">
        <v>12991</v>
      </c>
      <c r="AQ179" t="s">
        <v>12992</v>
      </c>
      <c r="AR179" t="s">
        <v>12993</v>
      </c>
      <c r="AS179" t="s">
        <v>12994</v>
      </c>
      <c r="AT179" t="s">
        <v>12995</v>
      </c>
      <c r="AU179" t="s">
        <v>12996</v>
      </c>
      <c r="AV179" t="s">
        <v>12997</v>
      </c>
      <c r="AW179" t="s">
        <v>12998</v>
      </c>
      <c r="AX179" t="s">
        <v>9606</v>
      </c>
      <c r="AY179" t="s">
        <v>12999</v>
      </c>
      <c r="AZ179" t="s">
        <v>8403</v>
      </c>
      <c r="BA179" t="s">
        <v>13000</v>
      </c>
      <c r="BB179" t="s">
        <v>13001</v>
      </c>
      <c r="BC179" t="s">
        <v>13002</v>
      </c>
      <c r="BD179" t="s">
        <v>13003</v>
      </c>
      <c r="BE179" t="s">
        <v>13004</v>
      </c>
      <c r="BF179" t="s">
        <v>13005</v>
      </c>
      <c r="BG179" t="s">
        <v>13006</v>
      </c>
      <c r="BH179" t="s">
        <v>13007</v>
      </c>
      <c r="BI179" t="s">
        <v>13008</v>
      </c>
      <c r="BJ179" t="s">
        <v>13009</v>
      </c>
      <c r="BK179" t="s">
        <v>13010</v>
      </c>
      <c r="BL179" t="s">
        <v>13011</v>
      </c>
      <c r="BM179" t="s">
        <v>13012</v>
      </c>
      <c r="BN179" t="s">
        <v>13013</v>
      </c>
      <c r="BO179" t="s">
        <v>13014</v>
      </c>
      <c r="BP179" t="s">
        <v>13015</v>
      </c>
      <c r="BR179" t="s">
        <v>274</v>
      </c>
    </row>
    <row r="180" spans="1:70" x14ac:dyDescent="0.3">
      <c r="A180" t="s">
        <v>134</v>
      </c>
      <c r="B180" t="s">
        <v>3215</v>
      </c>
      <c r="C180" t="s">
        <v>4632</v>
      </c>
      <c r="D180" t="s">
        <v>4633</v>
      </c>
      <c r="F180" t="s">
        <v>13016</v>
      </c>
      <c r="G180" t="s">
        <v>13017</v>
      </c>
      <c r="H180" t="s">
        <v>13018</v>
      </c>
      <c r="I180" t="s">
        <v>13019</v>
      </c>
      <c r="J180" t="s">
        <v>13020</v>
      </c>
      <c r="K180" t="s">
        <v>13021</v>
      </c>
      <c r="L180" t="s">
        <v>13022</v>
      </c>
      <c r="M180" t="s">
        <v>13023</v>
      </c>
      <c r="N180" t="s">
        <v>13024</v>
      </c>
      <c r="O180" t="s">
        <v>13025</v>
      </c>
      <c r="P180" t="s">
        <v>13026</v>
      </c>
      <c r="Q180" t="s">
        <v>13027</v>
      </c>
      <c r="R180" t="s">
        <v>13028</v>
      </c>
      <c r="S180" t="s">
        <v>13029</v>
      </c>
      <c r="T180" t="s">
        <v>13030</v>
      </c>
      <c r="U180" t="s">
        <v>13031</v>
      </c>
      <c r="V180" t="s">
        <v>13032</v>
      </c>
      <c r="W180" t="s">
        <v>13033</v>
      </c>
      <c r="X180" t="s">
        <v>8378</v>
      </c>
      <c r="Y180" t="s">
        <v>13034</v>
      </c>
      <c r="Z180" t="s">
        <v>13035</v>
      </c>
      <c r="AA180" t="s">
        <v>13036</v>
      </c>
      <c r="AB180" t="s">
        <v>13037</v>
      </c>
      <c r="AC180" t="s">
        <v>13038</v>
      </c>
      <c r="AD180" t="s">
        <v>9874</v>
      </c>
      <c r="AE180" t="s">
        <v>13039</v>
      </c>
      <c r="AF180" t="s">
        <v>13040</v>
      </c>
      <c r="AG180" t="s">
        <v>13041</v>
      </c>
      <c r="AH180" t="s">
        <v>13042</v>
      </c>
      <c r="AI180" t="s">
        <v>13043</v>
      </c>
      <c r="AJ180" t="s">
        <v>13044</v>
      </c>
      <c r="AK180" t="s">
        <v>13045</v>
      </c>
      <c r="AL180" t="s">
        <v>13046</v>
      </c>
      <c r="AM180" t="s">
        <v>13047</v>
      </c>
      <c r="AN180" t="s">
        <v>13048</v>
      </c>
      <c r="AO180" t="s">
        <v>13049</v>
      </c>
      <c r="AP180" t="s">
        <v>13050</v>
      </c>
      <c r="AQ180" t="s">
        <v>13051</v>
      </c>
      <c r="AR180" t="s">
        <v>13052</v>
      </c>
      <c r="AS180" t="s">
        <v>13053</v>
      </c>
      <c r="AT180" t="s">
        <v>13054</v>
      </c>
      <c r="AU180" t="s">
        <v>13055</v>
      </c>
      <c r="AV180" t="s">
        <v>13056</v>
      </c>
      <c r="AW180" t="s">
        <v>13057</v>
      </c>
      <c r="AX180" t="s">
        <v>13058</v>
      </c>
      <c r="AY180" t="s">
        <v>13059</v>
      </c>
      <c r="AZ180" t="s">
        <v>11617</v>
      </c>
      <c r="BA180" t="s">
        <v>13060</v>
      </c>
      <c r="BB180" t="s">
        <v>13061</v>
      </c>
      <c r="BC180" t="s">
        <v>13062</v>
      </c>
      <c r="BD180" t="s">
        <v>13063</v>
      </c>
      <c r="BE180" t="s">
        <v>13064</v>
      </c>
      <c r="BF180" t="s">
        <v>13065</v>
      </c>
      <c r="BG180" t="s">
        <v>13066</v>
      </c>
      <c r="BH180" t="s">
        <v>12293</v>
      </c>
      <c r="BI180" t="s">
        <v>13067</v>
      </c>
      <c r="BJ180" t="s">
        <v>13068</v>
      </c>
      <c r="BK180" t="s">
        <v>13069</v>
      </c>
      <c r="BL180" t="s">
        <v>13070</v>
      </c>
      <c r="BM180" t="s">
        <v>13071</v>
      </c>
      <c r="BN180" t="s">
        <v>13072</v>
      </c>
      <c r="BO180" t="s">
        <v>13073</v>
      </c>
      <c r="BP180" t="s">
        <v>13074</v>
      </c>
      <c r="BR180" t="s">
        <v>274</v>
      </c>
    </row>
    <row r="181" spans="1:70" x14ac:dyDescent="0.3">
      <c r="A181" t="s">
        <v>135</v>
      </c>
      <c r="B181" t="s">
        <v>3260</v>
      </c>
      <c r="C181" t="s">
        <v>4632</v>
      </c>
      <c r="D181" t="s">
        <v>4633</v>
      </c>
      <c r="F181" t="s">
        <v>13075</v>
      </c>
      <c r="G181" t="s">
        <v>13076</v>
      </c>
      <c r="H181" t="s">
        <v>13077</v>
      </c>
      <c r="I181" t="s">
        <v>13078</v>
      </c>
      <c r="J181" t="s">
        <v>13079</v>
      </c>
      <c r="K181" t="s">
        <v>11552</v>
      </c>
      <c r="L181" t="s">
        <v>13080</v>
      </c>
      <c r="M181" t="s">
        <v>13081</v>
      </c>
      <c r="N181" t="s">
        <v>13082</v>
      </c>
      <c r="O181" t="s">
        <v>13083</v>
      </c>
      <c r="P181" t="s">
        <v>13084</v>
      </c>
      <c r="Q181" t="s">
        <v>13085</v>
      </c>
      <c r="R181" t="s">
        <v>13086</v>
      </c>
      <c r="S181" t="s">
        <v>13087</v>
      </c>
      <c r="T181" t="s">
        <v>13088</v>
      </c>
      <c r="U181" t="s">
        <v>13089</v>
      </c>
      <c r="V181" t="s">
        <v>13090</v>
      </c>
      <c r="W181" t="s">
        <v>13091</v>
      </c>
      <c r="X181" t="s">
        <v>13092</v>
      </c>
      <c r="Y181" t="s">
        <v>13093</v>
      </c>
      <c r="Z181" t="s">
        <v>13094</v>
      </c>
      <c r="AA181" t="s">
        <v>13095</v>
      </c>
      <c r="AB181" t="s">
        <v>13096</v>
      </c>
      <c r="AC181" t="s">
        <v>13097</v>
      </c>
      <c r="AD181" t="s">
        <v>13098</v>
      </c>
      <c r="AE181" t="s">
        <v>13099</v>
      </c>
      <c r="AF181" t="s">
        <v>13100</v>
      </c>
      <c r="AG181" t="s">
        <v>13101</v>
      </c>
      <c r="AH181" t="s">
        <v>13102</v>
      </c>
      <c r="AI181" t="s">
        <v>13103</v>
      </c>
      <c r="AJ181" t="s">
        <v>13104</v>
      </c>
      <c r="AK181" t="s">
        <v>13105</v>
      </c>
      <c r="AL181" t="s">
        <v>13106</v>
      </c>
      <c r="AM181" t="s">
        <v>13107</v>
      </c>
      <c r="AN181" t="s">
        <v>13108</v>
      </c>
      <c r="AO181" t="s">
        <v>11081</v>
      </c>
      <c r="AP181" t="s">
        <v>13109</v>
      </c>
      <c r="AQ181" t="s">
        <v>13110</v>
      </c>
      <c r="AR181" t="s">
        <v>13111</v>
      </c>
      <c r="AS181" t="s">
        <v>13112</v>
      </c>
      <c r="AT181" t="s">
        <v>13113</v>
      </c>
      <c r="AU181" t="s">
        <v>13114</v>
      </c>
      <c r="AV181" t="s">
        <v>13115</v>
      </c>
      <c r="AW181" t="s">
        <v>9605</v>
      </c>
      <c r="AX181" t="s">
        <v>13116</v>
      </c>
      <c r="AY181" t="s">
        <v>13117</v>
      </c>
      <c r="AZ181" t="s">
        <v>13118</v>
      </c>
      <c r="BA181" t="s">
        <v>13119</v>
      </c>
      <c r="BB181" t="s">
        <v>13120</v>
      </c>
      <c r="BC181" t="s">
        <v>13121</v>
      </c>
      <c r="BD181" t="s">
        <v>13122</v>
      </c>
      <c r="BE181" t="s">
        <v>13123</v>
      </c>
      <c r="BF181" t="s">
        <v>13124</v>
      </c>
      <c r="BG181" t="s">
        <v>13125</v>
      </c>
      <c r="BH181" t="s">
        <v>13126</v>
      </c>
      <c r="BI181" t="s">
        <v>13127</v>
      </c>
      <c r="BJ181" t="s">
        <v>9609</v>
      </c>
      <c r="BK181" t="s">
        <v>13128</v>
      </c>
      <c r="BL181" t="s">
        <v>13129</v>
      </c>
      <c r="BM181" t="s">
        <v>13130</v>
      </c>
      <c r="BN181" t="s">
        <v>13131</v>
      </c>
      <c r="BO181" t="s">
        <v>13132</v>
      </c>
      <c r="BP181" t="s">
        <v>13133</v>
      </c>
      <c r="BR181" t="s">
        <v>274</v>
      </c>
    </row>
    <row r="182" spans="1:70" x14ac:dyDescent="0.3">
      <c r="A182" t="s">
        <v>136</v>
      </c>
      <c r="B182" t="s">
        <v>3298</v>
      </c>
      <c r="C182" t="s">
        <v>4632</v>
      </c>
      <c r="D182" t="s">
        <v>4633</v>
      </c>
      <c r="F182" t="s">
        <v>13134</v>
      </c>
      <c r="G182" t="s">
        <v>13135</v>
      </c>
      <c r="H182" t="s">
        <v>13136</v>
      </c>
      <c r="I182" t="s">
        <v>13137</v>
      </c>
      <c r="J182" t="s">
        <v>13138</v>
      </c>
      <c r="K182" t="s">
        <v>13139</v>
      </c>
      <c r="L182" t="s">
        <v>13140</v>
      </c>
      <c r="M182" t="s">
        <v>8318</v>
      </c>
      <c r="N182" t="s">
        <v>13141</v>
      </c>
      <c r="O182" t="s">
        <v>13142</v>
      </c>
      <c r="P182" t="s">
        <v>13143</v>
      </c>
      <c r="Q182" t="s">
        <v>13144</v>
      </c>
      <c r="R182" t="s">
        <v>13145</v>
      </c>
      <c r="S182" t="s">
        <v>8092</v>
      </c>
      <c r="T182" t="s">
        <v>13146</v>
      </c>
      <c r="U182" t="s">
        <v>13147</v>
      </c>
      <c r="V182" t="s">
        <v>13148</v>
      </c>
      <c r="W182" t="s">
        <v>13149</v>
      </c>
      <c r="X182" t="s">
        <v>13150</v>
      </c>
      <c r="Y182" t="s">
        <v>13151</v>
      </c>
      <c r="Z182" t="s">
        <v>13152</v>
      </c>
      <c r="AA182" t="s">
        <v>13153</v>
      </c>
      <c r="AB182" t="s">
        <v>13154</v>
      </c>
      <c r="AC182" t="s">
        <v>13155</v>
      </c>
      <c r="AD182" t="s">
        <v>13156</v>
      </c>
      <c r="AE182" t="s">
        <v>13157</v>
      </c>
      <c r="AF182" t="s">
        <v>13158</v>
      </c>
      <c r="AG182" t="s">
        <v>13159</v>
      </c>
      <c r="AH182" t="s">
        <v>13160</v>
      </c>
      <c r="AI182" t="s">
        <v>13161</v>
      </c>
      <c r="AJ182" t="s">
        <v>13162</v>
      </c>
      <c r="AK182" t="s">
        <v>13163</v>
      </c>
      <c r="AL182" t="s">
        <v>13164</v>
      </c>
      <c r="AM182" t="s">
        <v>13165</v>
      </c>
      <c r="AN182" t="s">
        <v>13166</v>
      </c>
      <c r="AO182" t="s">
        <v>13167</v>
      </c>
      <c r="AP182" t="s">
        <v>13168</v>
      </c>
      <c r="AQ182" t="s">
        <v>9431</v>
      </c>
      <c r="AR182" t="s">
        <v>13169</v>
      </c>
      <c r="AS182" t="s">
        <v>8344</v>
      </c>
      <c r="AT182" t="s">
        <v>13170</v>
      </c>
      <c r="AU182" t="s">
        <v>13171</v>
      </c>
      <c r="AV182" t="s">
        <v>8346</v>
      </c>
      <c r="AW182" t="s">
        <v>13172</v>
      </c>
      <c r="AX182" t="s">
        <v>13173</v>
      </c>
      <c r="AY182" t="s">
        <v>13174</v>
      </c>
      <c r="AZ182" t="s">
        <v>13175</v>
      </c>
      <c r="BA182" t="s">
        <v>13176</v>
      </c>
      <c r="BB182" t="s">
        <v>13177</v>
      </c>
      <c r="BC182" t="s">
        <v>13178</v>
      </c>
      <c r="BD182" t="s">
        <v>13179</v>
      </c>
      <c r="BE182" t="s">
        <v>13180</v>
      </c>
      <c r="BF182" t="s">
        <v>8354</v>
      </c>
      <c r="BG182" t="s">
        <v>13181</v>
      </c>
      <c r="BH182" t="s">
        <v>13182</v>
      </c>
      <c r="BI182" t="s">
        <v>13183</v>
      </c>
      <c r="BJ182" t="s">
        <v>13184</v>
      </c>
      <c r="BK182" t="s">
        <v>13185</v>
      </c>
      <c r="BL182" t="s">
        <v>13186</v>
      </c>
      <c r="BM182" t="s">
        <v>13187</v>
      </c>
      <c r="BN182" t="s">
        <v>13188</v>
      </c>
      <c r="BO182" t="s">
        <v>13189</v>
      </c>
      <c r="BP182" t="s">
        <v>13190</v>
      </c>
      <c r="BR182" t="s">
        <v>274</v>
      </c>
    </row>
    <row r="183" spans="1:70" x14ac:dyDescent="0.3">
      <c r="A183" t="s">
        <v>137</v>
      </c>
      <c r="B183" t="s">
        <v>3311</v>
      </c>
      <c r="C183" t="s">
        <v>4632</v>
      </c>
      <c r="D183" t="s">
        <v>4633</v>
      </c>
      <c r="F183" t="s">
        <v>13191</v>
      </c>
      <c r="G183" t="s">
        <v>13192</v>
      </c>
      <c r="H183" t="s">
        <v>13193</v>
      </c>
      <c r="I183" t="s">
        <v>13194</v>
      </c>
      <c r="J183" t="s">
        <v>13195</v>
      </c>
      <c r="K183" t="s">
        <v>13196</v>
      </c>
      <c r="L183" t="s">
        <v>13197</v>
      </c>
      <c r="M183" t="s">
        <v>13198</v>
      </c>
      <c r="N183" t="s">
        <v>13199</v>
      </c>
      <c r="O183" t="s">
        <v>13200</v>
      </c>
      <c r="P183" t="s">
        <v>13201</v>
      </c>
      <c r="Q183" t="s">
        <v>13202</v>
      </c>
      <c r="R183" t="s">
        <v>13203</v>
      </c>
      <c r="S183" t="s">
        <v>13204</v>
      </c>
      <c r="T183" t="s">
        <v>13205</v>
      </c>
      <c r="U183" t="s">
        <v>13206</v>
      </c>
      <c r="V183" t="s">
        <v>13207</v>
      </c>
      <c r="W183" t="s">
        <v>13208</v>
      </c>
      <c r="X183" t="s">
        <v>13209</v>
      </c>
      <c r="Y183" t="s">
        <v>13210</v>
      </c>
      <c r="Z183" t="s">
        <v>13211</v>
      </c>
      <c r="AA183" t="s">
        <v>13212</v>
      </c>
      <c r="AB183" t="s">
        <v>13213</v>
      </c>
      <c r="AC183" t="s">
        <v>13214</v>
      </c>
      <c r="AD183" t="s">
        <v>13215</v>
      </c>
      <c r="AE183" t="s">
        <v>13216</v>
      </c>
      <c r="AF183" t="s">
        <v>13217</v>
      </c>
      <c r="AG183" t="s">
        <v>13218</v>
      </c>
      <c r="AH183" t="s">
        <v>13219</v>
      </c>
      <c r="AI183" t="s">
        <v>13220</v>
      </c>
      <c r="AJ183" t="s">
        <v>13221</v>
      </c>
      <c r="AK183" t="s">
        <v>13222</v>
      </c>
      <c r="AL183" t="s">
        <v>13223</v>
      </c>
      <c r="AM183" t="s">
        <v>13224</v>
      </c>
      <c r="AN183" t="s">
        <v>13225</v>
      </c>
      <c r="AO183" t="s">
        <v>13226</v>
      </c>
      <c r="AP183" t="s">
        <v>13227</v>
      </c>
      <c r="AQ183" t="s">
        <v>13228</v>
      </c>
      <c r="AR183" t="s">
        <v>13229</v>
      </c>
      <c r="AS183" t="s">
        <v>13230</v>
      </c>
      <c r="AT183" t="s">
        <v>13231</v>
      </c>
      <c r="AU183" t="s">
        <v>13232</v>
      </c>
      <c r="AV183" t="s">
        <v>13233</v>
      </c>
      <c r="AW183" t="s">
        <v>13234</v>
      </c>
      <c r="AX183" t="s">
        <v>13235</v>
      </c>
      <c r="AY183" t="s">
        <v>13236</v>
      </c>
      <c r="AZ183" t="s">
        <v>13237</v>
      </c>
      <c r="BA183" t="s">
        <v>13238</v>
      </c>
      <c r="BB183" t="s">
        <v>13239</v>
      </c>
      <c r="BC183" t="s">
        <v>13240</v>
      </c>
      <c r="BD183" t="s">
        <v>13241</v>
      </c>
      <c r="BE183" t="s">
        <v>13242</v>
      </c>
      <c r="BF183" t="s">
        <v>13243</v>
      </c>
      <c r="BG183" t="s">
        <v>13244</v>
      </c>
      <c r="BH183" t="s">
        <v>13245</v>
      </c>
      <c r="BI183" t="s">
        <v>13246</v>
      </c>
      <c r="BJ183" t="s">
        <v>13247</v>
      </c>
      <c r="BK183" t="s">
        <v>13248</v>
      </c>
      <c r="BL183" t="s">
        <v>13249</v>
      </c>
      <c r="BM183" t="s">
        <v>13250</v>
      </c>
      <c r="BN183" t="s">
        <v>13251</v>
      </c>
      <c r="BO183" t="s">
        <v>13252</v>
      </c>
      <c r="BP183" t="s">
        <v>13253</v>
      </c>
      <c r="BR183" t="s">
        <v>274</v>
      </c>
    </row>
    <row r="184" spans="1:70" x14ac:dyDescent="0.3">
      <c r="A184" t="s">
        <v>138</v>
      </c>
      <c r="B184" t="s">
        <v>3323</v>
      </c>
      <c r="C184" t="s">
        <v>4632</v>
      </c>
      <c r="D184" t="s">
        <v>4633</v>
      </c>
      <c r="F184" t="s">
        <v>13254</v>
      </c>
      <c r="G184" t="s">
        <v>13255</v>
      </c>
      <c r="H184" t="s">
        <v>13256</v>
      </c>
      <c r="I184" t="s">
        <v>13257</v>
      </c>
      <c r="J184" t="s">
        <v>13258</v>
      </c>
      <c r="K184" t="s">
        <v>13259</v>
      </c>
      <c r="L184" t="s">
        <v>13260</v>
      </c>
      <c r="M184" t="s">
        <v>13261</v>
      </c>
      <c r="N184" t="s">
        <v>13262</v>
      </c>
      <c r="O184" t="s">
        <v>13263</v>
      </c>
      <c r="P184" t="s">
        <v>10028</v>
      </c>
      <c r="Q184" t="s">
        <v>13264</v>
      </c>
      <c r="R184" t="s">
        <v>13265</v>
      </c>
      <c r="S184" t="s">
        <v>13266</v>
      </c>
      <c r="T184" t="s">
        <v>13267</v>
      </c>
      <c r="U184" t="s">
        <v>13268</v>
      </c>
      <c r="V184" t="s">
        <v>13269</v>
      </c>
      <c r="W184" t="s">
        <v>13270</v>
      </c>
      <c r="X184" t="s">
        <v>13271</v>
      </c>
      <c r="Y184" t="s">
        <v>13272</v>
      </c>
      <c r="Z184" t="s">
        <v>13273</v>
      </c>
      <c r="AA184" t="s">
        <v>13274</v>
      </c>
      <c r="AB184" t="s">
        <v>13275</v>
      </c>
      <c r="AC184" t="s">
        <v>13276</v>
      </c>
      <c r="AD184" t="s">
        <v>13277</v>
      </c>
      <c r="AE184" t="s">
        <v>13278</v>
      </c>
      <c r="AF184" t="s">
        <v>13279</v>
      </c>
      <c r="AG184" t="s">
        <v>13280</v>
      </c>
      <c r="AH184" t="s">
        <v>13281</v>
      </c>
      <c r="AI184" t="s">
        <v>9829</v>
      </c>
      <c r="AJ184" t="s">
        <v>13282</v>
      </c>
      <c r="AK184" t="s">
        <v>13283</v>
      </c>
      <c r="AL184" t="s">
        <v>11569</v>
      </c>
      <c r="AM184" t="s">
        <v>13284</v>
      </c>
      <c r="AN184" t="s">
        <v>13285</v>
      </c>
      <c r="AO184" t="s">
        <v>13286</v>
      </c>
      <c r="AP184" t="s">
        <v>7824</v>
      </c>
      <c r="AQ184" t="s">
        <v>13287</v>
      </c>
      <c r="AR184" t="s">
        <v>13288</v>
      </c>
      <c r="AS184" t="s">
        <v>13289</v>
      </c>
      <c r="AT184" t="s">
        <v>13290</v>
      </c>
      <c r="AU184" t="s">
        <v>13291</v>
      </c>
      <c r="AV184" t="s">
        <v>13292</v>
      </c>
      <c r="AW184" t="s">
        <v>13293</v>
      </c>
      <c r="AX184" t="s">
        <v>13294</v>
      </c>
      <c r="AY184" t="s">
        <v>13295</v>
      </c>
      <c r="AZ184" t="s">
        <v>13296</v>
      </c>
      <c r="BA184" t="s">
        <v>13297</v>
      </c>
      <c r="BB184" t="s">
        <v>13298</v>
      </c>
      <c r="BC184" t="s">
        <v>13299</v>
      </c>
      <c r="BD184" t="s">
        <v>13300</v>
      </c>
      <c r="BE184" t="s">
        <v>13301</v>
      </c>
      <c r="BF184" t="s">
        <v>13302</v>
      </c>
      <c r="BG184" t="s">
        <v>13303</v>
      </c>
      <c r="BH184" t="s">
        <v>13304</v>
      </c>
      <c r="BI184" t="s">
        <v>13305</v>
      </c>
      <c r="BJ184" t="s">
        <v>13306</v>
      </c>
      <c r="BK184" t="s">
        <v>13307</v>
      </c>
      <c r="BL184" t="s">
        <v>13308</v>
      </c>
      <c r="BM184" t="s">
        <v>7841</v>
      </c>
      <c r="BN184" t="s">
        <v>13309</v>
      </c>
      <c r="BO184" t="s">
        <v>7843</v>
      </c>
      <c r="BP184" t="s">
        <v>13310</v>
      </c>
      <c r="BR184" t="s">
        <v>274</v>
      </c>
    </row>
    <row r="185" spans="1:70" x14ac:dyDescent="0.3">
      <c r="A185" t="s">
        <v>139</v>
      </c>
      <c r="B185" t="s">
        <v>3324</v>
      </c>
      <c r="C185" t="s">
        <v>4632</v>
      </c>
      <c r="D185" t="s">
        <v>4633</v>
      </c>
      <c r="F185" t="s">
        <v>274</v>
      </c>
      <c r="G185" t="s">
        <v>274</v>
      </c>
      <c r="H185" t="s">
        <v>274</v>
      </c>
      <c r="I185" t="s">
        <v>274</v>
      </c>
      <c r="J185" t="s">
        <v>274</v>
      </c>
      <c r="K185" t="s">
        <v>274</v>
      </c>
      <c r="L185" t="s">
        <v>274</v>
      </c>
      <c r="M185" t="s">
        <v>274</v>
      </c>
      <c r="N185" t="s">
        <v>274</v>
      </c>
      <c r="O185" t="s">
        <v>274</v>
      </c>
      <c r="P185" t="s">
        <v>13311</v>
      </c>
      <c r="Q185" t="s">
        <v>13312</v>
      </c>
      <c r="R185" t="s">
        <v>13313</v>
      </c>
      <c r="S185" t="s">
        <v>13314</v>
      </c>
      <c r="T185" t="s">
        <v>13315</v>
      </c>
      <c r="U185" t="s">
        <v>13316</v>
      </c>
      <c r="V185" t="s">
        <v>13317</v>
      </c>
      <c r="W185" t="s">
        <v>13318</v>
      </c>
      <c r="X185" t="s">
        <v>13319</v>
      </c>
      <c r="Y185" t="s">
        <v>13320</v>
      </c>
      <c r="Z185" t="s">
        <v>13321</v>
      </c>
      <c r="AA185" t="s">
        <v>13322</v>
      </c>
      <c r="AB185" t="s">
        <v>13323</v>
      </c>
      <c r="AC185" t="s">
        <v>13324</v>
      </c>
      <c r="AD185" t="s">
        <v>13325</v>
      </c>
      <c r="AE185" t="s">
        <v>13326</v>
      </c>
      <c r="AF185" t="s">
        <v>13327</v>
      </c>
      <c r="AG185" t="s">
        <v>13328</v>
      </c>
      <c r="AH185" t="s">
        <v>13329</v>
      </c>
      <c r="AI185" t="s">
        <v>13330</v>
      </c>
      <c r="AJ185" t="s">
        <v>13331</v>
      </c>
      <c r="AK185" t="s">
        <v>13332</v>
      </c>
      <c r="AL185" t="s">
        <v>13333</v>
      </c>
      <c r="AM185" t="s">
        <v>13334</v>
      </c>
      <c r="AN185" t="s">
        <v>13335</v>
      </c>
      <c r="AO185" t="s">
        <v>13336</v>
      </c>
      <c r="AP185" t="s">
        <v>13337</v>
      </c>
      <c r="AQ185" t="s">
        <v>13338</v>
      </c>
      <c r="AR185" t="s">
        <v>9835</v>
      </c>
      <c r="AS185" t="s">
        <v>13339</v>
      </c>
      <c r="AT185" t="s">
        <v>13340</v>
      </c>
      <c r="AU185" t="s">
        <v>13341</v>
      </c>
      <c r="AV185" t="s">
        <v>13342</v>
      </c>
      <c r="AW185" t="s">
        <v>13343</v>
      </c>
      <c r="AX185" t="s">
        <v>13344</v>
      </c>
      <c r="AY185" t="s">
        <v>13345</v>
      </c>
      <c r="AZ185" t="s">
        <v>13346</v>
      </c>
      <c r="BA185" t="s">
        <v>13347</v>
      </c>
      <c r="BB185" t="s">
        <v>13348</v>
      </c>
      <c r="BC185" t="s">
        <v>13349</v>
      </c>
      <c r="BD185" t="s">
        <v>13350</v>
      </c>
      <c r="BE185" t="s">
        <v>13351</v>
      </c>
      <c r="BF185" t="s">
        <v>13352</v>
      </c>
      <c r="BG185" t="s">
        <v>13353</v>
      </c>
      <c r="BH185" t="s">
        <v>13354</v>
      </c>
      <c r="BI185" t="s">
        <v>13355</v>
      </c>
      <c r="BJ185" t="s">
        <v>13356</v>
      </c>
      <c r="BK185" t="s">
        <v>13357</v>
      </c>
      <c r="BL185" t="s">
        <v>13358</v>
      </c>
      <c r="BM185" t="s">
        <v>13359</v>
      </c>
      <c r="BN185" t="s">
        <v>13360</v>
      </c>
      <c r="BO185" t="s">
        <v>13361</v>
      </c>
      <c r="BP185" t="s">
        <v>13362</v>
      </c>
      <c r="BR185" t="s">
        <v>274</v>
      </c>
    </row>
    <row r="186" spans="1:70" x14ac:dyDescent="0.3">
      <c r="A186" t="s">
        <v>140</v>
      </c>
      <c r="B186" t="s">
        <v>3325</v>
      </c>
      <c r="C186" t="s">
        <v>4632</v>
      </c>
      <c r="D186" t="s">
        <v>4633</v>
      </c>
      <c r="F186" t="s">
        <v>13363</v>
      </c>
      <c r="G186" t="s">
        <v>13364</v>
      </c>
      <c r="H186" t="s">
        <v>13365</v>
      </c>
      <c r="I186" t="s">
        <v>13366</v>
      </c>
      <c r="J186" t="s">
        <v>13367</v>
      </c>
      <c r="K186" t="s">
        <v>13368</v>
      </c>
      <c r="L186" t="s">
        <v>13369</v>
      </c>
      <c r="M186" t="s">
        <v>13370</v>
      </c>
      <c r="N186" t="s">
        <v>13371</v>
      </c>
      <c r="O186" t="s">
        <v>13372</v>
      </c>
      <c r="P186" t="s">
        <v>13373</v>
      </c>
      <c r="Q186" t="s">
        <v>13374</v>
      </c>
      <c r="R186" t="s">
        <v>13375</v>
      </c>
      <c r="S186" t="s">
        <v>13376</v>
      </c>
      <c r="T186" t="s">
        <v>13377</v>
      </c>
      <c r="U186" t="s">
        <v>13378</v>
      </c>
      <c r="V186" t="s">
        <v>13379</v>
      </c>
      <c r="W186" t="s">
        <v>13380</v>
      </c>
      <c r="X186" t="s">
        <v>13381</v>
      </c>
      <c r="Y186" t="s">
        <v>13382</v>
      </c>
      <c r="Z186" t="s">
        <v>13383</v>
      </c>
      <c r="AA186" t="s">
        <v>13384</v>
      </c>
      <c r="AB186" t="s">
        <v>13385</v>
      </c>
      <c r="AC186" t="s">
        <v>13386</v>
      </c>
      <c r="AD186" t="s">
        <v>13387</v>
      </c>
      <c r="AE186" t="s">
        <v>13388</v>
      </c>
      <c r="AF186" t="s">
        <v>13389</v>
      </c>
      <c r="AG186" t="s">
        <v>13390</v>
      </c>
      <c r="AH186" t="s">
        <v>13391</v>
      </c>
      <c r="AI186" t="s">
        <v>13392</v>
      </c>
      <c r="AJ186" t="s">
        <v>13393</v>
      </c>
      <c r="AK186" t="s">
        <v>13394</v>
      </c>
      <c r="AL186" t="s">
        <v>13395</v>
      </c>
      <c r="AM186" t="s">
        <v>13396</v>
      </c>
      <c r="AN186" t="s">
        <v>13397</v>
      </c>
      <c r="AO186" t="s">
        <v>13398</v>
      </c>
      <c r="AP186" t="s">
        <v>13399</v>
      </c>
      <c r="AQ186" t="s">
        <v>13400</v>
      </c>
      <c r="AR186" t="s">
        <v>13401</v>
      </c>
      <c r="AS186" t="s">
        <v>9432</v>
      </c>
      <c r="AT186" t="s">
        <v>13402</v>
      </c>
      <c r="AU186" t="s">
        <v>13403</v>
      </c>
      <c r="AV186" t="s">
        <v>13404</v>
      </c>
      <c r="AW186" t="s">
        <v>13405</v>
      </c>
      <c r="AX186" t="s">
        <v>13406</v>
      </c>
      <c r="AY186" t="s">
        <v>13407</v>
      </c>
      <c r="AZ186" t="s">
        <v>13408</v>
      </c>
      <c r="BA186" t="s">
        <v>13409</v>
      </c>
      <c r="BB186" t="s">
        <v>13410</v>
      </c>
      <c r="BC186" t="s">
        <v>13411</v>
      </c>
      <c r="BD186" t="s">
        <v>13412</v>
      </c>
      <c r="BE186" t="s">
        <v>13413</v>
      </c>
      <c r="BF186" t="s">
        <v>13414</v>
      </c>
      <c r="BG186" t="s">
        <v>13415</v>
      </c>
      <c r="BH186" t="s">
        <v>13416</v>
      </c>
      <c r="BI186" t="s">
        <v>13417</v>
      </c>
      <c r="BJ186" t="s">
        <v>13418</v>
      </c>
      <c r="BK186" t="s">
        <v>13419</v>
      </c>
      <c r="BL186" t="s">
        <v>13420</v>
      </c>
      <c r="BM186" t="s">
        <v>13421</v>
      </c>
      <c r="BN186" t="s">
        <v>13422</v>
      </c>
      <c r="BO186" t="s">
        <v>13423</v>
      </c>
      <c r="BP186" t="s">
        <v>9447</v>
      </c>
      <c r="BR186" t="s">
        <v>274</v>
      </c>
    </row>
    <row r="187" spans="1:70" x14ac:dyDescent="0.3">
      <c r="A187" t="s">
        <v>3346</v>
      </c>
      <c r="B187" t="s">
        <v>3347</v>
      </c>
      <c r="C187" t="s">
        <v>4632</v>
      </c>
      <c r="D187" t="s">
        <v>4633</v>
      </c>
      <c r="F187" t="s">
        <v>5230</v>
      </c>
      <c r="G187" t="s">
        <v>10629</v>
      </c>
      <c r="H187" t="s">
        <v>13193</v>
      </c>
      <c r="I187" t="s">
        <v>5454</v>
      </c>
      <c r="J187" t="s">
        <v>13424</v>
      </c>
      <c r="K187" t="s">
        <v>6470</v>
      </c>
      <c r="L187" t="s">
        <v>5299</v>
      </c>
      <c r="M187" t="s">
        <v>10165</v>
      </c>
      <c r="N187" t="s">
        <v>6473</v>
      </c>
      <c r="O187" t="s">
        <v>10474</v>
      </c>
      <c r="P187" t="s">
        <v>10475</v>
      </c>
      <c r="Q187" t="s">
        <v>8731</v>
      </c>
      <c r="R187" t="s">
        <v>6477</v>
      </c>
      <c r="S187" t="s">
        <v>8171</v>
      </c>
      <c r="T187" t="s">
        <v>13425</v>
      </c>
      <c r="U187" t="s">
        <v>5245</v>
      </c>
      <c r="V187" t="s">
        <v>5246</v>
      </c>
      <c r="W187" t="s">
        <v>8548</v>
      </c>
      <c r="X187" t="s">
        <v>6483</v>
      </c>
      <c r="Y187" t="s">
        <v>13210</v>
      </c>
      <c r="Z187" t="s">
        <v>8740</v>
      </c>
      <c r="AA187" t="s">
        <v>13212</v>
      </c>
      <c r="AB187" t="s">
        <v>8439</v>
      </c>
      <c r="AC187" t="s">
        <v>8553</v>
      </c>
      <c r="AD187" t="s">
        <v>8554</v>
      </c>
      <c r="AE187" t="s">
        <v>8555</v>
      </c>
      <c r="AF187" t="s">
        <v>8746</v>
      </c>
      <c r="AG187" t="s">
        <v>13426</v>
      </c>
      <c r="AH187" t="s">
        <v>10493</v>
      </c>
      <c r="AI187" t="s">
        <v>5259</v>
      </c>
      <c r="AJ187" t="s">
        <v>13427</v>
      </c>
      <c r="AK187" t="s">
        <v>13428</v>
      </c>
      <c r="AL187" t="s">
        <v>13429</v>
      </c>
      <c r="AM187" t="s">
        <v>13430</v>
      </c>
      <c r="AN187" t="s">
        <v>13431</v>
      </c>
      <c r="AO187" t="s">
        <v>13432</v>
      </c>
      <c r="AP187" t="s">
        <v>13433</v>
      </c>
      <c r="AQ187" t="s">
        <v>8115</v>
      </c>
      <c r="AR187" t="s">
        <v>13434</v>
      </c>
      <c r="AS187" t="s">
        <v>13435</v>
      </c>
      <c r="AT187" t="s">
        <v>13436</v>
      </c>
      <c r="AU187" t="s">
        <v>13437</v>
      </c>
      <c r="AV187" t="s">
        <v>13438</v>
      </c>
      <c r="AW187" t="s">
        <v>13439</v>
      </c>
      <c r="AX187" t="s">
        <v>13440</v>
      </c>
      <c r="AY187" t="s">
        <v>13441</v>
      </c>
      <c r="AZ187" t="s">
        <v>13442</v>
      </c>
      <c r="BA187" t="s">
        <v>13443</v>
      </c>
      <c r="BB187" t="s">
        <v>13444</v>
      </c>
      <c r="BC187" t="s">
        <v>13445</v>
      </c>
      <c r="BD187" t="s">
        <v>9438</v>
      </c>
      <c r="BE187" t="s">
        <v>13446</v>
      </c>
      <c r="BF187" t="s">
        <v>13447</v>
      </c>
      <c r="BG187" t="s">
        <v>13448</v>
      </c>
      <c r="BH187" t="s">
        <v>13449</v>
      </c>
      <c r="BI187" t="s">
        <v>13450</v>
      </c>
      <c r="BJ187" t="s">
        <v>13451</v>
      </c>
      <c r="BK187" t="s">
        <v>13452</v>
      </c>
      <c r="BL187" t="s">
        <v>13453</v>
      </c>
      <c r="BM187" t="s">
        <v>13454</v>
      </c>
      <c r="BN187" t="s">
        <v>13455</v>
      </c>
      <c r="BO187" t="s">
        <v>13456</v>
      </c>
      <c r="BP187" t="s">
        <v>13457</v>
      </c>
      <c r="BR187" t="s">
        <v>274</v>
      </c>
    </row>
    <row r="188" spans="1:70" x14ac:dyDescent="0.3">
      <c r="A188" t="s">
        <v>228</v>
      </c>
      <c r="B188" t="s">
        <v>3348</v>
      </c>
      <c r="C188" t="s">
        <v>4632</v>
      </c>
      <c r="D188" t="s">
        <v>4633</v>
      </c>
      <c r="F188" t="s">
        <v>13458</v>
      </c>
      <c r="G188" t="s">
        <v>13459</v>
      </c>
      <c r="H188" t="s">
        <v>13460</v>
      </c>
      <c r="I188" t="s">
        <v>4960</v>
      </c>
      <c r="J188" t="s">
        <v>13461</v>
      </c>
      <c r="K188" t="s">
        <v>13462</v>
      </c>
      <c r="L188" t="s">
        <v>13463</v>
      </c>
      <c r="M188" t="s">
        <v>13464</v>
      </c>
      <c r="N188" t="s">
        <v>13465</v>
      </c>
      <c r="O188" t="s">
        <v>13466</v>
      </c>
      <c r="P188" t="s">
        <v>13467</v>
      </c>
      <c r="Q188" t="s">
        <v>13468</v>
      </c>
      <c r="R188" t="s">
        <v>13469</v>
      </c>
      <c r="S188" t="s">
        <v>13470</v>
      </c>
      <c r="T188" t="s">
        <v>13471</v>
      </c>
      <c r="U188" t="s">
        <v>13472</v>
      </c>
      <c r="V188" t="s">
        <v>13473</v>
      </c>
      <c r="W188" t="s">
        <v>13474</v>
      </c>
      <c r="X188" t="s">
        <v>13475</v>
      </c>
      <c r="Y188" t="s">
        <v>13476</v>
      </c>
      <c r="Z188" t="s">
        <v>13477</v>
      </c>
      <c r="AA188" t="s">
        <v>13478</v>
      </c>
      <c r="AB188" t="s">
        <v>13479</v>
      </c>
      <c r="AC188" t="s">
        <v>13480</v>
      </c>
      <c r="AD188" t="s">
        <v>13481</v>
      </c>
      <c r="AE188" t="s">
        <v>13482</v>
      </c>
      <c r="AF188" t="s">
        <v>13483</v>
      </c>
      <c r="AG188" t="s">
        <v>13484</v>
      </c>
      <c r="AH188" t="s">
        <v>13485</v>
      </c>
      <c r="AI188" t="s">
        <v>13486</v>
      </c>
      <c r="AJ188" t="s">
        <v>13487</v>
      </c>
      <c r="AK188" t="s">
        <v>13488</v>
      </c>
      <c r="AL188" t="s">
        <v>13489</v>
      </c>
      <c r="AM188" t="s">
        <v>13490</v>
      </c>
      <c r="AN188" t="s">
        <v>13491</v>
      </c>
      <c r="AO188" t="s">
        <v>13492</v>
      </c>
      <c r="AP188" t="s">
        <v>13493</v>
      </c>
      <c r="AQ188" t="s">
        <v>13494</v>
      </c>
      <c r="AR188" t="s">
        <v>13495</v>
      </c>
      <c r="AS188" t="s">
        <v>13496</v>
      </c>
      <c r="AT188" t="s">
        <v>13497</v>
      </c>
      <c r="AU188" t="s">
        <v>13498</v>
      </c>
      <c r="AV188" t="s">
        <v>13499</v>
      </c>
      <c r="AW188" t="s">
        <v>13500</v>
      </c>
      <c r="AX188" t="s">
        <v>13501</v>
      </c>
      <c r="AY188" t="s">
        <v>13502</v>
      </c>
      <c r="AZ188" t="s">
        <v>13503</v>
      </c>
      <c r="BA188" t="s">
        <v>13504</v>
      </c>
      <c r="BB188" t="s">
        <v>13505</v>
      </c>
      <c r="BC188" t="s">
        <v>13506</v>
      </c>
      <c r="BD188" t="s">
        <v>13507</v>
      </c>
      <c r="BE188" t="s">
        <v>13508</v>
      </c>
      <c r="BF188" t="s">
        <v>13509</v>
      </c>
      <c r="BG188" t="s">
        <v>13510</v>
      </c>
      <c r="BH188" t="s">
        <v>13511</v>
      </c>
      <c r="BI188" t="s">
        <v>13512</v>
      </c>
      <c r="BJ188" t="s">
        <v>13513</v>
      </c>
      <c r="BK188" t="s">
        <v>13514</v>
      </c>
      <c r="BL188" t="s">
        <v>13515</v>
      </c>
      <c r="BM188" t="s">
        <v>13516</v>
      </c>
      <c r="BN188" t="s">
        <v>13517</v>
      </c>
      <c r="BO188" t="s">
        <v>12162</v>
      </c>
      <c r="BP188" t="s">
        <v>13518</v>
      </c>
      <c r="BR188" t="s">
        <v>274</v>
      </c>
    </row>
    <row r="189" spans="1:70" x14ac:dyDescent="0.3">
      <c r="A189" t="s">
        <v>3386</v>
      </c>
      <c r="B189" t="s">
        <v>3387</v>
      </c>
      <c r="C189" t="s">
        <v>4632</v>
      </c>
      <c r="D189" t="s">
        <v>4633</v>
      </c>
      <c r="F189" t="s">
        <v>274</v>
      </c>
      <c r="G189" t="s">
        <v>274</v>
      </c>
      <c r="H189" t="s">
        <v>274</v>
      </c>
      <c r="I189" t="s">
        <v>274</v>
      </c>
      <c r="J189" t="s">
        <v>274</v>
      </c>
      <c r="K189" t="s">
        <v>274</v>
      </c>
      <c r="L189" t="s">
        <v>274</v>
      </c>
      <c r="M189" t="s">
        <v>274</v>
      </c>
      <c r="N189" t="s">
        <v>274</v>
      </c>
      <c r="O189" t="s">
        <v>274</v>
      </c>
      <c r="P189" t="s">
        <v>12078</v>
      </c>
      <c r="Q189" t="s">
        <v>6291</v>
      </c>
      <c r="R189" t="s">
        <v>5748</v>
      </c>
      <c r="S189" t="s">
        <v>12079</v>
      </c>
      <c r="T189" t="s">
        <v>13519</v>
      </c>
      <c r="U189" t="s">
        <v>7359</v>
      </c>
      <c r="V189" t="s">
        <v>12704</v>
      </c>
      <c r="W189" t="s">
        <v>13520</v>
      </c>
      <c r="X189" t="s">
        <v>5754</v>
      </c>
      <c r="Y189" t="s">
        <v>4976</v>
      </c>
      <c r="Z189" t="s">
        <v>6247</v>
      </c>
      <c r="AA189" t="s">
        <v>6301</v>
      </c>
      <c r="AB189" t="s">
        <v>13521</v>
      </c>
      <c r="AC189" t="s">
        <v>7367</v>
      </c>
      <c r="AD189" t="s">
        <v>7121</v>
      </c>
      <c r="AE189" t="s">
        <v>6305</v>
      </c>
      <c r="AF189" t="s">
        <v>7370</v>
      </c>
      <c r="AG189" t="s">
        <v>12093</v>
      </c>
      <c r="AH189" t="s">
        <v>6308</v>
      </c>
      <c r="AI189" t="s">
        <v>6309</v>
      </c>
      <c r="AJ189" t="s">
        <v>7085</v>
      </c>
      <c r="AK189" t="s">
        <v>12719</v>
      </c>
      <c r="AL189" t="s">
        <v>7376</v>
      </c>
      <c r="AM189" t="s">
        <v>12721</v>
      </c>
      <c r="AN189" t="s">
        <v>6314</v>
      </c>
      <c r="AO189" t="s">
        <v>7090</v>
      </c>
      <c r="AP189" t="s">
        <v>7380</v>
      </c>
      <c r="AQ189" t="s">
        <v>7381</v>
      </c>
      <c r="AR189" t="s">
        <v>7093</v>
      </c>
      <c r="AS189" t="s">
        <v>13522</v>
      </c>
      <c r="AT189" t="s">
        <v>12728</v>
      </c>
      <c r="AU189" t="s">
        <v>13523</v>
      </c>
      <c r="AV189" t="s">
        <v>7386</v>
      </c>
      <c r="AW189" t="s">
        <v>6323</v>
      </c>
      <c r="AX189" t="s">
        <v>12731</v>
      </c>
      <c r="AY189" t="s">
        <v>6325</v>
      </c>
      <c r="AZ189" t="s">
        <v>12733</v>
      </c>
      <c r="BA189" t="s">
        <v>13524</v>
      </c>
      <c r="BB189" t="s">
        <v>7145</v>
      </c>
      <c r="BC189" t="s">
        <v>12415</v>
      </c>
      <c r="BD189" t="s">
        <v>12737</v>
      </c>
      <c r="BE189" t="s">
        <v>10394</v>
      </c>
      <c r="BF189" t="s">
        <v>12418</v>
      </c>
      <c r="BG189" t="s">
        <v>13525</v>
      </c>
      <c r="BH189" t="s">
        <v>13526</v>
      </c>
      <c r="BI189" t="s">
        <v>13527</v>
      </c>
      <c r="BJ189" t="s">
        <v>13528</v>
      </c>
      <c r="BK189" t="s">
        <v>13529</v>
      </c>
      <c r="BL189" t="s">
        <v>13530</v>
      </c>
      <c r="BM189" t="s">
        <v>13531</v>
      </c>
      <c r="BN189" t="s">
        <v>13532</v>
      </c>
      <c r="BO189" t="s">
        <v>13533</v>
      </c>
      <c r="BP189" t="s">
        <v>7406</v>
      </c>
      <c r="BR189" t="s">
        <v>274</v>
      </c>
    </row>
    <row r="190" spans="1:70" x14ac:dyDescent="0.3">
      <c r="A190" t="s">
        <v>142</v>
      </c>
      <c r="B190" t="s">
        <v>3388</v>
      </c>
      <c r="C190" t="s">
        <v>4632</v>
      </c>
      <c r="D190" t="s">
        <v>4633</v>
      </c>
      <c r="F190" t="s">
        <v>13534</v>
      </c>
      <c r="G190" t="s">
        <v>13535</v>
      </c>
      <c r="H190" t="s">
        <v>13536</v>
      </c>
      <c r="I190" t="s">
        <v>13537</v>
      </c>
      <c r="J190" t="s">
        <v>13538</v>
      </c>
      <c r="K190" t="s">
        <v>9908</v>
      </c>
      <c r="L190" t="s">
        <v>13539</v>
      </c>
      <c r="M190" t="s">
        <v>13540</v>
      </c>
      <c r="N190" t="s">
        <v>13541</v>
      </c>
      <c r="O190" t="s">
        <v>13542</v>
      </c>
      <c r="P190" t="s">
        <v>13543</v>
      </c>
      <c r="Q190" t="s">
        <v>13544</v>
      </c>
      <c r="R190" t="s">
        <v>13545</v>
      </c>
      <c r="S190" t="s">
        <v>13546</v>
      </c>
      <c r="T190" t="s">
        <v>13547</v>
      </c>
      <c r="U190" t="s">
        <v>13548</v>
      </c>
      <c r="V190" t="s">
        <v>13549</v>
      </c>
      <c r="W190" t="s">
        <v>11602</v>
      </c>
      <c r="X190" t="s">
        <v>13550</v>
      </c>
      <c r="Y190" t="s">
        <v>13551</v>
      </c>
      <c r="Z190" t="s">
        <v>13552</v>
      </c>
      <c r="AA190" t="s">
        <v>13553</v>
      </c>
      <c r="AB190" t="s">
        <v>13554</v>
      </c>
      <c r="AC190" t="s">
        <v>13555</v>
      </c>
      <c r="AD190" t="s">
        <v>13556</v>
      </c>
      <c r="AE190" t="s">
        <v>13557</v>
      </c>
      <c r="AF190" t="s">
        <v>13558</v>
      </c>
      <c r="AG190" t="s">
        <v>11565</v>
      </c>
      <c r="AH190" t="s">
        <v>13559</v>
      </c>
      <c r="AI190" t="s">
        <v>13560</v>
      </c>
      <c r="AJ190" t="s">
        <v>11568</v>
      </c>
      <c r="AK190" t="s">
        <v>13561</v>
      </c>
      <c r="AL190" t="s">
        <v>13562</v>
      </c>
      <c r="AM190" t="s">
        <v>13563</v>
      </c>
      <c r="AN190" t="s">
        <v>13564</v>
      </c>
      <c r="AO190" t="s">
        <v>13565</v>
      </c>
      <c r="AP190" t="s">
        <v>13566</v>
      </c>
      <c r="AQ190" t="s">
        <v>13567</v>
      </c>
      <c r="AR190" t="s">
        <v>13568</v>
      </c>
      <c r="AS190" t="s">
        <v>13569</v>
      </c>
      <c r="AT190" t="s">
        <v>9889</v>
      </c>
      <c r="AU190" t="s">
        <v>9890</v>
      </c>
      <c r="AV190" t="s">
        <v>13570</v>
      </c>
      <c r="AW190" t="s">
        <v>11615</v>
      </c>
      <c r="AX190" t="s">
        <v>13571</v>
      </c>
      <c r="AY190" t="s">
        <v>13572</v>
      </c>
      <c r="AZ190" t="s">
        <v>13573</v>
      </c>
      <c r="BA190" t="s">
        <v>13574</v>
      </c>
      <c r="BB190" t="s">
        <v>13575</v>
      </c>
      <c r="BC190" t="s">
        <v>13576</v>
      </c>
      <c r="BD190" t="s">
        <v>13577</v>
      </c>
      <c r="BE190" t="s">
        <v>13578</v>
      </c>
      <c r="BF190" t="s">
        <v>13579</v>
      </c>
      <c r="BG190" t="s">
        <v>13580</v>
      </c>
      <c r="BH190" t="s">
        <v>13581</v>
      </c>
      <c r="BI190" t="s">
        <v>13582</v>
      </c>
      <c r="BJ190" t="s">
        <v>12294</v>
      </c>
      <c r="BK190" t="s">
        <v>13583</v>
      </c>
      <c r="BL190" t="s">
        <v>13584</v>
      </c>
      <c r="BM190" t="s">
        <v>13585</v>
      </c>
      <c r="BN190" t="s">
        <v>13586</v>
      </c>
      <c r="BO190" t="s">
        <v>13587</v>
      </c>
      <c r="BP190" t="s">
        <v>13588</v>
      </c>
      <c r="BR190" t="s">
        <v>274</v>
      </c>
    </row>
    <row r="191" spans="1:70" x14ac:dyDescent="0.3">
      <c r="A191" t="s">
        <v>143</v>
      </c>
      <c r="B191" t="s">
        <v>3407</v>
      </c>
      <c r="C191" t="s">
        <v>4632</v>
      </c>
      <c r="D191" t="s">
        <v>4633</v>
      </c>
      <c r="F191" t="s">
        <v>13589</v>
      </c>
      <c r="G191" t="s">
        <v>13590</v>
      </c>
      <c r="H191" t="s">
        <v>13591</v>
      </c>
      <c r="I191" t="s">
        <v>7795</v>
      </c>
      <c r="J191" t="s">
        <v>13592</v>
      </c>
      <c r="K191" t="s">
        <v>13593</v>
      </c>
      <c r="L191" t="s">
        <v>13594</v>
      </c>
      <c r="M191" t="s">
        <v>13595</v>
      </c>
      <c r="N191" t="s">
        <v>13596</v>
      </c>
      <c r="O191" t="s">
        <v>13597</v>
      </c>
      <c r="P191" t="s">
        <v>13598</v>
      </c>
      <c r="Q191" t="s">
        <v>13599</v>
      </c>
      <c r="R191" t="s">
        <v>13600</v>
      </c>
      <c r="S191" t="s">
        <v>13601</v>
      </c>
      <c r="T191" t="s">
        <v>13602</v>
      </c>
      <c r="U191" t="s">
        <v>13603</v>
      </c>
      <c r="V191" t="s">
        <v>13604</v>
      </c>
      <c r="W191" t="s">
        <v>13605</v>
      </c>
      <c r="X191" t="s">
        <v>13606</v>
      </c>
      <c r="Y191" t="s">
        <v>13607</v>
      </c>
      <c r="Z191" t="s">
        <v>13608</v>
      </c>
      <c r="AA191" t="s">
        <v>13609</v>
      </c>
      <c r="AB191" t="s">
        <v>13610</v>
      </c>
      <c r="AC191" t="s">
        <v>13611</v>
      </c>
      <c r="AD191" t="s">
        <v>13612</v>
      </c>
      <c r="AE191" t="s">
        <v>13613</v>
      </c>
      <c r="AF191" t="s">
        <v>13614</v>
      </c>
      <c r="AG191" t="s">
        <v>13615</v>
      </c>
      <c r="AH191" t="s">
        <v>13616</v>
      </c>
      <c r="AI191" t="s">
        <v>13617</v>
      </c>
      <c r="AJ191" t="s">
        <v>13618</v>
      </c>
      <c r="AK191" t="s">
        <v>13619</v>
      </c>
      <c r="AL191" t="s">
        <v>13620</v>
      </c>
      <c r="AM191" t="s">
        <v>13621</v>
      </c>
      <c r="AN191" t="s">
        <v>13622</v>
      </c>
      <c r="AO191" t="s">
        <v>13623</v>
      </c>
      <c r="AP191" t="s">
        <v>13624</v>
      </c>
      <c r="AQ191" t="s">
        <v>13625</v>
      </c>
      <c r="AR191" t="s">
        <v>13626</v>
      </c>
      <c r="AS191" t="s">
        <v>13627</v>
      </c>
      <c r="AT191" t="s">
        <v>13628</v>
      </c>
      <c r="AU191" t="s">
        <v>13629</v>
      </c>
      <c r="AV191" t="s">
        <v>13630</v>
      </c>
      <c r="AW191" t="s">
        <v>13631</v>
      </c>
      <c r="AX191" t="s">
        <v>13632</v>
      </c>
      <c r="AY191" t="s">
        <v>13633</v>
      </c>
      <c r="AZ191" t="s">
        <v>13634</v>
      </c>
      <c r="BA191" t="s">
        <v>13635</v>
      </c>
      <c r="BB191" t="s">
        <v>13636</v>
      </c>
      <c r="BC191" t="s">
        <v>13637</v>
      </c>
      <c r="BD191" t="s">
        <v>11346</v>
      </c>
      <c r="BE191" t="s">
        <v>13638</v>
      </c>
      <c r="BF191" t="s">
        <v>13639</v>
      </c>
      <c r="BG191" t="s">
        <v>13640</v>
      </c>
      <c r="BH191" t="s">
        <v>13641</v>
      </c>
      <c r="BI191" t="s">
        <v>13642</v>
      </c>
      <c r="BJ191" t="s">
        <v>13643</v>
      </c>
      <c r="BK191" t="s">
        <v>13644</v>
      </c>
      <c r="BL191" t="s">
        <v>13645</v>
      </c>
      <c r="BM191" t="s">
        <v>13646</v>
      </c>
      <c r="BN191" t="s">
        <v>13647</v>
      </c>
      <c r="BO191" t="s">
        <v>13648</v>
      </c>
      <c r="BP191" t="s">
        <v>13649</v>
      </c>
      <c r="BR191" t="s">
        <v>274</v>
      </c>
    </row>
    <row r="192" spans="1:70" x14ac:dyDescent="0.3">
      <c r="A192" t="s">
        <v>144</v>
      </c>
      <c r="B192" t="s">
        <v>3433</v>
      </c>
      <c r="C192" t="s">
        <v>4632</v>
      </c>
      <c r="D192" t="s">
        <v>4633</v>
      </c>
      <c r="F192" t="s">
        <v>11064</v>
      </c>
      <c r="G192" t="s">
        <v>11065</v>
      </c>
      <c r="H192" t="s">
        <v>13650</v>
      </c>
      <c r="I192" t="s">
        <v>13651</v>
      </c>
      <c r="J192" t="s">
        <v>13652</v>
      </c>
      <c r="K192" t="s">
        <v>13653</v>
      </c>
      <c r="L192" t="s">
        <v>13654</v>
      </c>
      <c r="M192" t="s">
        <v>13655</v>
      </c>
      <c r="N192" t="s">
        <v>13656</v>
      </c>
      <c r="O192" t="s">
        <v>13657</v>
      </c>
      <c r="P192" t="s">
        <v>13658</v>
      </c>
      <c r="Q192" t="s">
        <v>9772</v>
      </c>
      <c r="R192" t="s">
        <v>11598</v>
      </c>
      <c r="S192" t="s">
        <v>13659</v>
      </c>
      <c r="T192" t="s">
        <v>13660</v>
      </c>
      <c r="U192" t="s">
        <v>13661</v>
      </c>
      <c r="V192" t="s">
        <v>13662</v>
      </c>
      <c r="W192" t="s">
        <v>13663</v>
      </c>
      <c r="X192" t="s">
        <v>13664</v>
      </c>
      <c r="Y192" t="s">
        <v>13665</v>
      </c>
      <c r="Z192" t="s">
        <v>13666</v>
      </c>
      <c r="AA192" t="s">
        <v>13667</v>
      </c>
      <c r="AB192" t="s">
        <v>13668</v>
      </c>
      <c r="AC192" t="s">
        <v>13669</v>
      </c>
      <c r="AD192" t="s">
        <v>13670</v>
      </c>
      <c r="AE192" t="s">
        <v>13671</v>
      </c>
      <c r="AF192" t="s">
        <v>13672</v>
      </c>
      <c r="AG192" t="s">
        <v>13673</v>
      </c>
      <c r="AH192" t="s">
        <v>13674</v>
      </c>
      <c r="AI192" t="s">
        <v>13675</v>
      </c>
      <c r="AJ192" t="s">
        <v>13676</v>
      </c>
      <c r="AK192" t="s">
        <v>13677</v>
      </c>
      <c r="AL192" t="s">
        <v>13678</v>
      </c>
      <c r="AM192" t="s">
        <v>13679</v>
      </c>
      <c r="AN192" t="s">
        <v>13680</v>
      </c>
      <c r="AO192" t="s">
        <v>13681</v>
      </c>
      <c r="AP192" t="s">
        <v>13682</v>
      </c>
      <c r="AQ192" t="s">
        <v>11339</v>
      </c>
      <c r="AR192" t="s">
        <v>13683</v>
      </c>
      <c r="AS192" t="s">
        <v>13684</v>
      </c>
      <c r="AT192" t="s">
        <v>13685</v>
      </c>
      <c r="AU192" t="s">
        <v>13686</v>
      </c>
      <c r="AV192" t="s">
        <v>13687</v>
      </c>
      <c r="AW192" t="s">
        <v>13688</v>
      </c>
      <c r="AX192" t="s">
        <v>13689</v>
      </c>
      <c r="AY192" t="s">
        <v>13690</v>
      </c>
      <c r="AZ192" t="s">
        <v>13691</v>
      </c>
      <c r="BA192" t="s">
        <v>13692</v>
      </c>
      <c r="BB192" t="s">
        <v>13693</v>
      </c>
      <c r="BC192" t="s">
        <v>13694</v>
      </c>
      <c r="BD192" t="s">
        <v>13695</v>
      </c>
      <c r="BE192" t="s">
        <v>13696</v>
      </c>
      <c r="BF192" t="s">
        <v>13697</v>
      </c>
      <c r="BG192" t="s">
        <v>13698</v>
      </c>
      <c r="BH192" t="s">
        <v>13699</v>
      </c>
      <c r="BI192" t="s">
        <v>13700</v>
      </c>
      <c r="BJ192" t="s">
        <v>13701</v>
      </c>
      <c r="BK192" t="s">
        <v>11089</v>
      </c>
      <c r="BL192" t="s">
        <v>13702</v>
      </c>
      <c r="BM192" t="s">
        <v>13703</v>
      </c>
      <c r="BN192" t="s">
        <v>13704</v>
      </c>
      <c r="BO192" t="s">
        <v>13705</v>
      </c>
      <c r="BP192" t="s">
        <v>13706</v>
      </c>
      <c r="BR192" t="s">
        <v>274</v>
      </c>
    </row>
    <row r="193" spans="1:70" x14ac:dyDescent="0.3">
      <c r="A193" t="s">
        <v>145</v>
      </c>
      <c r="B193" t="s">
        <v>3472</v>
      </c>
      <c r="C193" t="s">
        <v>4632</v>
      </c>
      <c r="D193" t="s">
        <v>4633</v>
      </c>
      <c r="F193" t="s">
        <v>13707</v>
      </c>
      <c r="G193" t="s">
        <v>13708</v>
      </c>
      <c r="H193" t="s">
        <v>13709</v>
      </c>
      <c r="I193" t="s">
        <v>13710</v>
      </c>
      <c r="J193" t="s">
        <v>13711</v>
      </c>
      <c r="K193" t="s">
        <v>13712</v>
      </c>
      <c r="L193" t="s">
        <v>13713</v>
      </c>
      <c r="M193" t="s">
        <v>13714</v>
      </c>
      <c r="N193" t="s">
        <v>13715</v>
      </c>
      <c r="O193" t="s">
        <v>13716</v>
      </c>
      <c r="P193" t="s">
        <v>13717</v>
      </c>
      <c r="Q193" t="s">
        <v>13718</v>
      </c>
      <c r="R193" t="s">
        <v>13719</v>
      </c>
      <c r="S193" t="s">
        <v>13720</v>
      </c>
      <c r="T193" t="s">
        <v>13721</v>
      </c>
      <c r="U193" t="s">
        <v>13722</v>
      </c>
      <c r="V193" t="s">
        <v>13723</v>
      </c>
      <c r="W193" t="s">
        <v>13724</v>
      </c>
      <c r="X193" t="s">
        <v>13725</v>
      </c>
      <c r="Y193" t="s">
        <v>13726</v>
      </c>
      <c r="Z193" t="s">
        <v>13727</v>
      </c>
      <c r="AA193" t="s">
        <v>13728</v>
      </c>
      <c r="AB193" t="s">
        <v>13729</v>
      </c>
      <c r="AC193" t="s">
        <v>13730</v>
      </c>
      <c r="AD193" t="s">
        <v>13731</v>
      </c>
      <c r="AE193" t="s">
        <v>13732</v>
      </c>
      <c r="AF193" t="s">
        <v>7858</v>
      </c>
      <c r="AG193" t="s">
        <v>13733</v>
      </c>
      <c r="AH193" t="s">
        <v>13734</v>
      </c>
      <c r="AI193" t="s">
        <v>13735</v>
      </c>
      <c r="AJ193" t="s">
        <v>13736</v>
      </c>
      <c r="AK193" t="s">
        <v>13737</v>
      </c>
      <c r="AL193" t="s">
        <v>13738</v>
      </c>
      <c r="AM193" t="s">
        <v>13739</v>
      </c>
      <c r="AN193" t="s">
        <v>13740</v>
      </c>
      <c r="AO193" t="s">
        <v>13741</v>
      </c>
      <c r="AP193" t="s">
        <v>13742</v>
      </c>
      <c r="AQ193" t="s">
        <v>13743</v>
      </c>
      <c r="AR193" t="s">
        <v>9793</v>
      </c>
      <c r="AS193" t="s">
        <v>13744</v>
      </c>
      <c r="AT193" t="s">
        <v>13745</v>
      </c>
      <c r="AU193" t="s">
        <v>7771</v>
      </c>
      <c r="AV193" t="s">
        <v>13746</v>
      </c>
      <c r="AW193" t="s">
        <v>13747</v>
      </c>
      <c r="AX193" t="s">
        <v>13748</v>
      </c>
      <c r="AY193" t="s">
        <v>13749</v>
      </c>
      <c r="AZ193" t="s">
        <v>13750</v>
      </c>
      <c r="BA193" t="s">
        <v>13751</v>
      </c>
      <c r="BB193" t="s">
        <v>13752</v>
      </c>
      <c r="BC193" t="s">
        <v>13753</v>
      </c>
      <c r="BD193" t="s">
        <v>13754</v>
      </c>
      <c r="BE193" t="s">
        <v>13755</v>
      </c>
      <c r="BF193" t="s">
        <v>13756</v>
      </c>
      <c r="BG193" t="s">
        <v>13757</v>
      </c>
      <c r="BH193" t="s">
        <v>13758</v>
      </c>
      <c r="BI193" t="s">
        <v>13759</v>
      </c>
      <c r="BJ193" t="s">
        <v>13760</v>
      </c>
      <c r="BK193" t="s">
        <v>7786</v>
      </c>
      <c r="BL193" t="s">
        <v>13761</v>
      </c>
      <c r="BM193" t="s">
        <v>13762</v>
      </c>
      <c r="BN193" t="s">
        <v>13763</v>
      </c>
      <c r="BO193" t="s">
        <v>13764</v>
      </c>
      <c r="BP193" t="s">
        <v>13765</v>
      </c>
      <c r="BR193" t="s">
        <v>274</v>
      </c>
    </row>
    <row r="194" spans="1:70" x14ac:dyDescent="0.3">
      <c r="A194" t="s">
        <v>3512</v>
      </c>
      <c r="B194" t="s">
        <v>3513</v>
      </c>
      <c r="C194" t="s">
        <v>4632</v>
      </c>
      <c r="D194" t="s">
        <v>4633</v>
      </c>
      <c r="F194" t="s">
        <v>274</v>
      </c>
      <c r="G194" t="s">
        <v>274</v>
      </c>
      <c r="H194" t="s">
        <v>274</v>
      </c>
      <c r="I194" t="s">
        <v>274</v>
      </c>
      <c r="J194" t="s">
        <v>274</v>
      </c>
      <c r="K194" t="s">
        <v>274</v>
      </c>
      <c r="L194" t="s">
        <v>274</v>
      </c>
      <c r="M194" t="s">
        <v>274</v>
      </c>
      <c r="N194" t="s">
        <v>274</v>
      </c>
      <c r="O194" t="s">
        <v>274</v>
      </c>
      <c r="P194" t="s">
        <v>13766</v>
      </c>
      <c r="Q194" t="s">
        <v>13767</v>
      </c>
      <c r="R194" t="s">
        <v>13768</v>
      </c>
      <c r="S194" t="s">
        <v>13769</v>
      </c>
      <c r="T194" t="s">
        <v>9775</v>
      </c>
      <c r="U194" t="s">
        <v>13770</v>
      </c>
      <c r="V194" t="s">
        <v>13771</v>
      </c>
      <c r="W194" t="s">
        <v>13772</v>
      </c>
      <c r="X194" t="s">
        <v>13773</v>
      </c>
      <c r="Y194" t="s">
        <v>13774</v>
      </c>
      <c r="Z194" t="s">
        <v>13775</v>
      </c>
      <c r="AA194" t="s">
        <v>13776</v>
      </c>
      <c r="AB194" t="s">
        <v>13777</v>
      </c>
      <c r="AC194" t="s">
        <v>13778</v>
      </c>
      <c r="AD194" t="s">
        <v>13779</v>
      </c>
      <c r="AE194" t="s">
        <v>13780</v>
      </c>
      <c r="AF194" t="s">
        <v>13781</v>
      </c>
      <c r="AG194" t="s">
        <v>13782</v>
      </c>
      <c r="AH194" t="s">
        <v>13783</v>
      </c>
      <c r="AI194" t="s">
        <v>13784</v>
      </c>
      <c r="AJ194" t="s">
        <v>13785</v>
      </c>
      <c r="AK194" t="s">
        <v>13786</v>
      </c>
      <c r="AL194" t="s">
        <v>13787</v>
      </c>
      <c r="AM194" t="s">
        <v>13788</v>
      </c>
      <c r="AN194" t="s">
        <v>13789</v>
      </c>
      <c r="AO194" t="s">
        <v>13790</v>
      </c>
      <c r="AP194" t="s">
        <v>13791</v>
      </c>
      <c r="AQ194" t="s">
        <v>13792</v>
      </c>
      <c r="AR194" t="s">
        <v>13793</v>
      </c>
      <c r="AS194" t="s">
        <v>13794</v>
      </c>
      <c r="AT194" t="s">
        <v>13795</v>
      </c>
      <c r="AU194" t="s">
        <v>13796</v>
      </c>
      <c r="AV194" t="s">
        <v>13797</v>
      </c>
      <c r="AW194" t="s">
        <v>13798</v>
      </c>
      <c r="AX194" t="s">
        <v>13799</v>
      </c>
      <c r="AY194" t="s">
        <v>13800</v>
      </c>
      <c r="AZ194" t="s">
        <v>13801</v>
      </c>
      <c r="BA194" t="s">
        <v>13802</v>
      </c>
      <c r="BB194" t="s">
        <v>13803</v>
      </c>
      <c r="BC194" t="s">
        <v>13804</v>
      </c>
      <c r="BD194" t="s">
        <v>13805</v>
      </c>
      <c r="BE194" t="s">
        <v>13806</v>
      </c>
      <c r="BF194" t="s">
        <v>13807</v>
      </c>
      <c r="BG194" t="s">
        <v>9849</v>
      </c>
      <c r="BH194" t="s">
        <v>13808</v>
      </c>
      <c r="BI194" t="s">
        <v>13809</v>
      </c>
      <c r="BJ194" t="s">
        <v>13810</v>
      </c>
      <c r="BK194" t="s">
        <v>13811</v>
      </c>
      <c r="BL194" t="s">
        <v>13812</v>
      </c>
      <c r="BM194" t="s">
        <v>13813</v>
      </c>
      <c r="BN194" t="s">
        <v>13814</v>
      </c>
      <c r="BO194" t="s">
        <v>13815</v>
      </c>
      <c r="BP194" t="s">
        <v>13816</v>
      </c>
      <c r="BR194" t="s">
        <v>274</v>
      </c>
    </row>
    <row r="195" spans="1:70" x14ac:dyDescent="0.3">
      <c r="A195" t="s">
        <v>146</v>
      </c>
      <c r="B195" t="s">
        <v>3514</v>
      </c>
      <c r="C195" t="s">
        <v>4632</v>
      </c>
      <c r="D195" t="s">
        <v>4633</v>
      </c>
      <c r="F195" t="s">
        <v>13817</v>
      </c>
      <c r="G195" t="s">
        <v>13818</v>
      </c>
      <c r="H195" t="s">
        <v>13819</v>
      </c>
      <c r="I195" t="s">
        <v>13820</v>
      </c>
      <c r="J195" t="s">
        <v>13821</v>
      </c>
      <c r="K195" t="s">
        <v>13822</v>
      </c>
      <c r="L195" t="s">
        <v>13823</v>
      </c>
      <c r="M195" t="s">
        <v>13824</v>
      </c>
      <c r="N195" t="s">
        <v>13825</v>
      </c>
      <c r="O195" t="s">
        <v>9910</v>
      </c>
      <c r="P195" t="s">
        <v>7741</v>
      </c>
      <c r="Q195" t="s">
        <v>13826</v>
      </c>
      <c r="R195" t="s">
        <v>13827</v>
      </c>
      <c r="S195" t="s">
        <v>13828</v>
      </c>
      <c r="T195" t="s">
        <v>13829</v>
      </c>
      <c r="U195" t="s">
        <v>13830</v>
      </c>
      <c r="V195" t="s">
        <v>13831</v>
      </c>
      <c r="W195" t="s">
        <v>13832</v>
      </c>
      <c r="X195" t="s">
        <v>13833</v>
      </c>
      <c r="Y195" t="s">
        <v>13834</v>
      </c>
      <c r="Z195" t="s">
        <v>13835</v>
      </c>
      <c r="AA195" t="s">
        <v>13836</v>
      </c>
      <c r="AB195" t="s">
        <v>13837</v>
      </c>
      <c r="AC195" t="s">
        <v>13838</v>
      </c>
      <c r="AD195" t="s">
        <v>13839</v>
      </c>
      <c r="AE195" t="s">
        <v>13840</v>
      </c>
      <c r="AF195" t="s">
        <v>13841</v>
      </c>
      <c r="AG195" t="s">
        <v>13842</v>
      </c>
      <c r="AH195" t="s">
        <v>13843</v>
      </c>
      <c r="AI195" t="s">
        <v>9929</v>
      </c>
      <c r="AJ195" t="s">
        <v>13844</v>
      </c>
      <c r="AK195" t="s">
        <v>13845</v>
      </c>
      <c r="AL195" t="s">
        <v>13846</v>
      </c>
      <c r="AM195" t="s">
        <v>13847</v>
      </c>
      <c r="AN195" t="s">
        <v>13848</v>
      </c>
      <c r="AO195" t="s">
        <v>13849</v>
      </c>
      <c r="AP195" t="s">
        <v>13850</v>
      </c>
      <c r="AQ195" t="s">
        <v>13851</v>
      </c>
      <c r="AR195" t="s">
        <v>13852</v>
      </c>
      <c r="AS195" t="s">
        <v>13853</v>
      </c>
      <c r="AT195" t="s">
        <v>13854</v>
      </c>
      <c r="AU195" t="s">
        <v>13855</v>
      </c>
      <c r="AV195" t="s">
        <v>9891</v>
      </c>
      <c r="AW195" t="s">
        <v>13856</v>
      </c>
      <c r="AX195" t="s">
        <v>13857</v>
      </c>
      <c r="AY195" t="s">
        <v>13858</v>
      </c>
      <c r="AZ195" t="s">
        <v>13859</v>
      </c>
      <c r="BA195" t="s">
        <v>13860</v>
      </c>
      <c r="BB195" t="s">
        <v>13861</v>
      </c>
      <c r="BC195" t="s">
        <v>13862</v>
      </c>
      <c r="BD195" t="s">
        <v>13863</v>
      </c>
      <c r="BE195" t="s">
        <v>13864</v>
      </c>
      <c r="BF195" t="s">
        <v>9896</v>
      </c>
      <c r="BG195" t="s">
        <v>13865</v>
      </c>
      <c r="BH195" t="s">
        <v>13866</v>
      </c>
      <c r="BI195" t="s">
        <v>7838</v>
      </c>
      <c r="BJ195" t="s">
        <v>13867</v>
      </c>
      <c r="BK195" t="s">
        <v>13868</v>
      </c>
      <c r="BL195" t="s">
        <v>13869</v>
      </c>
      <c r="BM195" t="s">
        <v>13870</v>
      </c>
      <c r="BN195" t="s">
        <v>13871</v>
      </c>
      <c r="BO195" t="s">
        <v>13872</v>
      </c>
      <c r="BP195" t="s">
        <v>13873</v>
      </c>
      <c r="BR195" t="s">
        <v>274</v>
      </c>
    </row>
    <row r="196" spans="1:70" x14ac:dyDescent="0.3">
      <c r="A196" t="s">
        <v>147</v>
      </c>
      <c r="B196" t="s">
        <v>3551</v>
      </c>
      <c r="C196" t="s">
        <v>4632</v>
      </c>
      <c r="D196" t="s">
        <v>4633</v>
      </c>
      <c r="F196" t="s">
        <v>274</v>
      </c>
      <c r="G196" t="s">
        <v>274</v>
      </c>
      <c r="H196" t="s">
        <v>274</v>
      </c>
      <c r="I196" t="s">
        <v>274</v>
      </c>
      <c r="J196" t="s">
        <v>274</v>
      </c>
      <c r="K196" t="s">
        <v>274</v>
      </c>
      <c r="L196" t="s">
        <v>274</v>
      </c>
      <c r="M196" t="s">
        <v>274</v>
      </c>
      <c r="N196" t="s">
        <v>274</v>
      </c>
      <c r="O196" t="s">
        <v>274</v>
      </c>
      <c r="P196" t="s">
        <v>274</v>
      </c>
      <c r="Q196" t="s">
        <v>274</v>
      </c>
      <c r="R196" t="s">
        <v>274</v>
      </c>
      <c r="S196" t="s">
        <v>274</v>
      </c>
      <c r="T196" t="s">
        <v>274</v>
      </c>
      <c r="U196" t="s">
        <v>274</v>
      </c>
      <c r="V196" t="s">
        <v>274</v>
      </c>
      <c r="W196" t="s">
        <v>274</v>
      </c>
      <c r="X196" t="s">
        <v>274</v>
      </c>
      <c r="Y196" t="s">
        <v>274</v>
      </c>
      <c r="Z196" t="s">
        <v>274</v>
      </c>
      <c r="AA196" t="s">
        <v>274</v>
      </c>
      <c r="AB196" t="s">
        <v>274</v>
      </c>
      <c r="AC196" t="s">
        <v>274</v>
      </c>
      <c r="AD196" t="s">
        <v>274</v>
      </c>
      <c r="AE196" t="s">
        <v>274</v>
      </c>
      <c r="AF196" t="s">
        <v>274</v>
      </c>
      <c r="AG196" t="s">
        <v>274</v>
      </c>
      <c r="AH196" t="s">
        <v>274</v>
      </c>
      <c r="AI196" t="s">
        <v>274</v>
      </c>
      <c r="AJ196" t="s">
        <v>13874</v>
      </c>
      <c r="AK196" t="s">
        <v>13875</v>
      </c>
      <c r="AL196" t="s">
        <v>13876</v>
      </c>
      <c r="AM196" t="s">
        <v>6530</v>
      </c>
      <c r="AN196" t="s">
        <v>6531</v>
      </c>
      <c r="AO196" t="s">
        <v>6532</v>
      </c>
      <c r="AP196" t="s">
        <v>13877</v>
      </c>
      <c r="AQ196" t="s">
        <v>13878</v>
      </c>
      <c r="AR196" t="s">
        <v>6535</v>
      </c>
      <c r="AS196" t="s">
        <v>13879</v>
      </c>
      <c r="AT196" t="s">
        <v>13880</v>
      </c>
      <c r="AU196" t="s">
        <v>13881</v>
      </c>
      <c r="AV196" t="s">
        <v>13882</v>
      </c>
      <c r="AW196" t="s">
        <v>6539</v>
      </c>
      <c r="AX196" t="s">
        <v>8348</v>
      </c>
      <c r="AY196" t="s">
        <v>13883</v>
      </c>
      <c r="AZ196" t="s">
        <v>13884</v>
      </c>
      <c r="BA196" t="s">
        <v>13885</v>
      </c>
      <c r="BB196" t="s">
        <v>13886</v>
      </c>
      <c r="BC196" t="s">
        <v>13887</v>
      </c>
      <c r="BD196" t="s">
        <v>6546</v>
      </c>
      <c r="BE196" t="s">
        <v>6547</v>
      </c>
      <c r="BF196" t="s">
        <v>13888</v>
      </c>
      <c r="BG196" t="s">
        <v>13889</v>
      </c>
      <c r="BH196" t="s">
        <v>9440</v>
      </c>
      <c r="BI196" t="s">
        <v>13890</v>
      </c>
      <c r="BJ196" t="s">
        <v>13891</v>
      </c>
      <c r="BK196" t="s">
        <v>13892</v>
      </c>
      <c r="BL196" t="s">
        <v>13893</v>
      </c>
      <c r="BM196" t="s">
        <v>13894</v>
      </c>
      <c r="BN196" t="s">
        <v>6555</v>
      </c>
      <c r="BO196" t="s">
        <v>6556</v>
      </c>
      <c r="BP196" t="s">
        <v>6557</v>
      </c>
      <c r="BR196" t="s">
        <v>274</v>
      </c>
    </row>
    <row r="197" spans="1:70" x14ac:dyDescent="0.3">
      <c r="A197" t="s">
        <v>3552</v>
      </c>
      <c r="B197" t="s">
        <v>3553</v>
      </c>
      <c r="C197" t="s">
        <v>4632</v>
      </c>
      <c r="D197" t="s">
        <v>4633</v>
      </c>
      <c r="F197" t="s">
        <v>11404</v>
      </c>
      <c r="G197" t="s">
        <v>11551</v>
      </c>
      <c r="H197" t="s">
        <v>13895</v>
      </c>
      <c r="I197" t="s">
        <v>10284</v>
      </c>
      <c r="J197" t="s">
        <v>5518</v>
      </c>
      <c r="K197" t="s">
        <v>10286</v>
      </c>
      <c r="L197" t="s">
        <v>13896</v>
      </c>
      <c r="M197" t="s">
        <v>10729</v>
      </c>
      <c r="N197" t="s">
        <v>10027</v>
      </c>
      <c r="O197" t="s">
        <v>9770</v>
      </c>
      <c r="P197" t="s">
        <v>5587</v>
      </c>
      <c r="Q197" t="s">
        <v>9017</v>
      </c>
      <c r="R197" t="s">
        <v>10292</v>
      </c>
      <c r="S197" t="s">
        <v>5527</v>
      </c>
      <c r="T197" t="s">
        <v>13897</v>
      </c>
      <c r="U197" t="s">
        <v>8968</v>
      </c>
      <c r="V197" t="s">
        <v>11177</v>
      </c>
      <c r="W197" t="s">
        <v>9582</v>
      </c>
      <c r="X197" t="s">
        <v>12040</v>
      </c>
      <c r="Y197" t="s">
        <v>13034</v>
      </c>
      <c r="Z197" t="s">
        <v>10742</v>
      </c>
      <c r="AA197" t="s">
        <v>10743</v>
      </c>
      <c r="AB197" t="s">
        <v>13898</v>
      </c>
      <c r="AC197" t="s">
        <v>13899</v>
      </c>
      <c r="AD197" t="s">
        <v>13900</v>
      </c>
      <c r="AE197" t="s">
        <v>13901</v>
      </c>
      <c r="AF197" t="s">
        <v>13902</v>
      </c>
      <c r="AG197" t="s">
        <v>13903</v>
      </c>
      <c r="AH197" t="s">
        <v>13904</v>
      </c>
      <c r="AI197" t="s">
        <v>13905</v>
      </c>
      <c r="AJ197" t="s">
        <v>12051</v>
      </c>
      <c r="AK197" t="s">
        <v>13906</v>
      </c>
      <c r="AL197" t="s">
        <v>5421</v>
      </c>
      <c r="AM197" t="s">
        <v>12760</v>
      </c>
      <c r="AN197" t="s">
        <v>13907</v>
      </c>
      <c r="AO197" t="s">
        <v>8144</v>
      </c>
      <c r="AP197" t="s">
        <v>6985</v>
      </c>
      <c r="AQ197" t="s">
        <v>12056</v>
      </c>
      <c r="AR197" t="s">
        <v>11381</v>
      </c>
      <c r="AS197" t="s">
        <v>6441</v>
      </c>
      <c r="AT197" t="s">
        <v>13908</v>
      </c>
      <c r="AU197" t="s">
        <v>13909</v>
      </c>
      <c r="AV197" t="s">
        <v>13910</v>
      </c>
      <c r="AW197" t="s">
        <v>13911</v>
      </c>
      <c r="AX197" t="s">
        <v>13912</v>
      </c>
      <c r="AY197" t="s">
        <v>11441</v>
      </c>
      <c r="AZ197" t="s">
        <v>13913</v>
      </c>
      <c r="BA197" t="s">
        <v>4804</v>
      </c>
      <c r="BB197" t="s">
        <v>8405</v>
      </c>
      <c r="BC197" t="s">
        <v>11210</v>
      </c>
      <c r="BD197" t="s">
        <v>10770</v>
      </c>
      <c r="BE197" t="s">
        <v>5628</v>
      </c>
      <c r="BF197" t="s">
        <v>6875</v>
      </c>
      <c r="BG197" t="s">
        <v>12369</v>
      </c>
      <c r="BH197" t="s">
        <v>12293</v>
      </c>
      <c r="BI197" t="s">
        <v>6457</v>
      </c>
      <c r="BJ197" t="s">
        <v>13914</v>
      </c>
      <c r="BK197" t="s">
        <v>10777</v>
      </c>
      <c r="BL197" t="s">
        <v>9611</v>
      </c>
      <c r="BM197" t="s">
        <v>13915</v>
      </c>
      <c r="BN197" t="s">
        <v>11448</v>
      </c>
      <c r="BO197" t="s">
        <v>13916</v>
      </c>
      <c r="BP197" t="s">
        <v>8958</v>
      </c>
      <c r="BR197" t="s">
        <v>274</v>
      </c>
    </row>
    <row r="198" spans="1:70" x14ac:dyDescent="0.3">
      <c r="A198" t="s">
        <v>3554</v>
      </c>
      <c r="B198" t="s">
        <v>3555</v>
      </c>
      <c r="C198" t="s">
        <v>4632</v>
      </c>
      <c r="D198" t="s">
        <v>4633</v>
      </c>
      <c r="F198" t="s">
        <v>13917</v>
      </c>
      <c r="G198" t="s">
        <v>13918</v>
      </c>
      <c r="H198" t="s">
        <v>13919</v>
      </c>
      <c r="I198" t="s">
        <v>13920</v>
      </c>
      <c r="J198" t="s">
        <v>13921</v>
      </c>
      <c r="K198" t="s">
        <v>13922</v>
      </c>
      <c r="L198" t="s">
        <v>13923</v>
      </c>
      <c r="M198" t="s">
        <v>13924</v>
      </c>
      <c r="N198" t="s">
        <v>13925</v>
      </c>
      <c r="O198" t="s">
        <v>13926</v>
      </c>
      <c r="P198" t="s">
        <v>11685</v>
      </c>
      <c r="Q198" t="s">
        <v>13927</v>
      </c>
      <c r="R198" t="s">
        <v>13928</v>
      </c>
      <c r="S198" t="s">
        <v>13929</v>
      </c>
      <c r="T198" t="s">
        <v>13930</v>
      </c>
      <c r="U198" t="s">
        <v>13931</v>
      </c>
      <c r="V198" t="s">
        <v>13932</v>
      </c>
      <c r="W198" t="s">
        <v>13933</v>
      </c>
      <c r="X198" t="s">
        <v>13934</v>
      </c>
      <c r="Y198" t="s">
        <v>13935</v>
      </c>
      <c r="Z198" t="s">
        <v>13936</v>
      </c>
      <c r="AA198" t="s">
        <v>13937</v>
      </c>
      <c r="AB198" t="s">
        <v>13938</v>
      </c>
      <c r="AC198" t="s">
        <v>13939</v>
      </c>
      <c r="AD198" t="s">
        <v>13940</v>
      </c>
      <c r="AE198" t="s">
        <v>13941</v>
      </c>
      <c r="AF198" t="s">
        <v>13942</v>
      </c>
      <c r="AG198" t="s">
        <v>13943</v>
      </c>
      <c r="AH198" t="s">
        <v>13944</v>
      </c>
      <c r="AI198" t="s">
        <v>13945</v>
      </c>
      <c r="AJ198" t="s">
        <v>13946</v>
      </c>
      <c r="AK198" t="s">
        <v>13947</v>
      </c>
      <c r="AL198" t="s">
        <v>13948</v>
      </c>
      <c r="AM198" t="s">
        <v>13949</v>
      </c>
      <c r="AN198" t="s">
        <v>13950</v>
      </c>
      <c r="AO198" t="s">
        <v>13951</v>
      </c>
      <c r="AP198" t="s">
        <v>13952</v>
      </c>
      <c r="AQ198" t="s">
        <v>11700</v>
      </c>
      <c r="AR198" t="s">
        <v>13953</v>
      </c>
      <c r="AS198" t="s">
        <v>13954</v>
      </c>
      <c r="AT198" t="s">
        <v>13955</v>
      </c>
      <c r="AU198" t="s">
        <v>13956</v>
      </c>
      <c r="AV198" t="s">
        <v>13957</v>
      </c>
      <c r="AW198" t="s">
        <v>13958</v>
      </c>
      <c r="AX198" t="s">
        <v>13959</v>
      </c>
      <c r="AY198" t="s">
        <v>13960</v>
      </c>
      <c r="AZ198" t="s">
        <v>13961</v>
      </c>
      <c r="BA198" t="s">
        <v>13962</v>
      </c>
      <c r="BB198" t="s">
        <v>13963</v>
      </c>
      <c r="BC198" t="s">
        <v>13964</v>
      </c>
      <c r="BD198" t="s">
        <v>13965</v>
      </c>
      <c r="BE198" t="s">
        <v>13966</v>
      </c>
      <c r="BF198" t="s">
        <v>13967</v>
      </c>
      <c r="BG198" t="s">
        <v>13968</v>
      </c>
      <c r="BH198" t="s">
        <v>13969</v>
      </c>
      <c r="BI198" t="s">
        <v>13970</v>
      </c>
      <c r="BJ198" t="s">
        <v>13971</v>
      </c>
      <c r="BK198" t="s">
        <v>13972</v>
      </c>
      <c r="BL198" t="s">
        <v>13973</v>
      </c>
      <c r="BM198" t="s">
        <v>13974</v>
      </c>
      <c r="BN198" t="s">
        <v>13975</v>
      </c>
      <c r="BO198" t="s">
        <v>13976</v>
      </c>
      <c r="BP198" t="s">
        <v>13977</v>
      </c>
      <c r="BR198" t="s">
        <v>274</v>
      </c>
    </row>
    <row r="199" spans="1:70" x14ac:dyDescent="0.3">
      <c r="A199" t="s">
        <v>3556</v>
      </c>
      <c r="B199" t="s">
        <v>3557</v>
      </c>
      <c r="C199" t="s">
        <v>4632</v>
      </c>
      <c r="D199" t="s">
        <v>4633</v>
      </c>
      <c r="F199" t="s">
        <v>274</v>
      </c>
      <c r="G199" t="s">
        <v>274</v>
      </c>
      <c r="H199" t="s">
        <v>274</v>
      </c>
      <c r="I199" t="s">
        <v>274</v>
      </c>
      <c r="J199" t="s">
        <v>274</v>
      </c>
      <c r="K199" t="s">
        <v>274</v>
      </c>
      <c r="L199" t="s">
        <v>274</v>
      </c>
      <c r="M199" t="s">
        <v>274</v>
      </c>
      <c r="N199" t="s">
        <v>274</v>
      </c>
      <c r="O199" t="s">
        <v>274</v>
      </c>
      <c r="P199" t="s">
        <v>274</v>
      </c>
      <c r="Q199" t="s">
        <v>274</v>
      </c>
      <c r="R199" t="s">
        <v>274</v>
      </c>
      <c r="S199" t="s">
        <v>274</v>
      </c>
      <c r="T199" t="s">
        <v>274</v>
      </c>
      <c r="U199" t="s">
        <v>274</v>
      </c>
      <c r="V199" t="s">
        <v>274</v>
      </c>
      <c r="W199" t="s">
        <v>274</v>
      </c>
      <c r="X199" t="s">
        <v>274</v>
      </c>
      <c r="Y199" t="s">
        <v>274</v>
      </c>
      <c r="Z199" t="s">
        <v>274</v>
      </c>
      <c r="AA199" t="s">
        <v>274</v>
      </c>
      <c r="AB199" t="s">
        <v>274</v>
      </c>
      <c r="AC199" t="s">
        <v>274</v>
      </c>
      <c r="AD199" t="s">
        <v>274</v>
      </c>
      <c r="AE199" t="s">
        <v>274</v>
      </c>
      <c r="AF199" t="s">
        <v>274</v>
      </c>
      <c r="AG199" t="s">
        <v>274</v>
      </c>
      <c r="AH199" t="s">
        <v>274</v>
      </c>
      <c r="AI199" t="s">
        <v>274</v>
      </c>
      <c r="AJ199" t="s">
        <v>274</v>
      </c>
      <c r="AK199" t="s">
        <v>274</v>
      </c>
      <c r="AL199" t="s">
        <v>274</v>
      </c>
      <c r="AM199" t="s">
        <v>274</v>
      </c>
      <c r="AN199" t="s">
        <v>274</v>
      </c>
      <c r="AO199" t="s">
        <v>274</v>
      </c>
      <c r="AP199" t="s">
        <v>274</v>
      </c>
      <c r="AQ199" t="s">
        <v>274</v>
      </c>
      <c r="AR199" t="s">
        <v>274</v>
      </c>
      <c r="AS199" t="s">
        <v>274</v>
      </c>
      <c r="AT199" t="s">
        <v>274</v>
      </c>
      <c r="AU199" t="s">
        <v>274</v>
      </c>
      <c r="AV199" t="s">
        <v>274</v>
      </c>
      <c r="AW199" t="s">
        <v>274</v>
      </c>
      <c r="AX199" t="s">
        <v>274</v>
      </c>
      <c r="AY199" t="s">
        <v>274</v>
      </c>
      <c r="AZ199" t="s">
        <v>274</v>
      </c>
      <c r="BA199" t="s">
        <v>274</v>
      </c>
      <c r="BB199" t="s">
        <v>274</v>
      </c>
      <c r="BC199" t="s">
        <v>274</v>
      </c>
      <c r="BD199" t="s">
        <v>274</v>
      </c>
      <c r="BE199" t="s">
        <v>274</v>
      </c>
      <c r="BF199" t="s">
        <v>274</v>
      </c>
      <c r="BG199" t="s">
        <v>274</v>
      </c>
      <c r="BH199" t="s">
        <v>274</v>
      </c>
      <c r="BI199" t="s">
        <v>274</v>
      </c>
      <c r="BJ199" t="s">
        <v>274</v>
      </c>
      <c r="BK199" t="s">
        <v>274</v>
      </c>
      <c r="BL199" t="s">
        <v>274</v>
      </c>
      <c r="BM199" t="s">
        <v>274</v>
      </c>
      <c r="BN199" t="s">
        <v>274</v>
      </c>
      <c r="BO199" t="s">
        <v>274</v>
      </c>
      <c r="BP199" t="s">
        <v>274</v>
      </c>
      <c r="BR199" t="s">
        <v>274</v>
      </c>
    </row>
    <row r="200" spans="1:70" x14ac:dyDescent="0.3">
      <c r="A200" t="s">
        <v>149</v>
      </c>
      <c r="B200" t="s">
        <v>3558</v>
      </c>
      <c r="C200" t="s">
        <v>4632</v>
      </c>
      <c r="D200" t="s">
        <v>4633</v>
      </c>
      <c r="F200" t="s">
        <v>13978</v>
      </c>
      <c r="G200" t="s">
        <v>13979</v>
      </c>
      <c r="H200" t="s">
        <v>13980</v>
      </c>
      <c r="I200" t="s">
        <v>13981</v>
      </c>
      <c r="J200" t="s">
        <v>13982</v>
      </c>
      <c r="K200" t="s">
        <v>13983</v>
      </c>
      <c r="L200" t="s">
        <v>9408</v>
      </c>
      <c r="M200" t="s">
        <v>13984</v>
      </c>
      <c r="N200" t="s">
        <v>13985</v>
      </c>
      <c r="O200" t="s">
        <v>13986</v>
      </c>
      <c r="P200" t="s">
        <v>13987</v>
      </c>
      <c r="Q200" t="s">
        <v>13988</v>
      </c>
      <c r="R200" t="s">
        <v>8091</v>
      </c>
      <c r="S200" t="s">
        <v>13989</v>
      </c>
      <c r="T200" t="s">
        <v>13990</v>
      </c>
      <c r="U200" t="s">
        <v>13991</v>
      </c>
      <c r="V200" t="s">
        <v>13992</v>
      </c>
      <c r="W200" t="s">
        <v>13993</v>
      </c>
      <c r="X200" t="s">
        <v>13994</v>
      </c>
      <c r="Y200" t="s">
        <v>13995</v>
      </c>
      <c r="Z200" t="s">
        <v>13996</v>
      </c>
      <c r="AA200" t="s">
        <v>13997</v>
      </c>
      <c r="AB200" t="s">
        <v>13998</v>
      </c>
      <c r="AC200" t="s">
        <v>13999</v>
      </c>
      <c r="AD200" t="s">
        <v>14000</v>
      </c>
      <c r="AE200" t="s">
        <v>14001</v>
      </c>
      <c r="AF200" t="s">
        <v>14002</v>
      </c>
      <c r="AG200" t="s">
        <v>14003</v>
      </c>
      <c r="AH200" t="s">
        <v>14004</v>
      </c>
      <c r="AI200" t="s">
        <v>14005</v>
      </c>
      <c r="AJ200" t="s">
        <v>14006</v>
      </c>
      <c r="AK200" t="s">
        <v>14007</v>
      </c>
      <c r="AL200" t="s">
        <v>14008</v>
      </c>
      <c r="AM200" t="s">
        <v>14009</v>
      </c>
      <c r="AN200" t="s">
        <v>14010</v>
      </c>
      <c r="AO200" t="s">
        <v>14011</v>
      </c>
      <c r="AP200" t="s">
        <v>8342</v>
      </c>
      <c r="AQ200" t="s">
        <v>14012</v>
      </c>
      <c r="AR200" t="s">
        <v>14013</v>
      </c>
      <c r="AS200" t="s">
        <v>14014</v>
      </c>
      <c r="AT200" t="s">
        <v>14015</v>
      </c>
      <c r="AU200" t="s">
        <v>14016</v>
      </c>
      <c r="AV200" t="s">
        <v>14017</v>
      </c>
      <c r="AW200" t="s">
        <v>14018</v>
      </c>
      <c r="AX200" t="s">
        <v>14019</v>
      </c>
      <c r="AY200" t="s">
        <v>14020</v>
      </c>
      <c r="AZ200" t="s">
        <v>8350</v>
      </c>
      <c r="BA200" t="s">
        <v>14021</v>
      </c>
      <c r="BB200" t="s">
        <v>14022</v>
      </c>
      <c r="BC200" t="s">
        <v>14023</v>
      </c>
      <c r="BD200" t="s">
        <v>14024</v>
      </c>
      <c r="BE200" t="s">
        <v>14025</v>
      </c>
      <c r="BF200" t="s">
        <v>14026</v>
      </c>
      <c r="BG200" t="s">
        <v>14027</v>
      </c>
      <c r="BH200" t="s">
        <v>14028</v>
      </c>
      <c r="BI200" t="s">
        <v>14029</v>
      </c>
      <c r="BJ200" t="s">
        <v>14030</v>
      </c>
      <c r="BK200" t="s">
        <v>14031</v>
      </c>
      <c r="BL200" t="s">
        <v>14032</v>
      </c>
      <c r="BM200" t="s">
        <v>14033</v>
      </c>
      <c r="BN200" t="s">
        <v>14034</v>
      </c>
      <c r="BO200" t="s">
        <v>14035</v>
      </c>
      <c r="BP200" t="s">
        <v>14036</v>
      </c>
      <c r="BR200" t="s">
        <v>274</v>
      </c>
    </row>
    <row r="201" spans="1:70" x14ac:dyDescent="0.3">
      <c r="A201" t="s">
        <v>150</v>
      </c>
      <c r="B201" t="s">
        <v>3559</v>
      </c>
      <c r="C201" t="s">
        <v>4632</v>
      </c>
      <c r="D201" t="s">
        <v>4633</v>
      </c>
      <c r="F201" t="s">
        <v>14037</v>
      </c>
      <c r="G201" t="s">
        <v>14038</v>
      </c>
      <c r="H201" t="s">
        <v>14039</v>
      </c>
      <c r="I201" t="s">
        <v>14040</v>
      </c>
      <c r="J201" t="s">
        <v>14041</v>
      </c>
      <c r="K201" t="s">
        <v>9767</v>
      </c>
      <c r="L201" t="s">
        <v>14042</v>
      </c>
      <c r="M201" t="s">
        <v>14043</v>
      </c>
      <c r="N201" t="s">
        <v>14044</v>
      </c>
      <c r="O201" t="s">
        <v>14045</v>
      </c>
      <c r="P201" t="s">
        <v>14046</v>
      </c>
      <c r="Q201" t="s">
        <v>14047</v>
      </c>
      <c r="R201" t="s">
        <v>14048</v>
      </c>
      <c r="S201" t="s">
        <v>14049</v>
      </c>
      <c r="T201" t="s">
        <v>14050</v>
      </c>
      <c r="U201" t="s">
        <v>14051</v>
      </c>
      <c r="V201" t="s">
        <v>14052</v>
      </c>
      <c r="W201" t="s">
        <v>14053</v>
      </c>
      <c r="X201" t="s">
        <v>14054</v>
      </c>
      <c r="Y201" t="s">
        <v>14055</v>
      </c>
      <c r="Z201" t="s">
        <v>14056</v>
      </c>
      <c r="AA201" t="s">
        <v>14057</v>
      </c>
      <c r="AB201" t="s">
        <v>14058</v>
      </c>
      <c r="AC201" t="s">
        <v>14059</v>
      </c>
      <c r="AD201" t="s">
        <v>14060</v>
      </c>
      <c r="AE201" t="s">
        <v>14061</v>
      </c>
      <c r="AF201" t="s">
        <v>14062</v>
      </c>
      <c r="AG201" t="s">
        <v>14063</v>
      </c>
      <c r="AH201" t="s">
        <v>14064</v>
      </c>
      <c r="AI201" t="s">
        <v>14065</v>
      </c>
      <c r="AJ201" t="s">
        <v>14066</v>
      </c>
      <c r="AK201" t="s">
        <v>14067</v>
      </c>
      <c r="AL201" t="s">
        <v>14068</v>
      </c>
      <c r="AM201" t="s">
        <v>11080</v>
      </c>
      <c r="AN201" t="s">
        <v>9832</v>
      </c>
      <c r="AO201" t="s">
        <v>14069</v>
      </c>
      <c r="AP201" t="s">
        <v>14070</v>
      </c>
      <c r="AQ201" t="s">
        <v>14071</v>
      </c>
      <c r="AR201" t="s">
        <v>14072</v>
      </c>
      <c r="AS201" t="s">
        <v>14073</v>
      </c>
      <c r="AT201" t="s">
        <v>14074</v>
      </c>
      <c r="AU201" t="s">
        <v>14075</v>
      </c>
      <c r="AV201" t="s">
        <v>14076</v>
      </c>
      <c r="AW201" t="s">
        <v>14077</v>
      </c>
      <c r="AX201" t="s">
        <v>14078</v>
      </c>
      <c r="AY201" t="s">
        <v>14079</v>
      </c>
      <c r="AZ201" t="s">
        <v>14080</v>
      </c>
      <c r="BA201" t="s">
        <v>14081</v>
      </c>
      <c r="BB201" t="s">
        <v>11084</v>
      </c>
      <c r="BC201" t="s">
        <v>14082</v>
      </c>
      <c r="BD201" t="s">
        <v>14083</v>
      </c>
      <c r="BE201" t="s">
        <v>14084</v>
      </c>
      <c r="BF201" t="s">
        <v>14085</v>
      </c>
      <c r="BG201" t="s">
        <v>11087</v>
      </c>
      <c r="BH201" t="s">
        <v>14086</v>
      </c>
      <c r="BI201" t="s">
        <v>14087</v>
      </c>
      <c r="BJ201" t="s">
        <v>14088</v>
      </c>
      <c r="BK201" t="s">
        <v>14089</v>
      </c>
      <c r="BL201" t="s">
        <v>7840</v>
      </c>
      <c r="BM201" t="s">
        <v>14090</v>
      </c>
      <c r="BN201" t="s">
        <v>14091</v>
      </c>
      <c r="BO201" t="s">
        <v>14092</v>
      </c>
      <c r="BP201" t="s">
        <v>14093</v>
      </c>
      <c r="BR201" t="s">
        <v>274</v>
      </c>
    </row>
    <row r="202" spans="1:70" x14ac:dyDescent="0.3">
      <c r="A202" t="s">
        <v>3588</v>
      </c>
      <c r="B202" t="s">
        <v>3589</v>
      </c>
      <c r="C202" t="s">
        <v>4632</v>
      </c>
      <c r="D202" t="s">
        <v>4633</v>
      </c>
      <c r="F202" t="s">
        <v>274</v>
      </c>
      <c r="G202" t="s">
        <v>274</v>
      </c>
      <c r="H202" t="s">
        <v>274</v>
      </c>
      <c r="I202" t="s">
        <v>274</v>
      </c>
      <c r="J202" t="s">
        <v>274</v>
      </c>
      <c r="K202" t="s">
        <v>274</v>
      </c>
      <c r="L202" t="s">
        <v>274</v>
      </c>
      <c r="M202" t="s">
        <v>274</v>
      </c>
      <c r="N202" t="s">
        <v>274</v>
      </c>
      <c r="O202" t="s">
        <v>274</v>
      </c>
      <c r="P202" t="s">
        <v>274</v>
      </c>
      <c r="Q202" t="s">
        <v>274</v>
      </c>
      <c r="R202" t="s">
        <v>274</v>
      </c>
      <c r="S202" t="s">
        <v>274</v>
      </c>
      <c r="T202" t="s">
        <v>274</v>
      </c>
      <c r="U202" t="s">
        <v>274</v>
      </c>
      <c r="V202" t="s">
        <v>274</v>
      </c>
      <c r="W202" t="s">
        <v>274</v>
      </c>
      <c r="X202" t="s">
        <v>274</v>
      </c>
      <c r="Y202" t="s">
        <v>274</v>
      </c>
      <c r="Z202" t="s">
        <v>274</v>
      </c>
      <c r="AA202" t="s">
        <v>274</v>
      </c>
      <c r="AB202" t="s">
        <v>274</v>
      </c>
      <c r="AC202" t="s">
        <v>274</v>
      </c>
      <c r="AD202" t="s">
        <v>274</v>
      </c>
      <c r="AE202" t="s">
        <v>274</v>
      </c>
      <c r="AF202" t="s">
        <v>274</v>
      </c>
      <c r="AG202" t="s">
        <v>274</v>
      </c>
      <c r="AH202" t="s">
        <v>274</v>
      </c>
      <c r="AI202" t="s">
        <v>274</v>
      </c>
      <c r="AJ202" t="s">
        <v>274</v>
      </c>
      <c r="AK202" t="s">
        <v>274</v>
      </c>
      <c r="AL202" t="s">
        <v>274</v>
      </c>
      <c r="AM202" t="s">
        <v>274</v>
      </c>
      <c r="AN202" t="s">
        <v>14094</v>
      </c>
      <c r="AO202" t="s">
        <v>14095</v>
      </c>
      <c r="AP202" t="s">
        <v>14096</v>
      </c>
      <c r="AQ202" t="s">
        <v>14097</v>
      </c>
      <c r="AR202" t="s">
        <v>14098</v>
      </c>
      <c r="AS202" t="s">
        <v>14099</v>
      </c>
      <c r="AT202" t="s">
        <v>14100</v>
      </c>
      <c r="AU202" t="s">
        <v>14101</v>
      </c>
      <c r="AV202" t="s">
        <v>14102</v>
      </c>
      <c r="AW202" t="s">
        <v>14103</v>
      </c>
      <c r="AX202" t="s">
        <v>14104</v>
      </c>
      <c r="AY202" t="s">
        <v>14105</v>
      </c>
      <c r="AZ202" t="s">
        <v>14106</v>
      </c>
      <c r="BA202" t="s">
        <v>14107</v>
      </c>
      <c r="BB202" t="s">
        <v>14108</v>
      </c>
      <c r="BC202" t="s">
        <v>14109</v>
      </c>
      <c r="BD202" t="s">
        <v>14110</v>
      </c>
      <c r="BE202" t="s">
        <v>14111</v>
      </c>
      <c r="BF202" t="s">
        <v>14112</v>
      </c>
      <c r="BG202" t="s">
        <v>11590</v>
      </c>
      <c r="BH202" t="s">
        <v>14113</v>
      </c>
      <c r="BI202" t="s">
        <v>12520</v>
      </c>
      <c r="BJ202" t="s">
        <v>14114</v>
      </c>
      <c r="BK202" t="s">
        <v>14115</v>
      </c>
      <c r="BL202" t="s">
        <v>14116</v>
      </c>
      <c r="BM202" t="s">
        <v>12522</v>
      </c>
      <c r="BN202" t="s">
        <v>14117</v>
      </c>
      <c r="BO202" t="s">
        <v>14118</v>
      </c>
      <c r="BP202" t="s">
        <v>14119</v>
      </c>
      <c r="BR202" t="s">
        <v>274</v>
      </c>
    </row>
    <row r="203" spans="1:70" x14ac:dyDescent="0.3">
      <c r="A203" t="s">
        <v>3608</v>
      </c>
      <c r="B203" t="s">
        <v>3609</v>
      </c>
      <c r="C203" t="s">
        <v>4632</v>
      </c>
      <c r="D203" t="s">
        <v>4633</v>
      </c>
      <c r="F203" t="s">
        <v>274</v>
      </c>
      <c r="G203" t="s">
        <v>274</v>
      </c>
      <c r="H203" t="s">
        <v>274</v>
      </c>
      <c r="I203" t="s">
        <v>274</v>
      </c>
      <c r="J203" t="s">
        <v>274</v>
      </c>
      <c r="K203" t="s">
        <v>274</v>
      </c>
      <c r="L203" t="s">
        <v>274</v>
      </c>
      <c r="M203" t="s">
        <v>274</v>
      </c>
      <c r="N203" t="s">
        <v>274</v>
      </c>
      <c r="O203" t="s">
        <v>274</v>
      </c>
      <c r="P203" t="s">
        <v>14120</v>
      </c>
      <c r="Q203" t="s">
        <v>14121</v>
      </c>
      <c r="R203" t="s">
        <v>14122</v>
      </c>
      <c r="S203" t="s">
        <v>14123</v>
      </c>
      <c r="T203" t="s">
        <v>14124</v>
      </c>
      <c r="U203" t="s">
        <v>7746</v>
      </c>
      <c r="V203" t="s">
        <v>14125</v>
      </c>
      <c r="W203" t="s">
        <v>14126</v>
      </c>
      <c r="X203" t="s">
        <v>14127</v>
      </c>
      <c r="Y203" t="s">
        <v>7750</v>
      </c>
      <c r="Z203" t="s">
        <v>14128</v>
      </c>
      <c r="AA203" t="s">
        <v>9824</v>
      </c>
      <c r="AB203" t="s">
        <v>13777</v>
      </c>
      <c r="AC203" t="s">
        <v>8619</v>
      </c>
      <c r="AD203" t="s">
        <v>13325</v>
      </c>
      <c r="AE203" t="s">
        <v>14129</v>
      </c>
      <c r="AF203" t="s">
        <v>8504</v>
      </c>
      <c r="AG203" t="s">
        <v>7859</v>
      </c>
      <c r="AH203" t="s">
        <v>10877</v>
      </c>
      <c r="AI203" t="s">
        <v>7861</v>
      </c>
      <c r="AJ203" t="s">
        <v>14130</v>
      </c>
      <c r="AK203" t="s">
        <v>14131</v>
      </c>
      <c r="AL203" t="s">
        <v>12235</v>
      </c>
      <c r="AM203" t="s">
        <v>8629</v>
      </c>
      <c r="AN203" t="s">
        <v>13335</v>
      </c>
      <c r="AO203" t="s">
        <v>14132</v>
      </c>
      <c r="AP203" t="s">
        <v>14133</v>
      </c>
      <c r="AQ203" t="s">
        <v>14134</v>
      </c>
      <c r="AR203" t="s">
        <v>10887</v>
      </c>
      <c r="AS203" t="s">
        <v>14135</v>
      </c>
      <c r="AT203" t="s">
        <v>7872</v>
      </c>
      <c r="AU203" t="s">
        <v>14136</v>
      </c>
      <c r="AV203" t="s">
        <v>14137</v>
      </c>
      <c r="AW203" t="s">
        <v>13798</v>
      </c>
      <c r="AX203" t="s">
        <v>14138</v>
      </c>
      <c r="AY203" t="s">
        <v>8519</v>
      </c>
      <c r="AZ203" t="s">
        <v>8642</v>
      </c>
      <c r="BA203" t="s">
        <v>13802</v>
      </c>
      <c r="BB203" t="s">
        <v>10895</v>
      </c>
      <c r="BC203" t="s">
        <v>14139</v>
      </c>
      <c r="BD203" t="s">
        <v>10897</v>
      </c>
      <c r="BE203" t="s">
        <v>14140</v>
      </c>
      <c r="BF203" t="s">
        <v>14141</v>
      </c>
      <c r="BG203" t="s">
        <v>9849</v>
      </c>
      <c r="BH203" t="s">
        <v>14142</v>
      </c>
      <c r="BI203" t="s">
        <v>8527</v>
      </c>
      <c r="BJ203" t="s">
        <v>14143</v>
      </c>
      <c r="BK203" t="s">
        <v>10903</v>
      </c>
      <c r="BL203" t="s">
        <v>14144</v>
      </c>
      <c r="BM203" t="s">
        <v>7788</v>
      </c>
      <c r="BN203" t="s">
        <v>14145</v>
      </c>
      <c r="BO203" t="s">
        <v>8533</v>
      </c>
      <c r="BP203" t="s">
        <v>8658</v>
      </c>
      <c r="BR203" t="s">
        <v>274</v>
      </c>
    </row>
    <row r="204" spans="1:70" x14ac:dyDescent="0.3">
      <c r="A204" t="s">
        <v>3610</v>
      </c>
      <c r="B204" t="s">
        <v>3611</v>
      </c>
      <c r="C204" t="s">
        <v>4632</v>
      </c>
      <c r="D204" t="s">
        <v>4633</v>
      </c>
      <c r="F204" t="s">
        <v>8313</v>
      </c>
      <c r="G204" t="s">
        <v>14146</v>
      </c>
      <c r="H204" t="s">
        <v>14147</v>
      </c>
      <c r="I204" t="s">
        <v>14148</v>
      </c>
      <c r="J204" t="s">
        <v>14149</v>
      </c>
      <c r="K204" t="s">
        <v>14150</v>
      </c>
      <c r="L204" t="s">
        <v>14151</v>
      </c>
      <c r="M204" t="s">
        <v>14152</v>
      </c>
      <c r="N204" t="s">
        <v>14153</v>
      </c>
      <c r="O204" t="s">
        <v>8089</v>
      </c>
      <c r="P204" t="s">
        <v>14154</v>
      </c>
      <c r="Q204" t="s">
        <v>14155</v>
      </c>
      <c r="R204" t="s">
        <v>14156</v>
      </c>
      <c r="S204" t="s">
        <v>14157</v>
      </c>
      <c r="T204" t="s">
        <v>14158</v>
      </c>
      <c r="U204" t="s">
        <v>14159</v>
      </c>
      <c r="V204" t="s">
        <v>14160</v>
      </c>
      <c r="W204" t="s">
        <v>8434</v>
      </c>
      <c r="X204" t="s">
        <v>12862</v>
      </c>
      <c r="Y204" t="s">
        <v>14161</v>
      </c>
      <c r="Z204" t="s">
        <v>14162</v>
      </c>
      <c r="AA204" t="s">
        <v>14163</v>
      </c>
      <c r="AB204" t="s">
        <v>5473</v>
      </c>
      <c r="AC204" t="s">
        <v>6201</v>
      </c>
      <c r="AD204" t="s">
        <v>7578</v>
      </c>
      <c r="AE204" t="s">
        <v>9725</v>
      </c>
      <c r="AF204" t="s">
        <v>14164</v>
      </c>
      <c r="AG204" t="s">
        <v>14165</v>
      </c>
      <c r="AH204" t="s">
        <v>14166</v>
      </c>
      <c r="AI204" t="s">
        <v>14167</v>
      </c>
      <c r="AJ204" t="s">
        <v>14168</v>
      </c>
      <c r="AK204" t="s">
        <v>14169</v>
      </c>
      <c r="AL204" t="s">
        <v>14170</v>
      </c>
      <c r="AM204" t="s">
        <v>13430</v>
      </c>
      <c r="AN204" t="s">
        <v>14171</v>
      </c>
      <c r="AO204" t="s">
        <v>14172</v>
      </c>
      <c r="AP204" t="s">
        <v>14173</v>
      </c>
      <c r="AQ204" t="s">
        <v>14174</v>
      </c>
      <c r="AR204" t="s">
        <v>14175</v>
      </c>
      <c r="AS204" t="s">
        <v>14176</v>
      </c>
      <c r="AT204" t="s">
        <v>14177</v>
      </c>
      <c r="AU204" t="s">
        <v>14178</v>
      </c>
      <c r="AV204" t="s">
        <v>14179</v>
      </c>
      <c r="AW204" t="s">
        <v>14180</v>
      </c>
      <c r="AX204" t="s">
        <v>14181</v>
      </c>
      <c r="AY204" t="s">
        <v>14182</v>
      </c>
      <c r="AZ204" t="s">
        <v>14183</v>
      </c>
      <c r="BA204" t="s">
        <v>13443</v>
      </c>
      <c r="BB204" t="s">
        <v>14184</v>
      </c>
      <c r="BC204" t="s">
        <v>14185</v>
      </c>
      <c r="BD204" t="s">
        <v>14186</v>
      </c>
      <c r="BE204" t="s">
        <v>14187</v>
      </c>
      <c r="BF204" t="s">
        <v>14188</v>
      </c>
      <c r="BG204" t="s">
        <v>14189</v>
      </c>
      <c r="BH204" t="s">
        <v>14190</v>
      </c>
      <c r="BI204" t="s">
        <v>13450</v>
      </c>
      <c r="BJ204" t="s">
        <v>7951</v>
      </c>
      <c r="BK204" t="s">
        <v>9442</v>
      </c>
      <c r="BL204" t="s">
        <v>14191</v>
      </c>
      <c r="BM204" t="s">
        <v>14192</v>
      </c>
      <c r="BN204" t="s">
        <v>14193</v>
      </c>
      <c r="BO204" t="s">
        <v>8139</v>
      </c>
      <c r="BP204" t="s">
        <v>10525</v>
      </c>
      <c r="BR204" t="s">
        <v>274</v>
      </c>
    </row>
    <row r="205" spans="1:70" x14ac:dyDescent="0.3">
      <c r="A205" t="s">
        <v>3612</v>
      </c>
      <c r="B205" t="s">
        <v>3613</v>
      </c>
      <c r="C205" t="s">
        <v>4632</v>
      </c>
      <c r="D205" t="s">
        <v>4633</v>
      </c>
      <c r="F205" t="s">
        <v>274</v>
      </c>
      <c r="G205" t="s">
        <v>274</v>
      </c>
      <c r="H205" t="s">
        <v>274</v>
      </c>
      <c r="I205" t="s">
        <v>274</v>
      </c>
      <c r="J205" t="s">
        <v>274</v>
      </c>
      <c r="K205" t="s">
        <v>14194</v>
      </c>
      <c r="L205" t="s">
        <v>14195</v>
      </c>
      <c r="M205" t="s">
        <v>14196</v>
      </c>
      <c r="N205" t="s">
        <v>14197</v>
      </c>
      <c r="O205" t="s">
        <v>14198</v>
      </c>
      <c r="P205" t="s">
        <v>14199</v>
      </c>
      <c r="Q205" t="s">
        <v>14200</v>
      </c>
      <c r="R205" t="s">
        <v>14201</v>
      </c>
      <c r="S205" t="s">
        <v>14202</v>
      </c>
      <c r="T205" t="s">
        <v>14203</v>
      </c>
      <c r="U205" t="s">
        <v>14204</v>
      </c>
      <c r="V205" t="s">
        <v>14205</v>
      </c>
      <c r="W205" t="s">
        <v>14206</v>
      </c>
      <c r="X205" t="s">
        <v>14207</v>
      </c>
      <c r="Y205" t="s">
        <v>14208</v>
      </c>
      <c r="Z205" t="s">
        <v>14209</v>
      </c>
      <c r="AA205" t="s">
        <v>14210</v>
      </c>
      <c r="AB205" t="s">
        <v>14211</v>
      </c>
      <c r="AC205" t="s">
        <v>14212</v>
      </c>
      <c r="AD205" t="s">
        <v>14213</v>
      </c>
      <c r="AE205" t="s">
        <v>14214</v>
      </c>
      <c r="AF205" t="s">
        <v>14215</v>
      </c>
      <c r="AG205" t="s">
        <v>14216</v>
      </c>
      <c r="AH205" t="s">
        <v>14217</v>
      </c>
      <c r="AI205" t="s">
        <v>14218</v>
      </c>
      <c r="AJ205" t="s">
        <v>14219</v>
      </c>
      <c r="AK205" t="s">
        <v>14220</v>
      </c>
      <c r="AL205" t="s">
        <v>14221</v>
      </c>
      <c r="AM205" t="s">
        <v>14222</v>
      </c>
      <c r="AN205" t="s">
        <v>14223</v>
      </c>
      <c r="AO205" t="s">
        <v>14224</v>
      </c>
      <c r="AP205" t="s">
        <v>14225</v>
      </c>
      <c r="AQ205" t="s">
        <v>14226</v>
      </c>
      <c r="AR205" t="s">
        <v>14227</v>
      </c>
      <c r="AS205" t="s">
        <v>14228</v>
      </c>
      <c r="AT205" t="s">
        <v>14229</v>
      </c>
      <c r="AU205" t="s">
        <v>14230</v>
      </c>
      <c r="AV205" t="s">
        <v>14231</v>
      </c>
      <c r="AW205" t="s">
        <v>14232</v>
      </c>
      <c r="AX205" t="s">
        <v>14233</v>
      </c>
      <c r="AY205" t="s">
        <v>14234</v>
      </c>
      <c r="AZ205" t="s">
        <v>14235</v>
      </c>
      <c r="BA205" t="s">
        <v>14236</v>
      </c>
      <c r="BB205" t="s">
        <v>9436</v>
      </c>
      <c r="BC205" t="s">
        <v>14237</v>
      </c>
      <c r="BD205" t="s">
        <v>14238</v>
      </c>
      <c r="BE205" t="s">
        <v>14239</v>
      </c>
      <c r="BF205" t="s">
        <v>14240</v>
      </c>
      <c r="BG205" t="s">
        <v>14241</v>
      </c>
      <c r="BH205" t="s">
        <v>14242</v>
      </c>
      <c r="BI205" t="s">
        <v>14243</v>
      </c>
      <c r="BJ205" t="s">
        <v>14244</v>
      </c>
      <c r="BK205" t="s">
        <v>14245</v>
      </c>
      <c r="BL205" t="s">
        <v>14246</v>
      </c>
      <c r="BM205" t="s">
        <v>14247</v>
      </c>
      <c r="BN205" t="s">
        <v>14248</v>
      </c>
      <c r="BO205" t="s">
        <v>14249</v>
      </c>
      <c r="BP205" t="s">
        <v>274</v>
      </c>
      <c r="BR205" t="s">
        <v>274</v>
      </c>
    </row>
    <row r="206" spans="1:70" x14ac:dyDescent="0.3">
      <c r="A206" t="s">
        <v>151</v>
      </c>
      <c r="B206" t="s">
        <v>3614</v>
      </c>
      <c r="C206" t="s">
        <v>4632</v>
      </c>
      <c r="D206" t="s">
        <v>4633</v>
      </c>
      <c r="F206" t="s">
        <v>274</v>
      </c>
      <c r="G206" t="s">
        <v>274</v>
      </c>
      <c r="H206" t="s">
        <v>274</v>
      </c>
      <c r="I206" t="s">
        <v>274</v>
      </c>
      <c r="J206" t="s">
        <v>274</v>
      </c>
      <c r="K206" t="s">
        <v>274</v>
      </c>
      <c r="L206" t="s">
        <v>274</v>
      </c>
      <c r="M206" t="s">
        <v>274</v>
      </c>
      <c r="N206" t="s">
        <v>274</v>
      </c>
      <c r="O206" t="s">
        <v>274</v>
      </c>
      <c r="P206" t="s">
        <v>14250</v>
      </c>
      <c r="Q206" t="s">
        <v>14251</v>
      </c>
      <c r="R206" t="s">
        <v>14252</v>
      </c>
      <c r="S206" t="s">
        <v>14253</v>
      </c>
      <c r="T206" t="s">
        <v>14254</v>
      </c>
      <c r="U206" t="s">
        <v>14255</v>
      </c>
      <c r="V206" t="s">
        <v>14256</v>
      </c>
      <c r="W206" t="s">
        <v>14257</v>
      </c>
      <c r="X206" t="s">
        <v>14258</v>
      </c>
      <c r="Y206" t="s">
        <v>14259</v>
      </c>
      <c r="Z206" t="s">
        <v>14260</v>
      </c>
      <c r="AA206" t="s">
        <v>14261</v>
      </c>
      <c r="AB206" t="s">
        <v>14262</v>
      </c>
      <c r="AC206" t="s">
        <v>14263</v>
      </c>
      <c r="AD206" t="s">
        <v>14264</v>
      </c>
      <c r="AE206" t="s">
        <v>14265</v>
      </c>
      <c r="AF206" t="s">
        <v>14266</v>
      </c>
      <c r="AG206" t="s">
        <v>14267</v>
      </c>
      <c r="AH206" t="s">
        <v>14268</v>
      </c>
      <c r="AI206" t="s">
        <v>11696</v>
      </c>
      <c r="AJ206" t="s">
        <v>14269</v>
      </c>
      <c r="AK206" t="s">
        <v>14270</v>
      </c>
      <c r="AL206" t="s">
        <v>14271</v>
      </c>
      <c r="AM206" t="s">
        <v>14272</v>
      </c>
      <c r="AN206" t="s">
        <v>4991</v>
      </c>
      <c r="AO206" t="s">
        <v>4992</v>
      </c>
      <c r="AP206" t="s">
        <v>14273</v>
      </c>
      <c r="AQ206" t="s">
        <v>14274</v>
      </c>
      <c r="AR206" t="s">
        <v>14275</v>
      </c>
      <c r="AS206" t="s">
        <v>14276</v>
      </c>
      <c r="AT206" t="s">
        <v>14277</v>
      </c>
      <c r="AU206" t="s">
        <v>14278</v>
      </c>
      <c r="AV206" t="s">
        <v>14279</v>
      </c>
      <c r="AW206" t="s">
        <v>14280</v>
      </c>
      <c r="AX206" t="s">
        <v>14281</v>
      </c>
      <c r="AY206" t="s">
        <v>14282</v>
      </c>
      <c r="AZ206" t="s">
        <v>14283</v>
      </c>
      <c r="BA206" t="s">
        <v>14284</v>
      </c>
      <c r="BB206" t="s">
        <v>14285</v>
      </c>
      <c r="BC206" t="s">
        <v>14286</v>
      </c>
      <c r="BD206" t="s">
        <v>14287</v>
      </c>
      <c r="BE206" t="s">
        <v>14288</v>
      </c>
      <c r="BF206" t="s">
        <v>14289</v>
      </c>
      <c r="BG206" t="s">
        <v>14290</v>
      </c>
      <c r="BH206" t="s">
        <v>14291</v>
      </c>
      <c r="BI206" t="s">
        <v>14292</v>
      </c>
      <c r="BJ206" t="s">
        <v>14293</v>
      </c>
      <c r="BK206" t="s">
        <v>14294</v>
      </c>
      <c r="BL206" t="s">
        <v>14295</v>
      </c>
      <c r="BM206" t="s">
        <v>14296</v>
      </c>
      <c r="BN206" t="s">
        <v>14297</v>
      </c>
      <c r="BO206" t="s">
        <v>14298</v>
      </c>
      <c r="BP206" t="s">
        <v>14299</v>
      </c>
      <c r="BR206" t="s">
        <v>274</v>
      </c>
    </row>
    <row r="207" spans="1:70" x14ac:dyDescent="0.3">
      <c r="A207" t="s">
        <v>152</v>
      </c>
      <c r="B207" t="s">
        <v>3639</v>
      </c>
      <c r="C207" t="s">
        <v>4632</v>
      </c>
      <c r="D207" t="s">
        <v>4633</v>
      </c>
      <c r="F207" t="s">
        <v>274</v>
      </c>
      <c r="G207" t="s">
        <v>274</v>
      </c>
      <c r="H207" t="s">
        <v>274</v>
      </c>
      <c r="I207" t="s">
        <v>274</v>
      </c>
      <c r="J207" t="s">
        <v>274</v>
      </c>
      <c r="K207" t="s">
        <v>274</v>
      </c>
      <c r="L207" t="s">
        <v>274</v>
      </c>
      <c r="M207" t="s">
        <v>274</v>
      </c>
      <c r="N207" t="s">
        <v>274</v>
      </c>
      <c r="O207" t="s">
        <v>274</v>
      </c>
      <c r="P207" t="s">
        <v>274</v>
      </c>
      <c r="Q207" t="s">
        <v>274</v>
      </c>
      <c r="R207" t="s">
        <v>274</v>
      </c>
      <c r="S207" t="s">
        <v>274</v>
      </c>
      <c r="T207" t="s">
        <v>274</v>
      </c>
      <c r="U207" t="s">
        <v>274</v>
      </c>
      <c r="V207" t="s">
        <v>274</v>
      </c>
      <c r="W207" t="s">
        <v>274</v>
      </c>
      <c r="X207" t="s">
        <v>274</v>
      </c>
      <c r="Y207" t="s">
        <v>274</v>
      </c>
      <c r="Z207" t="s">
        <v>274</v>
      </c>
      <c r="AA207" t="s">
        <v>274</v>
      </c>
      <c r="AB207" t="s">
        <v>274</v>
      </c>
      <c r="AC207" t="s">
        <v>274</v>
      </c>
      <c r="AD207" t="s">
        <v>274</v>
      </c>
      <c r="AE207" t="s">
        <v>274</v>
      </c>
      <c r="AF207" t="s">
        <v>274</v>
      </c>
      <c r="AG207" t="s">
        <v>274</v>
      </c>
      <c r="AH207" t="s">
        <v>274</v>
      </c>
      <c r="AI207" t="s">
        <v>274</v>
      </c>
      <c r="AJ207" t="s">
        <v>14300</v>
      </c>
      <c r="AK207" t="s">
        <v>6529</v>
      </c>
      <c r="AL207" t="s">
        <v>14301</v>
      </c>
      <c r="AM207" t="s">
        <v>14302</v>
      </c>
      <c r="AN207" t="s">
        <v>14303</v>
      </c>
      <c r="AO207" t="s">
        <v>14304</v>
      </c>
      <c r="AP207" t="s">
        <v>14305</v>
      </c>
      <c r="AQ207" t="s">
        <v>14306</v>
      </c>
      <c r="AR207" t="s">
        <v>14307</v>
      </c>
      <c r="AS207" t="s">
        <v>14308</v>
      </c>
      <c r="AT207" t="s">
        <v>14309</v>
      </c>
      <c r="AU207" t="s">
        <v>14310</v>
      </c>
      <c r="AV207" t="s">
        <v>14311</v>
      </c>
      <c r="AW207" t="s">
        <v>14312</v>
      </c>
      <c r="AX207" t="s">
        <v>14313</v>
      </c>
      <c r="AY207" t="s">
        <v>14314</v>
      </c>
      <c r="AZ207" t="s">
        <v>14315</v>
      </c>
      <c r="BA207" t="s">
        <v>14316</v>
      </c>
      <c r="BB207" t="s">
        <v>14317</v>
      </c>
      <c r="BC207" t="s">
        <v>14318</v>
      </c>
      <c r="BD207" t="s">
        <v>14319</v>
      </c>
      <c r="BE207" t="s">
        <v>14320</v>
      </c>
      <c r="BF207" t="s">
        <v>14321</v>
      </c>
      <c r="BG207" t="s">
        <v>14322</v>
      </c>
      <c r="BH207" t="s">
        <v>14323</v>
      </c>
      <c r="BI207" t="s">
        <v>14324</v>
      </c>
      <c r="BJ207" t="s">
        <v>14325</v>
      </c>
      <c r="BK207" t="s">
        <v>14326</v>
      </c>
      <c r="BL207" t="s">
        <v>14327</v>
      </c>
      <c r="BM207" t="s">
        <v>14328</v>
      </c>
      <c r="BN207" t="s">
        <v>11723</v>
      </c>
      <c r="BO207" t="s">
        <v>14329</v>
      </c>
      <c r="BP207" t="s">
        <v>14330</v>
      </c>
      <c r="BR207" t="s">
        <v>274</v>
      </c>
    </row>
    <row r="208" spans="1:70" x14ac:dyDescent="0.3">
      <c r="A208" t="s">
        <v>153</v>
      </c>
      <c r="B208" t="s">
        <v>3672</v>
      </c>
      <c r="C208" t="s">
        <v>4632</v>
      </c>
      <c r="D208" t="s">
        <v>4633</v>
      </c>
      <c r="F208" t="s">
        <v>274</v>
      </c>
      <c r="G208" t="s">
        <v>274</v>
      </c>
      <c r="H208" t="s">
        <v>274</v>
      </c>
      <c r="I208" t="s">
        <v>274</v>
      </c>
      <c r="J208" t="s">
        <v>274</v>
      </c>
      <c r="K208" t="s">
        <v>274</v>
      </c>
      <c r="L208" t="s">
        <v>274</v>
      </c>
      <c r="M208" t="s">
        <v>274</v>
      </c>
      <c r="N208" t="s">
        <v>274</v>
      </c>
      <c r="O208" t="s">
        <v>274</v>
      </c>
      <c r="P208" t="s">
        <v>274</v>
      </c>
      <c r="Q208" t="s">
        <v>274</v>
      </c>
      <c r="R208" t="s">
        <v>274</v>
      </c>
      <c r="S208" t="s">
        <v>274</v>
      </c>
      <c r="T208" t="s">
        <v>274</v>
      </c>
      <c r="U208" t="s">
        <v>274</v>
      </c>
      <c r="V208" t="s">
        <v>274</v>
      </c>
      <c r="W208" t="s">
        <v>274</v>
      </c>
      <c r="X208" t="s">
        <v>274</v>
      </c>
      <c r="Y208" t="s">
        <v>274</v>
      </c>
      <c r="Z208" t="s">
        <v>274</v>
      </c>
      <c r="AA208" t="s">
        <v>274</v>
      </c>
      <c r="AB208" t="s">
        <v>274</v>
      </c>
      <c r="AC208" t="s">
        <v>274</v>
      </c>
      <c r="AD208" t="s">
        <v>274</v>
      </c>
      <c r="AE208" t="s">
        <v>274</v>
      </c>
      <c r="AF208" t="s">
        <v>274</v>
      </c>
      <c r="AG208" t="s">
        <v>274</v>
      </c>
      <c r="AH208" t="s">
        <v>274</v>
      </c>
      <c r="AI208" t="s">
        <v>14331</v>
      </c>
      <c r="AJ208" t="s">
        <v>14332</v>
      </c>
      <c r="AK208" t="s">
        <v>14333</v>
      </c>
      <c r="AL208" t="s">
        <v>14334</v>
      </c>
      <c r="AM208" t="s">
        <v>14335</v>
      </c>
      <c r="AN208" t="s">
        <v>14336</v>
      </c>
      <c r="AO208" t="s">
        <v>14337</v>
      </c>
      <c r="AP208" t="s">
        <v>14338</v>
      </c>
      <c r="AQ208" t="s">
        <v>14339</v>
      </c>
      <c r="AR208" t="s">
        <v>14340</v>
      </c>
      <c r="AS208" t="s">
        <v>14341</v>
      </c>
      <c r="AT208" t="s">
        <v>14342</v>
      </c>
      <c r="AU208" t="s">
        <v>14343</v>
      </c>
      <c r="AV208" t="s">
        <v>14344</v>
      </c>
      <c r="AW208" t="s">
        <v>14345</v>
      </c>
      <c r="AX208" t="s">
        <v>14346</v>
      </c>
      <c r="AY208" t="s">
        <v>14347</v>
      </c>
      <c r="AZ208" t="s">
        <v>14348</v>
      </c>
      <c r="BA208" t="s">
        <v>14349</v>
      </c>
      <c r="BB208" t="s">
        <v>14350</v>
      </c>
      <c r="BC208" t="s">
        <v>14351</v>
      </c>
      <c r="BD208" t="s">
        <v>14352</v>
      </c>
      <c r="BE208" t="s">
        <v>14353</v>
      </c>
      <c r="BF208" t="s">
        <v>14354</v>
      </c>
      <c r="BG208" t="s">
        <v>14355</v>
      </c>
      <c r="BH208" t="s">
        <v>14356</v>
      </c>
      <c r="BI208" t="s">
        <v>14357</v>
      </c>
      <c r="BJ208" t="s">
        <v>14358</v>
      </c>
      <c r="BK208" t="s">
        <v>14359</v>
      </c>
      <c r="BL208" t="s">
        <v>14360</v>
      </c>
      <c r="BM208" t="s">
        <v>14361</v>
      </c>
      <c r="BN208" t="s">
        <v>14362</v>
      </c>
      <c r="BO208" t="s">
        <v>14363</v>
      </c>
      <c r="BP208" t="s">
        <v>14364</v>
      </c>
      <c r="BR208" t="s">
        <v>274</v>
      </c>
    </row>
    <row r="209" spans="1:70" x14ac:dyDescent="0.3">
      <c r="A209" t="s">
        <v>154</v>
      </c>
      <c r="B209" t="s">
        <v>3694</v>
      </c>
      <c r="C209" t="s">
        <v>4632</v>
      </c>
      <c r="D209" t="s">
        <v>4633</v>
      </c>
      <c r="F209" t="s">
        <v>14365</v>
      </c>
      <c r="G209" t="s">
        <v>14366</v>
      </c>
      <c r="H209" t="s">
        <v>14367</v>
      </c>
      <c r="I209" t="s">
        <v>14368</v>
      </c>
      <c r="J209" t="s">
        <v>14369</v>
      </c>
      <c r="K209" t="s">
        <v>14370</v>
      </c>
      <c r="L209" t="s">
        <v>14371</v>
      </c>
      <c r="M209" t="s">
        <v>14372</v>
      </c>
      <c r="N209" t="s">
        <v>14373</v>
      </c>
      <c r="O209" t="s">
        <v>14374</v>
      </c>
      <c r="P209" t="s">
        <v>14375</v>
      </c>
      <c r="Q209" t="s">
        <v>14376</v>
      </c>
      <c r="R209" t="s">
        <v>14377</v>
      </c>
      <c r="S209" t="s">
        <v>9867</v>
      </c>
      <c r="T209" t="s">
        <v>14378</v>
      </c>
      <c r="U209" t="s">
        <v>14379</v>
      </c>
      <c r="V209" t="s">
        <v>14380</v>
      </c>
      <c r="W209" t="s">
        <v>14381</v>
      </c>
      <c r="X209" t="s">
        <v>14382</v>
      </c>
      <c r="Y209" t="s">
        <v>14383</v>
      </c>
      <c r="Z209" t="s">
        <v>14384</v>
      </c>
      <c r="AA209" t="s">
        <v>14385</v>
      </c>
      <c r="AB209" t="s">
        <v>14386</v>
      </c>
      <c r="AC209" t="s">
        <v>14387</v>
      </c>
      <c r="AD209" t="s">
        <v>14388</v>
      </c>
      <c r="AE209" t="s">
        <v>14389</v>
      </c>
      <c r="AF209" t="s">
        <v>14390</v>
      </c>
      <c r="AG209" t="s">
        <v>14391</v>
      </c>
      <c r="AH209" t="s">
        <v>14392</v>
      </c>
      <c r="AI209" t="s">
        <v>14393</v>
      </c>
      <c r="AJ209" t="s">
        <v>4701</v>
      </c>
      <c r="AK209" t="s">
        <v>14394</v>
      </c>
      <c r="AL209" t="s">
        <v>4703</v>
      </c>
      <c r="AM209" t="s">
        <v>11610</v>
      </c>
      <c r="AN209" t="s">
        <v>14395</v>
      </c>
      <c r="AO209" t="s">
        <v>11380</v>
      </c>
      <c r="AP209" t="s">
        <v>14396</v>
      </c>
      <c r="AQ209" t="s">
        <v>14397</v>
      </c>
      <c r="AR209" t="s">
        <v>14398</v>
      </c>
      <c r="AS209" t="s">
        <v>14399</v>
      </c>
      <c r="AT209" t="s">
        <v>14400</v>
      </c>
      <c r="AU209" t="s">
        <v>14401</v>
      </c>
      <c r="AV209" t="s">
        <v>14402</v>
      </c>
      <c r="AW209" t="s">
        <v>14403</v>
      </c>
      <c r="AX209" t="s">
        <v>14404</v>
      </c>
      <c r="AY209" t="s">
        <v>14405</v>
      </c>
      <c r="AZ209" t="s">
        <v>14406</v>
      </c>
      <c r="BA209" t="s">
        <v>14407</v>
      </c>
      <c r="BB209" t="s">
        <v>14408</v>
      </c>
      <c r="BC209" t="s">
        <v>14409</v>
      </c>
      <c r="BD209" t="s">
        <v>14410</v>
      </c>
      <c r="BE209" t="s">
        <v>14411</v>
      </c>
      <c r="BF209" t="s">
        <v>14412</v>
      </c>
      <c r="BG209" t="s">
        <v>14413</v>
      </c>
      <c r="BH209" t="s">
        <v>14414</v>
      </c>
      <c r="BI209" t="s">
        <v>14415</v>
      </c>
      <c r="BJ209" t="s">
        <v>14416</v>
      </c>
      <c r="BK209" t="s">
        <v>14417</v>
      </c>
      <c r="BL209" t="s">
        <v>14418</v>
      </c>
      <c r="BM209" t="s">
        <v>14419</v>
      </c>
      <c r="BN209" t="s">
        <v>14420</v>
      </c>
      <c r="BO209" t="s">
        <v>14421</v>
      </c>
      <c r="BP209" t="s">
        <v>14422</v>
      </c>
      <c r="BR209" t="s">
        <v>274</v>
      </c>
    </row>
    <row r="210" spans="1:70" x14ac:dyDescent="0.3">
      <c r="A210" t="s">
        <v>155</v>
      </c>
      <c r="B210" t="s">
        <v>3721</v>
      </c>
      <c r="C210" t="s">
        <v>4632</v>
      </c>
      <c r="D210" t="s">
        <v>4633</v>
      </c>
      <c r="F210" t="s">
        <v>14423</v>
      </c>
      <c r="G210" t="s">
        <v>13535</v>
      </c>
      <c r="H210" t="s">
        <v>13256</v>
      </c>
      <c r="I210" t="s">
        <v>11491</v>
      </c>
      <c r="J210" t="s">
        <v>5644</v>
      </c>
      <c r="K210" t="s">
        <v>5645</v>
      </c>
      <c r="L210" t="s">
        <v>13539</v>
      </c>
      <c r="M210" t="s">
        <v>9813</v>
      </c>
      <c r="N210" t="s">
        <v>10108</v>
      </c>
      <c r="O210" t="s">
        <v>13542</v>
      </c>
      <c r="P210" t="s">
        <v>6290</v>
      </c>
      <c r="Q210" t="s">
        <v>13544</v>
      </c>
      <c r="R210" t="s">
        <v>6292</v>
      </c>
      <c r="S210" t="s">
        <v>13266</v>
      </c>
      <c r="T210" t="s">
        <v>11502</v>
      </c>
      <c r="U210" t="s">
        <v>10115</v>
      </c>
      <c r="V210" t="s">
        <v>6296</v>
      </c>
      <c r="W210" t="s">
        <v>11602</v>
      </c>
      <c r="X210" t="s">
        <v>5658</v>
      </c>
      <c r="Y210" t="s">
        <v>10119</v>
      </c>
      <c r="Z210" t="s">
        <v>5660</v>
      </c>
      <c r="AA210" t="s">
        <v>13274</v>
      </c>
      <c r="AB210" t="s">
        <v>5662</v>
      </c>
      <c r="AC210" t="s">
        <v>13555</v>
      </c>
      <c r="AD210" t="s">
        <v>6304</v>
      </c>
      <c r="AE210" t="s">
        <v>10125</v>
      </c>
      <c r="AF210" t="s">
        <v>9785</v>
      </c>
      <c r="AG210" t="s">
        <v>11565</v>
      </c>
      <c r="AH210" t="s">
        <v>10127</v>
      </c>
      <c r="AI210" t="s">
        <v>5669</v>
      </c>
      <c r="AJ210" t="s">
        <v>13282</v>
      </c>
      <c r="AK210" t="s">
        <v>11519</v>
      </c>
      <c r="AL210" t="s">
        <v>10131</v>
      </c>
      <c r="AM210" t="s">
        <v>11521</v>
      </c>
      <c r="AN210" t="s">
        <v>6314</v>
      </c>
      <c r="AO210" t="s">
        <v>6315</v>
      </c>
      <c r="AP210" t="s">
        <v>7824</v>
      </c>
      <c r="AQ210" t="s">
        <v>13567</v>
      </c>
      <c r="AR210" t="s">
        <v>11526</v>
      </c>
      <c r="AS210" t="s">
        <v>13289</v>
      </c>
      <c r="AT210" t="s">
        <v>14424</v>
      </c>
      <c r="AU210" t="s">
        <v>14425</v>
      </c>
      <c r="AV210" t="s">
        <v>14426</v>
      </c>
      <c r="AW210" t="s">
        <v>14427</v>
      </c>
      <c r="AX210" t="s">
        <v>14428</v>
      </c>
      <c r="AY210" t="s">
        <v>11388</v>
      </c>
      <c r="AZ210" t="s">
        <v>14429</v>
      </c>
      <c r="BA210" t="s">
        <v>14430</v>
      </c>
      <c r="BB210" t="s">
        <v>14431</v>
      </c>
      <c r="BC210" t="s">
        <v>14432</v>
      </c>
      <c r="BD210" t="s">
        <v>14433</v>
      </c>
      <c r="BE210" t="s">
        <v>14434</v>
      </c>
      <c r="BF210" t="s">
        <v>14435</v>
      </c>
      <c r="BG210" t="s">
        <v>14436</v>
      </c>
      <c r="BH210" t="s">
        <v>14437</v>
      </c>
      <c r="BI210" t="s">
        <v>14438</v>
      </c>
      <c r="BJ210" t="s">
        <v>14439</v>
      </c>
      <c r="BK210" t="s">
        <v>14440</v>
      </c>
      <c r="BL210" t="s">
        <v>14441</v>
      </c>
      <c r="BM210" t="s">
        <v>14442</v>
      </c>
      <c r="BN210" t="s">
        <v>14443</v>
      </c>
      <c r="BO210" t="s">
        <v>14444</v>
      </c>
      <c r="BP210" t="s">
        <v>14445</v>
      </c>
      <c r="BR210" t="s">
        <v>274</v>
      </c>
    </row>
    <row r="211" spans="1:70" x14ac:dyDescent="0.3">
      <c r="A211" t="s">
        <v>156</v>
      </c>
      <c r="B211" t="s">
        <v>3722</v>
      </c>
      <c r="C211" t="s">
        <v>4632</v>
      </c>
      <c r="D211" t="s">
        <v>4633</v>
      </c>
      <c r="F211" t="s">
        <v>14446</v>
      </c>
      <c r="G211" t="s">
        <v>14447</v>
      </c>
      <c r="H211" t="s">
        <v>14448</v>
      </c>
      <c r="I211" t="s">
        <v>14449</v>
      </c>
      <c r="J211" t="s">
        <v>4961</v>
      </c>
      <c r="K211" t="s">
        <v>14450</v>
      </c>
      <c r="L211" t="s">
        <v>14451</v>
      </c>
      <c r="M211" t="s">
        <v>14452</v>
      </c>
      <c r="N211" t="s">
        <v>12129</v>
      </c>
      <c r="O211" t="s">
        <v>14453</v>
      </c>
      <c r="P211" t="s">
        <v>14454</v>
      </c>
      <c r="Q211" t="s">
        <v>14455</v>
      </c>
      <c r="R211" t="s">
        <v>14456</v>
      </c>
      <c r="S211" t="s">
        <v>14457</v>
      </c>
      <c r="T211" t="s">
        <v>14458</v>
      </c>
      <c r="U211" t="s">
        <v>14459</v>
      </c>
      <c r="V211" t="s">
        <v>14460</v>
      </c>
      <c r="W211" t="s">
        <v>4974</v>
      </c>
      <c r="X211" t="s">
        <v>14461</v>
      </c>
      <c r="Y211" t="s">
        <v>14462</v>
      </c>
      <c r="Z211" t="s">
        <v>14463</v>
      </c>
      <c r="AA211" t="s">
        <v>14464</v>
      </c>
      <c r="AB211" t="s">
        <v>14465</v>
      </c>
      <c r="AC211" t="s">
        <v>14466</v>
      </c>
      <c r="AD211" t="s">
        <v>14467</v>
      </c>
      <c r="AE211" t="s">
        <v>14468</v>
      </c>
      <c r="AF211" t="s">
        <v>14469</v>
      </c>
      <c r="AG211" t="s">
        <v>14470</v>
      </c>
      <c r="AH211" t="s">
        <v>14471</v>
      </c>
      <c r="AI211" t="s">
        <v>4986</v>
      </c>
      <c r="AJ211" t="s">
        <v>14472</v>
      </c>
      <c r="AK211" t="s">
        <v>14473</v>
      </c>
      <c r="AL211" t="s">
        <v>14474</v>
      </c>
      <c r="AM211" t="s">
        <v>14475</v>
      </c>
      <c r="AN211" t="s">
        <v>14476</v>
      </c>
      <c r="AO211" t="s">
        <v>14477</v>
      </c>
      <c r="AP211" t="s">
        <v>14478</v>
      </c>
      <c r="AQ211" t="s">
        <v>14479</v>
      </c>
      <c r="AR211" t="s">
        <v>14480</v>
      </c>
      <c r="AS211" t="s">
        <v>14481</v>
      </c>
      <c r="AT211" t="s">
        <v>14482</v>
      </c>
      <c r="AU211" t="s">
        <v>14483</v>
      </c>
      <c r="AV211" t="s">
        <v>14484</v>
      </c>
      <c r="AW211" t="s">
        <v>14485</v>
      </c>
      <c r="AX211" t="s">
        <v>14486</v>
      </c>
      <c r="AY211" t="s">
        <v>14487</v>
      </c>
      <c r="AZ211" t="s">
        <v>5003</v>
      </c>
      <c r="BA211" t="s">
        <v>14488</v>
      </c>
      <c r="BB211" t="s">
        <v>14489</v>
      </c>
      <c r="BC211" t="s">
        <v>14490</v>
      </c>
      <c r="BD211" t="s">
        <v>14491</v>
      </c>
      <c r="BE211" t="s">
        <v>14492</v>
      </c>
      <c r="BF211" t="s">
        <v>14493</v>
      </c>
      <c r="BG211" t="s">
        <v>14494</v>
      </c>
      <c r="BH211" t="s">
        <v>14495</v>
      </c>
      <c r="BI211" t="s">
        <v>14496</v>
      </c>
      <c r="BJ211" t="s">
        <v>14497</v>
      </c>
      <c r="BK211" t="s">
        <v>14498</v>
      </c>
      <c r="BL211" t="s">
        <v>14499</v>
      </c>
      <c r="BM211" t="s">
        <v>14500</v>
      </c>
      <c r="BN211" t="s">
        <v>12161</v>
      </c>
      <c r="BO211" t="s">
        <v>14501</v>
      </c>
      <c r="BP211" t="s">
        <v>14502</v>
      </c>
      <c r="BR211" t="s">
        <v>274</v>
      </c>
    </row>
    <row r="212" spans="1:70" x14ac:dyDescent="0.3">
      <c r="A212" t="s">
        <v>3723</v>
      </c>
      <c r="B212" t="s">
        <v>3724</v>
      </c>
      <c r="C212" t="s">
        <v>4632</v>
      </c>
      <c r="D212" t="s">
        <v>4633</v>
      </c>
      <c r="F212" t="s">
        <v>14503</v>
      </c>
      <c r="G212" t="s">
        <v>10023</v>
      </c>
      <c r="H212" t="s">
        <v>14504</v>
      </c>
      <c r="I212" t="s">
        <v>11406</v>
      </c>
      <c r="J212" t="s">
        <v>14505</v>
      </c>
      <c r="K212" t="s">
        <v>14506</v>
      </c>
      <c r="L212" t="s">
        <v>14507</v>
      </c>
      <c r="M212" t="s">
        <v>8367</v>
      </c>
      <c r="N212" t="s">
        <v>14508</v>
      </c>
      <c r="O212" t="s">
        <v>14509</v>
      </c>
      <c r="P212" t="s">
        <v>14510</v>
      </c>
      <c r="Q212" t="s">
        <v>14511</v>
      </c>
      <c r="R212" t="s">
        <v>14512</v>
      </c>
      <c r="S212" t="s">
        <v>10031</v>
      </c>
      <c r="T212" t="s">
        <v>14513</v>
      </c>
      <c r="U212" t="s">
        <v>14514</v>
      </c>
      <c r="V212" t="s">
        <v>14515</v>
      </c>
      <c r="W212" t="s">
        <v>14516</v>
      </c>
      <c r="X212" t="s">
        <v>14517</v>
      </c>
      <c r="Y212" t="s">
        <v>14518</v>
      </c>
      <c r="Z212" t="s">
        <v>14519</v>
      </c>
      <c r="AA212" t="s">
        <v>14520</v>
      </c>
      <c r="AB212" t="s">
        <v>14521</v>
      </c>
      <c r="AC212" t="s">
        <v>14522</v>
      </c>
      <c r="AD212" t="s">
        <v>14523</v>
      </c>
      <c r="AE212" t="s">
        <v>14524</v>
      </c>
      <c r="AF212" t="s">
        <v>14525</v>
      </c>
      <c r="AG212" t="s">
        <v>14526</v>
      </c>
      <c r="AH212" t="s">
        <v>14527</v>
      </c>
      <c r="AI212" t="s">
        <v>14528</v>
      </c>
      <c r="AJ212" t="s">
        <v>14529</v>
      </c>
      <c r="AK212" t="s">
        <v>14530</v>
      </c>
      <c r="AL212" t="s">
        <v>14531</v>
      </c>
      <c r="AM212" t="s">
        <v>14532</v>
      </c>
      <c r="AN212" t="s">
        <v>14533</v>
      </c>
      <c r="AO212" t="s">
        <v>14534</v>
      </c>
      <c r="AP212" t="s">
        <v>14535</v>
      </c>
      <c r="AQ212" t="s">
        <v>14536</v>
      </c>
      <c r="AR212" t="s">
        <v>14537</v>
      </c>
      <c r="AS212" t="s">
        <v>11435</v>
      </c>
      <c r="AT212" t="s">
        <v>14538</v>
      </c>
      <c r="AU212" t="s">
        <v>14539</v>
      </c>
      <c r="AV212" t="s">
        <v>14540</v>
      </c>
      <c r="AW212" t="s">
        <v>14541</v>
      </c>
      <c r="AX212" t="s">
        <v>14542</v>
      </c>
      <c r="AY212" t="s">
        <v>4716</v>
      </c>
      <c r="AZ212" t="s">
        <v>14543</v>
      </c>
      <c r="BA212" t="s">
        <v>14544</v>
      </c>
      <c r="BB212" t="s">
        <v>8405</v>
      </c>
      <c r="BC212" t="s">
        <v>14545</v>
      </c>
      <c r="BD212" t="s">
        <v>14546</v>
      </c>
      <c r="BE212" t="s">
        <v>14547</v>
      </c>
      <c r="BF212" t="s">
        <v>14548</v>
      </c>
      <c r="BG212" t="s">
        <v>14549</v>
      </c>
      <c r="BH212" t="s">
        <v>14550</v>
      </c>
      <c r="BI212" t="s">
        <v>14551</v>
      </c>
      <c r="BJ212" t="s">
        <v>14552</v>
      </c>
      <c r="BK212" t="s">
        <v>14553</v>
      </c>
      <c r="BL212" t="s">
        <v>14554</v>
      </c>
      <c r="BM212" t="s">
        <v>14555</v>
      </c>
      <c r="BN212" t="s">
        <v>14556</v>
      </c>
      <c r="BO212" t="s">
        <v>14557</v>
      </c>
      <c r="BP212" t="s">
        <v>14558</v>
      </c>
      <c r="BR212" t="s">
        <v>274</v>
      </c>
    </row>
    <row r="213" spans="1:70" x14ac:dyDescent="0.3">
      <c r="A213" t="s">
        <v>158</v>
      </c>
      <c r="B213" t="s">
        <v>3725</v>
      </c>
      <c r="C213" t="s">
        <v>4632</v>
      </c>
      <c r="D213" t="s">
        <v>4633</v>
      </c>
      <c r="F213" t="s">
        <v>14559</v>
      </c>
      <c r="G213" t="s">
        <v>14560</v>
      </c>
      <c r="H213" t="s">
        <v>14561</v>
      </c>
      <c r="I213" t="s">
        <v>14562</v>
      </c>
      <c r="J213" t="s">
        <v>14563</v>
      </c>
      <c r="K213" t="s">
        <v>14564</v>
      </c>
      <c r="L213" t="s">
        <v>9577</v>
      </c>
      <c r="M213" t="s">
        <v>14565</v>
      </c>
      <c r="N213" t="s">
        <v>14566</v>
      </c>
      <c r="O213" t="s">
        <v>14567</v>
      </c>
      <c r="P213" t="s">
        <v>14568</v>
      </c>
      <c r="Q213" t="s">
        <v>14569</v>
      </c>
      <c r="R213" t="s">
        <v>14570</v>
      </c>
      <c r="S213" t="s">
        <v>14571</v>
      </c>
      <c r="T213" t="s">
        <v>14572</v>
      </c>
      <c r="U213" t="s">
        <v>14573</v>
      </c>
      <c r="V213" t="s">
        <v>14574</v>
      </c>
      <c r="W213" t="s">
        <v>11558</v>
      </c>
      <c r="X213" t="s">
        <v>14575</v>
      </c>
      <c r="Y213" t="s">
        <v>14576</v>
      </c>
      <c r="Z213" t="s">
        <v>14577</v>
      </c>
      <c r="AA213" t="s">
        <v>14578</v>
      </c>
      <c r="AB213" t="s">
        <v>14579</v>
      </c>
      <c r="AC213" t="s">
        <v>14580</v>
      </c>
      <c r="AD213" t="s">
        <v>14581</v>
      </c>
      <c r="AE213" t="s">
        <v>14582</v>
      </c>
      <c r="AF213" t="s">
        <v>14583</v>
      </c>
      <c r="AG213" t="s">
        <v>14584</v>
      </c>
      <c r="AH213" t="s">
        <v>14585</v>
      </c>
      <c r="AI213" t="s">
        <v>14586</v>
      </c>
      <c r="AJ213" t="s">
        <v>14587</v>
      </c>
      <c r="AK213" t="s">
        <v>14588</v>
      </c>
      <c r="AL213" t="s">
        <v>14589</v>
      </c>
      <c r="AM213" t="s">
        <v>14590</v>
      </c>
      <c r="AN213" t="s">
        <v>14591</v>
      </c>
      <c r="AO213" t="s">
        <v>14592</v>
      </c>
      <c r="AP213" t="s">
        <v>14593</v>
      </c>
      <c r="AQ213" t="s">
        <v>14594</v>
      </c>
      <c r="AR213" t="s">
        <v>14595</v>
      </c>
      <c r="AS213" t="s">
        <v>14596</v>
      </c>
      <c r="AT213" t="s">
        <v>14597</v>
      </c>
      <c r="AU213" t="s">
        <v>14598</v>
      </c>
      <c r="AV213" t="s">
        <v>14599</v>
      </c>
      <c r="AW213" t="s">
        <v>14600</v>
      </c>
      <c r="AX213" t="s">
        <v>14601</v>
      </c>
      <c r="AY213" t="s">
        <v>14602</v>
      </c>
      <c r="AZ213" t="s">
        <v>14603</v>
      </c>
      <c r="BA213" t="s">
        <v>14604</v>
      </c>
      <c r="BB213" t="s">
        <v>14605</v>
      </c>
      <c r="BC213" t="s">
        <v>14606</v>
      </c>
      <c r="BD213" t="s">
        <v>14607</v>
      </c>
      <c r="BE213" t="s">
        <v>14608</v>
      </c>
      <c r="BF213" t="s">
        <v>14609</v>
      </c>
      <c r="BG213" t="s">
        <v>14610</v>
      </c>
      <c r="BH213" t="s">
        <v>14611</v>
      </c>
      <c r="BI213" t="s">
        <v>14612</v>
      </c>
      <c r="BJ213" t="s">
        <v>14613</v>
      </c>
      <c r="BK213" t="s">
        <v>14614</v>
      </c>
      <c r="BL213" t="s">
        <v>14615</v>
      </c>
      <c r="BM213" t="s">
        <v>14616</v>
      </c>
      <c r="BN213" t="s">
        <v>14617</v>
      </c>
      <c r="BO213" t="s">
        <v>14618</v>
      </c>
      <c r="BP213" t="s">
        <v>14619</v>
      </c>
      <c r="BR213" t="s">
        <v>274</v>
      </c>
    </row>
    <row r="214" spans="1:70" x14ac:dyDescent="0.3">
      <c r="A214" t="s">
        <v>160</v>
      </c>
      <c r="B214" t="s">
        <v>3726</v>
      </c>
      <c r="C214" t="s">
        <v>4632</v>
      </c>
      <c r="D214" t="s">
        <v>4633</v>
      </c>
      <c r="F214" t="s">
        <v>14620</v>
      </c>
      <c r="G214" t="s">
        <v>14621</v>
      </c>
      <c r="H214" t="s">
        <v>14622</v>
      </c>
      <c r="I214" t="s">
        <v>14623</v>
      </c>
      <c r="J214" t="s">
        <v>14624</v>
      </c>
      <c r="K214" t="s">
        <v>14625</v>
      </c>
      <c r="L214" t="s">
        <v>14626</v>
      </c>
      <c r="M214" t="s">
        <v>14627</v>
      </c>
      <c r="N214" t="s">
        <v>14628</v>
      </c>
      <c r="O214" t="s">
        <v>14629</v>
      </c>
      <c r="P214" t="s">
        <v>14630</v>
      </c>
      <c r="Q214" t="s">
        <v>14631</v>
      </c>
      <c r="R214" t="s">
        <v>14632</v>
      </c>
      <c r="S214" t="s">
        <v>14633</v>
      </c>
      <c r="T214" t="s">
        <v>14634</v>
      </c>
      <c r="U214" t="s">
        <v>14635</v>
      </c>
      <c r="V214" t="s">
        <v>14636</v>
      </c>
      <c r="W214" t="s">
        <v>14637</v>
      </c>
      <c r="X214" t="s">
        <v>14638</v>
      </c>
      <c r="Y214" t="s">
        <v>14161</v>
      </c>
      <c r="Z214" t="s">
        <v>14639</v>
      </c>
      <c r="AA214" t="s">
        <v>14640</v>
      </c>
      <c r="AB214" t="s">
        <v>14641</v>
      </c>
      <c r="AC214" t="s">
        <v>14642</v>
      </c>
      <c r="AD214" t="s">
        <v>14643</v>
      </c>
      <c r="AE214" t="s">
        <v>14644</v>
      </c>
      <c r="AF214" t="s">
        <v>14645</v>
      </c>
      <c r="AG214" t="s">
        <v>14646</v>
      </c>
      <c r="AH214" t="s">
        <v>14647</v>
      </c>
      <c r="AI214" t="s">
        <v>14648</v>
      </c>
      <c r="AJ214" t="s">
        <v>14649</v>
      </c>
      <c r="AK214" t="s">
        <v>14650</v>
      </c>
      <c r="AL214" t="s">
        <v>14651</v>
      </c>
      <c r="AM214" t="s">
        <v>14652</v>
      </c>
      <c r="AN214" t="s">
        <v>14653</v>
      </c>
      <c r="AO214" t="s">
        <v>14654</v>
      </c>
      <c r="AP214" t="s">
        <v>14655</v>
      </c>
      <c r="AQ214" t="s">
        <v>14656</v>
      </c>
      <c r="AR214" t="s">
        <v>14657</v>
      </c>
      <c r="AS214" t="s">
        <v>14658</v>
      </c>
      <c r="AT214" t="s">
        <v>14659</v>
      </c>
      <c r="AU214" t="s">
        <v>14660</v>
      </c>
      <c r="AV214" t="s">
        <v>14661</v>
      </c>
      <c r="AW214" t="s">
        <v>14662</v>
      </c>
      <c r="AX214" t="s">
        <v>14663</v>
      </c>
      <c r="AY214" t="s">
        <v>14664</v>
      </c>
      <c r="AZ214" t="s">
        <v>14665</v>
      </c>
      <c r="BA214" t="s">
        <v>14666</v>
      </c>
      <c r="BB214" t="s">
        <v>14667</v>
      </c>
      <c r="BC214" t="s">
        <v>14668</v>
      </c>
      <c r="BD214" t="s">
        <v>14669</v>
      </c>
      <c r="BE214" t="s">
        <v>14670</v>
      </c>
      <c r="BF214" t="s">
        <v>14671</v>
      </c>
      <c r="BG214" t="s">
        <v>14672</v>
      </c>
      <c r="BH214" t="s">
        <v>14673</v>
      </c>
      <c r="BI214" t="s">
        <v>14674</v>
      </c>
      <c r="BJ214" t="s">
        <v>14675</v>
      </c>
      <c r="BK214" t="s">
        <v>14676</v>
      </c>
      <c r="BL214" t="s">
        <v>14677</v>
      </c>
      <c r="BM214" t="s">
        <v>14678</v>
      </c>
      <c r="BN214" t="s">
        <v>14679</v>
      </c>
      <c r="BO214" t="s">
        <v>14680</v>
      </c>
      <c r="BP214" t="s">
        <v>14681</v>
      </c>
      <c r="BR214" t="s">
        <v>274</v>
      </c>
    </row>
    <row r="215" spans="1:70" x14ac:dyDescent="0.3">
      <c r="A215" t="s">
        <v>161</v>
      </c>
      <c r="B215" t="s">
        <v>3754</v>
      </c>
      <c r="C215" t="s">
        <v>4632</v>
      </c>
      <c r="D215" t="s">
        <v>4633</v>
      </c>
      <c r="F215" t="s">
        <v>274</v>
      </c>
      <c r="G215" t="s">
        <v>274</v>
      </c>
      <c r="H215" t="s">
        <v>274</v>
      </c>
      <c r="I215" t="s">
        <v>274</v>
      </c>
      <c r="J215" t="s">
        <v>274</v>
      </c>
      <c r="K215" t="s">
        <v>274</v>
      </c>
      <c r="L215" t="s">
        <v>274</v>
      </c>
      <c r="M215" t="s">
        <v>274</v>
      </c>
      <c r="N215" t="s">
        <v>274</v>
      </c>
      <c r="O215" t="s">
        <v>274</v>
      </c>
      <c r="P215" t="s">
        <v>274</v>
      </c>
      <c r="Q215" t="s">
        <v>274</v>
      </c>
      <c r="R215" t="s">
        <v>274</v>
      </c>
      <c r="S215" t="s">
        <v>274</v>
      </c>
      <c r="T215" t="s">
        <v>274</v>
      </c>
      <c r="U215" t="s">
        <v>274</v>
      </c>
      <c r="V215" t="s">
        <v>274</v>
      </c>
      <c r="W215" t="s">
        <v>274</v>
      </c>
      <c r="X215" t="s">
        <v>274</v>
      </c>
      <c r="Y215" t="s">
        <v>274</v>
      </c>
      <c r="Z215" t="s">
        <v>14682</v>
      </c>
      <c r="AA215" t="s">
        <v>14683</v>
      </c>
      <c r="AB215" t="s">
        <v>7856</v>
      </c>
      <c r="AC215" t="s">
        <v>8382</v>
      </c>
      <c r="AD215" t="s">
        <v>14684</v>
      </c>
      <c r="AE215" t="s">
        <v>14129</v>
      </c>
      <c r="AF215" t="s">
        <v>11376</v>
      </c>
      <c r="AG215" t="s">
        <v>14685</v>
      </c>
      <c r="AH215" t="s">
        <v>14686</v>
      </c>
      <c r="AI215" t="s">
        <v>14687</v>
      </c>
      <c r="AJ215" t="s">
        <v>7761</v>
      </c>
      <c r="AK215" t="s">
        <v>14688</v>
      </c>
      <c r="AL215" t="s">
        <v>14689</v>
      </c>
      <c r="AM215" t="s">
        <v>14690</v>
      </c>
      <c r="AN215" t="s">
        <v>14691</v>
      </c>
      <c r="AO215" t="s">
        <v>14692</v>
      </c>
      <c r="AP215" t="s">
        <v>14693</v>
      </c>
      <c r="AQ215" t="s">
        <v>14694</v>
      </c>
      <c r="AR215" t="s">
        <v>14695</v>
      </c>
      <c r="AS215" t="s">
        <v>14696</v>
      </c>
      <c r="AT215" t="s">
        <v>14697</v>
      </c>
      <c r="AU215" t="s">
        <v>14698</v>
      </c>
      <c r="AV215" t="s">
        <v>14699</v>
      </c>
      <c r="AW215" t="s">
        <v>14700</v>
      </c>
      <c r="AX215" t="s">
        <v>14701</v>
      </c>
      <c r="AY215" t="s">
        <v>12287</v>
      </c>
      <c r="AZ215" t="s">
        <v>14702</v>
      </c>
      <c r="BA215" t="s">
        <v>14703</v>
      </c>
      <c r="BB215" t="s">
        <v>7832</v>
      </c>
      <c r="BC215" t="s">
        <v>14704</v>
      </c>
      <c r="BD215" t="s">
        <v>14705</v>
      </c>
      <c r="BE215" t="s">
        <v>14706</v>
      </c>
      <c r="BF215" t="s">
        <v>14707</v>
      </c>
      <c r="BG215" t="s">
        <v>14708</v>
      </c>
      <c r="BH215" t="s">
        <v>14142</v>
      </c>
      <c r="BI215" t="s">
        <v>14709</v>
      </c>
      <c r="BJ215" t="s">
        <v>14143</v>
      </c>
      <c r="BK215" t="s">
        <v>14710</v>
      </c>
      <c r="BL215" t="s">
        <v>14144</v>
      </c>
      <c r="BM215" t="s">
        <v>14711</v>
      </c>
      <c r="BN215" t="s">
        <v>14712</v>
      </c>
      <c r="BO215" t="s">
        <v>14713</v>
      </c>
      <c r="BP215" t="s">
        <v>7791</v>
      </c>
      <c r="BR215" t="s">
        <v>274</v>
      </c>
    </row>
    <row r="216" spans="1:70" x14ac:dyDescent="0.3">
      <c r="A216" t="s">
        <v>162</v>
      </c>
      <c r="B216" t="s">
        <v>3773</v>
      </c>
      <c r="C216" t="s">
        <v>4632</v>
      </c>
      <c r="D216" t="s">
        <v>4633</v>
      </c>
      <c r="F216" t="s">
        <v>14714</v>
      </c>
      <c r="G216" t="s">
        <v>14715</v>
      </c>
      <c r="H216" t="s">
        <v>14716</v>
      </c>
      <c r="I216" t="s">
        <v>14717</v>
      </c>
      <c r="J216" t="s">
        <v>14718</v>
      </c>
      <c r="K216" t="s">
        <v>14719</v>
      </c>
      <c r="L216" t="s">
        <v>14720</v>
      </c>
      <c r="M216" t="s">
        <v>14721</v>
      </c>
      <c r="N216" t="s">
        <v>14722</v>
      </c>
      <c r="O216" t="s">
        <v>14723</v>
      </c>
      <c r="P216" t="s">
        <v>14724</v>
      </c>
      <c r="Q216" t="s">
        <v>11597</v>
      </c>
      <c r="R216" t="s">
        <v>14725</v>
      </c>
      <c r="S216" t="s">
        <v>14726</v>
      </c>
      <c r="T216" t="s">
        <v>13897</v>
      </c>
      <c r="U216" t="s">
        <v>11368</v>
      </c>
      <c r="V216" t="s">
        <v>14727</v>
      </c>
      <c r="W216" t="s">
        <v>14728</v>
      </c>
      <c r="X216" t="s">
        <v>14729</v>
      </c>
      <c r="Y216" t="s">
        <v>14730</v>
      </c>
      <c r="Z216" t="s">
        <v>11371</v>
      </c>
      <c r="AA216" t="s">
        <v>14731</v>
      </c>
      <c r="AB216" t="s">
        <v>14732</v>
      </c>
      <c r="AC216" t="s">
        <v>14733</v>
      </c>
      <c r="AD216" t="s">
        <v>14734</v>
      </c>
      <c r="AE216" t="s">
        <v>14735</v>
      </c>
      <c r="AF216" t="s">
        <v>14736</v>
      </c>
      <c r="AG216" t="s">
        <v>14737</v>
      </c>
      <c r="AH216" t="s">
        <v>14738</v>
      </c>
      <c r="AI216" t="s">
        <v>14739</v>
      </c>
      <c r="AJ216" t="s">
        <v>14740</v>
      </c>
      <c r="AK216" t="s">
        <v>14741</v>
      </c>
      <c r="AL216" t="s">
        <v>14742</v>
      </c>
      <c r="AM216" t="s">
        <v>14743</v>
      </c>
      <c r="AN216" t="s">
        <v>14744</v>
      </c>
      <c r="AO216" t="s">
        <v>14745</v>
      </c>
      <c r="AP216" t="s">
        <v>14746</v>
      </c>
      <c r="AQ216" t="s">
        <v>14747</v>
      </c>
      <c r="AR216" t="s">
        <v>14748</v>
      </c>
      <c r="AS216" t="s">
        <v>14749</v>
      </c>
      <c r="AT216" t="s">
        <v>14750</v>
      </c>
      <c r="AU216" t="s">
        <v>14751</v>
      </c>
      <c r="AV216" t="s">
        <v>14752</v>
      </c>
      <c r="AW216" t="s">
        <v>14753</v>
      </c>
      <c r="AX216" t="s">
        <v>14754</v>
      </c>
      <c r="AY216" t="s">
        <v>14755</v>
      </c>
      <c r="AZ216" t="s">
        <v>14756</v>
      </c>
      <c r="BA216" t="s">
        <v>10055</v>
      </c>
      <c r="BB216" t="s">
        <v>14757</v>
      </c>
      <c r="BC216" t="s">
        <v>14758</v>
      </c>
      <c r="BD216" t="s">
        <v>14759</v>
      </c>
      <c r="BE216" t="s">
        <v>14760</v>
      </c>
      <c r="BF216" t="s">
        <v>14761</v>
      </c>
      <c r="BG216" t="s">
        <v>11444</v>
      </c>
      <c r="BH216" t="s">
        <v>14762</v>
      </c>
      <c r="BI216" t="s">
        <v>14763</v>
      </c>
      <c r="BJ216" t="s">
        <v>14764</v>
      </c>
      <c r="BK216" t="s">
        <v>14765</v>
      </c>
      <c r="BL216" t="s">
        <v>14766</v>
      </c>
      <c r="BM216" t="s">
        <v>14767</v>
      </c>
      <c r="BN216" t="s">
        <v>14768</v>
      </c>
      <c r="BO216" t="s">
        <v>14769</v>
      </c>
      <c r="BP216" t="s">
        <v>14770</v>
      </c>
      <c r="BR216" t="s">
        <v>274</v>
      </c>
    </row>
    <row r="217" spans="1:70" x14ac:dyDescent="0.3">
      <c r="A217" t="s">
        <v>163</v>
      </c>
      <c r="B217" t="s">
        <v>3802</v>
      </c>
      <c r="C217" t="s">
        <v>4632</v>
      </c>
      <c r="D217" t="s">
        <v>4633</v>
      </c>
      <c r="F217" t="s">
        <v>274</v>
      </c>
      <c r="G217" t="s">
        <v>274</v>
      </c>
      <c r="H217" t="s">
        <v>274</v>
      </c>
      <c r="I217" t="s">
        <v>274</v>
      </c>
      <c r="J217" t="s">
        <v>274</v>
      </c>
      <c r="K217" t="s">
        <v>14771</v>
      </c>
      <c r="L217" t="s">
        <v>14772</v>
      </c>
      <c r="M217" t="s">
        <v>14773</v>
      </c>
      <c r="N217" t="s">
        <v>14774</v>
      </c>
      <c r="O217" t="s">
        <v>14775</v>
      </c>
      <c r="P217" t="s">
        <v>14776</v>
      </c>
      <c r="Q217" t="s">
        <v>14777</v>
      </c>
      <c r="R217" t="s">
        <v>14778</v>
      </c>
      <c r="S217" t="s">
        <v>14779</v>
      </c>
      <c r="T217" t="s">
        <v>14780</v>
      </c>
      <c r="U217" t="s">
        <v>14781</v>
      </c>
      <c r="V217" t="s">
        <v>14782</v>
      </c>
      <c r="W217" t="s">
        <v>14783</v>
      </c>
      <c r="X217" t="s">
        <v>14784</v>
      </c>
      <c r="Y217" t="s">
        <v>14785</v>
      </c>
      <c r="Z217" t="s">
        <v>14786</v>
      </c>
      <c r="AA217" t="s">
        <v>14787</v>
      </c>
      <c r="AB217" t="s">
        <v>14788</v>
      </c>
      <c r="AC217" t="s">
        <v>14789</v>
      </c>
      <c r="AD217" t="s">
        <v>14790</v>
      </c>
      <c r="AE217" t="s">
        <v>14791</v>
      </c>
      <c r="AF217" t="s">
        <v>14792</v>
      </c>
      <c r="AG217" t="s">
        <v>14793</v>
      </c>
      <c r="AH217" t="s">
        <v>14794</v>
      </c>
      <c r="AI217" t="s">
        <v>14795</v>
      </c>
      <c r="AJ217" t="s">
        <v>14796</v>
      </c>
      <c r="AK217" t="s">
        <v>14797</v>
      </c>
      <c r="AL217" t="s">
        <v>14798</v>
      </c>
      <c r="AM217" t="s">
        <v>14799</v>
      </c>
      <c r="AN217" t="s">
        <v>14800</v>
      </c>
      <c r="AO217" t="s">
        <v>14801</v>
      </c>
      <c r="AP217" t="s">
        <v>14802</v>
      </c>
      <c r="AQ217" t="s">
        <v>14803</v>
      </c>
      <c r="AR217" t="s">
        <v>14804</v>
      </c>
      <c r="AS217" t="s">
        <v>14805</v>
      </c>
      <c r="AT217" t="s">
        <v>14806</v>
      </c>
      <c r="AU217" t="s">
        <v>14807</v>
      </c>
      <c r="AV217" t="s">
        <v>14808</v>
      </c>
      <c r="AW217" t="s">
        <v>14809</v>
      </c>
      <c r="AX217" t="s">
        <v>14810</v>
      </c>
      <c r="AY217" t="s">
        <v>14811</v>
      </c>
      <c r="AZ217" t="s">
        <v>14812</v>
      </c>
      <c r="BA217" t="s">
        <v>14813</v>
      </c>
      <c r="BB217" t="s">
        <v>14814</v>
      </c>
      <c r="BC217" t="s">
        <v>14815</v>
      </c>
      <c r="BD217" t="s">
        <v>11085</v>
      </c>
      <c r="BE217" t="s">
        <v>14816</v>
      </c>
      <c r="BF217" t="s">
        <v>14817</v>
      </c>
      <c r="BG217" t="s">
        <v>14818</v>
      </c>
      <c r="BH217" t="s">
        <v>14819</v>
      </c>
      <c r="BI217" t="s">
        <v>14820</v>
      </c>
      <c r="BJ217" t="s">
        <v>14821</v>
      </c>
      <c r="BK217" t="s">
        <v>14822</v>
      </c>
      <c r="BL217" t="s">
        <v>14823</v>
      </c>
      <c r="BM217" t="s">
        <v>14824</v>
      </c>
      <c r="BN217" t="s">
        <v>14825</v>
      </c>
      <c r="BO217" t="s">
        <v>14826</v>
      </c>
      <c r="BP217" t="s">
        <v>14827</v>
      </c>
      <c r="BR217" t="s">
        <v>274</v>
      </c>
    </row>
    <row r="218" spans="1:70" x14ac:dyDescent="0.3">
      <c r="A218" t="s">
        <v>229</v>
      </c>
      <c r="B218" t="s">
        <v>3803</v>
      </c>
      <c r="C218" t="s">
        <v>4632</v>
      </c>
      <c r="D218" t="s">
        <v>4633</v>
      </c>
      <c r="F218" t="s">
        <v>274</v>
      </c>
      <c r="G218" t="s">
        <v>274</v>
      </c>
      <c r="H218" t="s">
        <v>274</v>
      </c>
      <c r="I218" t="s">
        <v>274</v>
      </c>
      <c r="J218" t="s">
        <v>274</v>
      </c>
      <c r="K218" t="s">
        <v>274</v>
      </c>
      <c r="L218" t="s">
        <v>274</v>
      </c>
      <c r="M218" t="s">
        <v>274</v>
      </c>
      <c r="N218" t="s">
        <v>274</v>
      </c>
      <c r="O218" t="s">
        <v>274</v>
      </c>
      <c r="P218" t="s">
        <v>274</v>
      </c>
      <c r="Q218" t="s">
        <v>274</v>
      </c>
      <c r="R218" t="s">
        <v>274</v>
      </c>
      <c r="S218" t="s">
        <v>274</v>
      </c>
      <c r="T218" t="s">
        <v>274</v>
      </c>
      <c r="U218" t="s">
        <v>274</v>
      </c>
      <c r="V218" t="s">
        <v>274</v>
      </c>
      <c r="W218" t="s">
        <v>274</v>
      </c>
      <c r="X218" t="s">
        <v>274</v>
      </c>
      <c r="Y218" t="s">
        <v>274</v>
      </c>
      <c r="Z218" t="s">
        <v>274</v>
      </c>
      <c r="AA218" t="s">
        <v>274</v>
      </c>
      <c r="AB218" t="s">
        <v>274</v>
      </c>
      <c r="AC218" t="s">
        <v>274</v>
      </c>
      <c r="AD218" t="s">
        <v>274</v>
      </c>
      <c r="AE218" t="s">
        <v>274</v>
      </c>
      <c r="AF218" t="s">
        <v>274</v>
      </c>
      <c r="AG218" t="s">
        <v>274</v>
      </c>
      <c r="AH218" t="s">
        <v>274</v>
      </c>
      <c r="AI218" t="s">
        <v>274</v>
      </c>
      <c r="AJ218" t="s">
        <v>274</v>
      </c>
      <c r="AK218" t="s">
        <v>274</v>
      </c>
      <c r="AL218" t="s">
        <v>274</v>
      </c>
      <c r="AM218" t="s">
        <v>274</v>
      </c>
      <c r="AN218" t="s">
        <v>274</v>
      </c>
      <c r="AO218" t="s">
        <v>274</v>
      </c>
      <c r="AP218" t="s">
        <v>274</v>
      </c>
      <c r="AQ218" t="s">
        <v>14828</v>
      </c>
      <c r="AR218" t="s">
        <v>14829</v>
      </c>
      <c r="AS218" t="s">
        <v>14830</v>
      </c>
      <c r="AT218" t="s">
        <v>14831</v>
      </c>
      <c r="AU218" t="s">
        <v>14832</v>
      </c>
      <c r="AV218" t="s">
        <v>14833</v>
      </c>
      <c r="AW218" t="s">
        <v>14834</v>
      </c>
      <c r="AX218" t="s">
        <v>14835</v>
      </c>
      <c r="AY218" t="s">
        <v>14836</v>
      </c>
      <c r="AZ218" t="s">
        <v>14837</v>
      </c>
      <c r="BA218" t="s">
        <v>14838</v>
      </c>
      <c r="BB218" t="s">
        <v>14839</v>
      </c>
      <c r="BC218" t="s">
        <v>14840</v>
      </c>
      <c r="BD218" t="s">
        <v>14841</v>
      </c>
      <c r="BE218" t="s">
        <v>14842</v>
      </c>
      <c r="BF218" t="s">
        <v>14843</v>
      </c>
      <c r="BG218" t="s">
        <v>14844</v>
      </c>
      <c r="BH218" t="s">
        <v>14845</v>
      </c>
      <c r="BI218" t="s">
        <v>14846</v>
      </c>
      <c r="BJ218" t="s">
        <v>14847</v>
      </c>
      <c r="BK218" t="s">
        <v>14848</v>
      </c>
      <c r="BL218" t="s">
        <v>14849</v>
      </c>
      <c r="BM218" t="s">
        <v>14850</v>
      </c>
      <c r="BN218" t="s">
        <v>14851</v>
      </c>
      <c r="BO218" t="s">
        <v>14852</v>
      </c>
      <c r="BP218" t="s">
        <v>274</v>
      </c>
      <c r="BR218" t="s">
        <v>274</v>
      </c>
    </row>
    <row r="219" spans="1:70" x14ac:dyDescent="0.3">
      <c r="A219" t="s">
        <v>164</v>
      </c>
      <c r="B219" t="s">
        <v>3826</v>
      </c>
      <c r="C219" t="s">
        <v>4632</v>
      </c>
      <c r="D219" t="s">
        <v>4633</v>
      </c>
      <c r="F219" t="s">
        <v>14853</v>
      </c>
      <c r="G219" t="s">
        <v>14854</v>
      </c>
      <c r="H219" t="s">
        <v>4959</v>
      </c>
      <c r="I219" t="s">
        <v>14855</v>
      </c>
      <c r="J219" t="s">
        <v>14856</v>
      </c>
      <c r="K219" t="s">
        <v>14857</v>
      </c>
      <c r="L219" t="s">
        <v>14858</v>
      </c>
      <c r="M219" t="s">
        <v>14859</v>
      </c>
      <c r="N219" t="s">
        <v>14860</v>
      </c>
      <c r="O219" t="s">
        <v>14861</v>
      </c>
      <c r="P219" t="s">
        <v>14862</v>
      </c>
      <c r="Q219" t="s">
        <v>14863</v>
      </c>
      <c r="R219" t="s">
        <v>14864</v>
      </c>
      <c r="S219" t="s">
        <v>11599</v>
      </c>
      <c r="T219" t="s">
        <v>14865</v>
      </c>
      <c r="U219" t="s">
        <v>14866</v>
      </c>
      <c r="V219" t="s">
        <v>4973</v>
      </c>
      <c r="W219" t="s">
        <v>14867</v>
      </c>
      <c r="X219" t="s">
        <v>14868</v>
      </c>
      <c r="Y219" t="s">
        <v>14869</v>
      </c>
      <c r="Z219" t="s">
        <v>14870</v>
      </c>
      <c r="AA219" t="s">
        <v>14871</v>
      </c>
      <c r="AB219" t="s">
        <v>14872</v>
      </c>
      <c r="AC219" t="s">
        <v>14873</v>
      </c>
      <c r="AD219" t="s">
        <v>14874</v>
      </c>
      <c r="AE219" t="s">
        <v>14875</v>
      </c>
      <c r="AF219" t="s">
        <v>14876</v>
      </c>
      <c r="AG219" t="s">
        <v>14877</v>
      </c>
      <c r="AH219" t="s">
        <v>14878</v>
      </c>
      <c r="AI219" t="s">
        <v>14879</v>
      </c>
      <c r="AJ219" t="s">
        <v>14880</v>
      </c>
      <c r="AK219" t="s">
        <v>14881</v>
      </c>
      <c r="AL219" t="s">
        <v>14882</v>
      </c>
      <c r="AM219" t="s">
        <v>14883</v>
      </c>
      <c r="AN219" t="s">
        <v>14884</v>
      </c>
      <c r="AO219" t="s">
        <v>14885</v>
      </c>
      <c r="AP219" t="s">
        <v>14886</v>
      </c>
      <c r="AQ219" t="s">
        <v>14887</v>
      </c>
      <c r="AR219" t="s">
        <v>14888</v>
      </c>
      <c r="AS219" t="s">
        <v>14889</v>
      </c>
      <c r="AT219" t="s">
        <v>14890</v>
      </c>
      <c r="AU219" t="s">
        <v>14891</v>
      </c>
      <c r="AV219" t="s">
        <v>9604</v>
      </c>
      <c r="AW219" t="s">
        <v>9892</v>
      </c>
      <c r="AX219" t="s">
        <v>14892</v>
      </c>
      <c r="AY219" t="s">
        <v>14893</v>
      </c>
      <c r="AZ219" t="s">
        <v>14894</v>
      </c>
      <c r="BA219" t="s">
        <v>14895</v>
      </c>
      <c r="BB219" t="s">
        <v>14896</v>
      </c>
      <c r="BC219" t="s">
        <v>14897</v>
      </c>
      <c r="BD219" t="s">
        <v>14898</v>
      </c>
      <c r="BE219" t="s">
        <v>14899</v>
      </c>
      <c r="BF219" t="s">
        <v>14900</v>
      </c>
      <c r="BG219" t="s">
        <v>14901</v>
      </c>
      <c r="BH219" t="s">
        <v>14902</v>
      </c>
      <c r="BI219" t="s">
        <v>9608</v>
      </c>
      <c r="BJ219" t="s">
        <v>14903</v>
      </c>
      <c r="BK219" t="s">
        <v>14904</v>
      </c>
      <c r="BL219" t="s">
        <v>14905</v>
      </c>
      <c r="BM219" t="s">
        <v>14906</v>
      </c>
      <c r="BN219" t="s">
        <v>14907</v>
      </c>
      <c r="BO219" t="s">
        <v>13916</v>
      </c>
      <c r="BP219" t="s">
        <v>14908</v>
      </c>
      <c r="BR219" t="s">
        <v>274</v>
      </c>
    </row>
    <row r="220" spans="1:70" x14ac:dyDescent="0.3">
      <c r="A220" t="s">
        <v>3828</v>
      </c>
      <c r="B220" t="s">
        <v>3829</v>
      </c>
      <c r="C220" t="s">
        <v>4632</v>
      </c>
      <c r="D220" t="s">
        <v>4633</v>
      </c>
      <c r="F220" t="s">
        <v>274</v>
      </c>
      <c r="G220" t="s">
        <v>274</v>
      </c>
      <c r="H220" t="s">
        <v>274</v>
      </c>
      <c r="I220" t="s">
        <v>274</v>
      </c>
      <c r="J220" t="s">
        <v>274</v>
      </c>
      <c r="K220" t="s">
        <v>274</v>
      </c>
      <c r="L220" t="s">
        <v>274</v>
      </c>
      <c r="M220" t="s">
        <v>274</v>
      </c>
      <c r="N220" t="s">
        <v>274</v>
      </c>
      <c r="O220" t="s">
        <v>274</v>
      </c>
      <c r="P220" t="s">
        <v>274</v>
      </c>
      <c r="Q220" t="s">
        <v>274</v>
      </c>
      <c r="R220" t="s">
        <v>274</v>
      </c>
      <c r="S220" t="s">
        <v>274</v>
      </c>
      <c r="T220" t="s">
        <v>274</v>
      </c>
      <c r="U220" t="s">
        <v>274</v>
      </c>
      <c r="V220" t="s">
        <v>274</v>
      </c>
      <c r="W220" t="s">
        <v>274</v>
      </c>
      <c r="X220" t="s">
        <v>274</v>
      </c>
      <c r="Y220" t="s">
        <v>274</v>
      </c>
      <c r="Z220" t="s">
        <v>274</v>
      </c>
      <c r="AA220" t="s">
        <v>274</v>
      </c>
      <c r="AB220" t="s">
        <v>274</v>
      </c>
      <c r="AC220" t="s">
        <v>274</v>
      </c>
      <c r="AD220" t="s">
        <v>274</v>
      </c>
      <c r="AE220" t="s">
        <v>274</v>
      </c>
      <c r="AF220" t="s">
        <v>274</v>
      </c>
      <c r="AG220" t="s">
        <v>274</v>
      </c>
      <c r="AH220" t="s">
        <v>274</v>
      </c>
      <c r="AI220" t="s">
        <v>274</v>
      </c>
      <c r="AJ220" t="s">
        <v>274</v>
      </c>
      <c r="AK220" t="s">
        <v>274</v>
      </c>
      <c r="AL220" t="s">
        <v>274</v>
      </c>
      <c r="AM220" t="s">
        <v>274</v>
      </c>
      <c r="AN220" t="s">
        <v>274</v>
      </c>
      <c r="AO220" t="s">
        <v>14909</v>
      </c>
      <c r="AP220" t="s">
        <v>14910</v>
      </c>
      <c r="AQ220" t="s">
        <v>14911</v>
      </c>
      <c r="AR220" t="s">
        <v>14912</v>
      </c>
      <c r="AS220" t="s">
        <v>14913</v>
      </c>
      <c r="AT220" t="s">
        <v>14914</v>
      </c>
      <c r="AU220" t="s">
        <v>14915</v>
      </c>
      <c r="AV220" t="s">
        <v>14916</v>
      </c>
      <c r="AW220" t="s">
        <v>14917</v>
      </c>
      <c r="AX220" t="s">
        <v>14918</v>
      </c>
      <c r="AY220" t="s">
        <v>14919</v>
      </c>
      <c r="AZ220" t="s">
        <v>14920</v>
      </c>
      <c r="BA220" t="s">
        <v>11618</v>
      </c>
      <c r="BB220" t="s">
        <v>14921</v>
      </c>
      <c r="BC220" t="s">
        <v>14922</v>
      </c>
      <c r="BD220" t="s">
        <v>14923</v>
      </c>
      <c r="BE220" t="s">
        <v>14924</v>
      </c>
      <c r="BF220" t="s">
        <v>14925</v>
      </c>
      <c r="BG220" t="s">
        <v>14926</v>
      </c>
      <c r="BH220" t="s">
        <v>14927</v>
      </c>
      <c r="BI220" t="s">
        <v>14928</v>
      </c>
      <c r="BJ220" t="s">
        <v>14929</v>
      </c>
      <c r="BK220" t="s">
        <v>14930</v>
      </c>
      <c r="BL220" t="s">
        <v>14931</v>
      </c>
      <c r="BM220" t="s">
        <v>12295</v>
      </c>
      <c r="BN220" t="s">
        <v>14932</v>
      </c>
      <c r="BO220" t="s">
        <v>14933</v>
      </c>
      <c r="BP220" t="s">
        <v>14934</v>
      </c>
      <c r="BR220" t="s">
        <v>274</v>
      </c>
    </row>
    <row r="221" spans="1:70" x14ac:dyDescent="0.3">
      <c r="A221" t="s">
        <v>3844</v>
      </c>
      <c r="B221" t="s">
        <v>3845</v>
      </c>
      <c r="C221" t="s">
        <v>4632</v>
      </c>
      <c r="D221" t="s">
        <v>4633</v>
      </c>
      <c r="F221" t="s">
        <v>4757</v>
      </c>
      <c r="G221" t="s">
        <v>11630</v>
      </c>
      <c r="H221" t="s">
        <v>6763</v>
      </c>
      <c r="I221" t="s">
        <v>6889</v>
      </c>
      <c r="J221" t="s">
        <v>8254</v>
      </c>
      <c r="K221" t="s">
        <v>14935</v>
      </c>
      <c r="L221" t="s">
        <v>14936</v>
      </c>
      <c r="M221" t="s">
        <v>8367</v>
      </c>
      <c r="N221" t="s">
        <v>11410</v>
      </c>
      <c r="O221" t="s">
        <v>14937</v>
      </c>
      <c r="P221" t="s">
        <v>12032</v>
      </c>
      <c r="Q221" t="s">
        <v>8371</v>
      </c>
      <c r="R221" t="s">
        <v>10734</v>
      </c>
      <c r="S221" t="s">
        <v>14726</v>
      </c>
      <c r="T221" t="s">
        <v>14938</v>
      </c>
      <c r="U221" t="s">
        <v>14939</v>
      </c>
      <c r="V221" t="s">
        <v>14940</v>
      </c>
      <c r="W221" t="s">
        <v>11369</v>
      </c>
      <c r="X221" t="s">
        <v>12338</v>
      </c>
      <c r="Y221" t="s">
        <v>14941</v>
      </c>
      <c r="Z221" t="s">
        <v>9584</v>
      </c>
      <c r="AA221" t="s">
        <v>10743</v>
      </c>
      <c r="AB221" t="s">
        <v>11373</v>
      </c>
      <c r="AC221" t="s">
        <v>14942</v>
      </c>
      <c r="AD221" t="s">
        <v>13900</v>
      </c>
      <c r="AE221" t="s">
        <v>14943</v>
      </c>
      <c r="AF221" t="s">
        <v>14944</v>
      </c>
      <c r="AG221" t="s">
        <v>14945</v>
      </c>
      <c r="AH221" t="s">
        <v>14946</v>
      </c>
      <c r="AI221" t="s">
        <v>12278</v>
      </c>
      <c r="AJ221" t="s">
        <v>14947</v>
      </c>
      <c r="AK221" t="s">
        <v>14394</v>
      </c>
      <c r="AL221" t="s">
        <v>12280</v>
      </c>
      <c r="AM221" t="s">
        <v>14948</v>
      </c>
      <c r="AN221" t="s">
        <v>10047</v>
      </c>
      <c r="AO221" t="s">
        <v>14949</v>
      </c>
      <c r="AP221" t="s">
        <v>14950</v>
      </c>
      <c r="AQ221" t="s">
        <v>14951</v>
      </c>
      <c r="AR221" t="s">
        <v>14952</v>
      </c>
      <c r="AS221" t="s">
        <v>14953</v>
      </c>
      <c r="AT221" t="s">
        <v>14954</v>
      </c>
      <c r="AU221" t="s">
        <v>14955</v>
      </c>
      <c r="AV221" t="s">
        <v>14956</v>
      </c>
      <c r="AW221" t="s">
        <v>14957</v>
      </c>
      <c r="AX221" t="s">
        <v>14958</v>
      </c>
      <c r="AY221" t="s">
        <v>9841</v>
      </c>
      <c r="AZ221" t="s">
        <v>13913</v>
      </c>
      <c r="BA221" t="s">
        <v>14959</v>
      </c>
      <c r="BB221" t="s">
        <v>9895</v>
      </c>
      <c r="BC221" t="s">
        <v>9002</v>
      </c>
      <c r="BD221" t="s">
        <v>11392</v>
      </c>
      <c r="BE221" t="s">
        <v>12068</v>
      </c>
      <c r="BF221" t="s">
        <v>9607</v>
      </c>
      <c r="BG221" t="s">
        <v>8949</v>
      </c>
      <c r="BH221" t="s">
        <v>8950</v>
      </c>
      <c r="BI221" t="s">
        <v>14960</v>
      </c>
      <c r="BJ221" t="s">
        <v>12072</v>
      </c>
      <c r="BK221" t="s">
        <v>10777</v>
      </c>
      <c r="BL221" t="s">
        <v>14961</v>
      </c>
      <c r="BM221" t="s">
        <v>8955</v>
      </c>
      <c r="BN221" t="s">
        <v>14962</v>
      </c>
      <c r="BO221" t="s">
        <v>9613</v>
      </c>
      <c r="BP221" t="s">
        <v>14963</v>
      </c>
      <c r="BR221" t="s">
        <v>274</v>
      </c>
    </row>
    <row r="222" spans="1:70" x14ac:dyDescent="0.3">
      <c r="A222" t="s">
        <v>3846</v>
      </c>
      <c r="B222" t="s">
        <v>3847</v>
      </c>
      <c r="C222" t="s">
        <v>4632</v>
      </c>
      <c r="D222" t="s">
        <v>4633</v>
      </c>
      <c r="F222" t="s">
        <v>274</v>
      </c>
      <c r="G222" t="s">
        <v>274</v>
      </c>
      <c r="H222" t="s">
        <v>274</v>
      </c>
      <c r="I222" t="s">
        <v>274</v>
      </c>
      <c r="J222" t="s">
        <v>274</v>
      </c>
      <c r="K222" t="s">
        <v>274</v>
      </c>
      <c r="L222" t="s">
        <v>274</v>
      </c>
      <c r="M222" t="s">
        <v>274</v>
      </c>
      <c r="N222" t="s">
        <v>274</v>
      </c>
      <c r="O222" t="s">
        <v>274</v>
      </c>
      <c r="P222" t="s">
        <v>274</v>
      </c>
      <c r="Q222" t="s">
        <v>274</v>
      </c>
      <c r="R222" t="s">
        <v>274</v>
      </c>
      <c r="S222" t="s">
        <v>274</v>
      </c>
      <c r="T222" t="s">
        <v>274</v>
      </c>
      <c r="U222" t="s">
        <v>274</v>
      </c>
      <c r="V222" t="s">
        <v>274</v>
      </c>
      <c r="W222" t="s">
        <v>274</v>
      </c>
      <c r="X222" t="s">
        <v>274</v>
      </c>
      <c r="Y222" t="s">
        <v>274</v>
      </c>
      <c r="Z222" t="s">
        <v>274</v>
      </c>
      <c r="AA222" t="s">
        <v>274</v>
      </c>
      <c r="AB222" t="s">
        <v>274</v>
      </c>
      <c r="AC222" t="s">
        <v>274</v>
      </c>
      <c r="AD222" t="s">
        <v>274</v>
      </c>
      <c r="AE222" t="s">
        <v>274</v>
      </c>
      <c r="AF222" t="s">
        <v>274</v>
      </c>
      <c r="AG222" t="s">
        <v>274</v>
      </c>
      <c r="AH222" t="s">
        <v>274</v>
      </c>
      <c r="AI222" t="s">
        <v>274</v>
      </c>
      <c r="AJ222" t="s">
        <v>274</v>
      </c>
      <c r="AK222" t="s">
        <v>274</v>
      </c>
      <c r="AL222" t="s">
        <v>274</v>
      </c>
      <c r="AM222" t="s">
        <v>274</v>
      </c>
      <c r="AN222" t="s">
        <v>274</v>
      </c>
      <c r="AO222" t="s">
        <v>274</v>
      </c>
      <c r="AP222" t="s">
        <v>274</v>
      </c>
      <c r="AQ222" t="s">
        <v>274</v>
      </c>
      <c r="AR222" t="s">
        <v>274</v>
      </c>
      <c r="AS222" t="s">
        <v>274</v>
      </c>
      <c r="AT222" t="s">
        <v>274</v>
      </c>
      <c r="AU222" t="s">
        <v>274</v>
      </c>
      <c r="AV222" t="s">
        <v>274</v>
      </c>
      <c r="AW222" t="s">
        <v>274</v>
      </c>
      <c r="AX222" t="s">
        <v>274</v>
      </c>
      <c r="AY222" t="s">
        <v>274</v>
      </c>
      <c r="AZ222" t="s">
        <v>274</v>
      </c>
      <c r="BA222" t="s">
        <v>274</v>
      </c>
      <c r="BB222" t="s">
        <v>14964</v>
      </c>
      <c r="BC222" t="s">
        <v>14965</v>
      </c>
      <c r="BD222" t="s">
        <v>14966</v>
      </c>
      <c r="BE222" t="s">
        <v>14967</v>
      </c>
      <c r="BF222" t="s">
        <v>14968</v>
      </c>
      <c r="BG222" t="s">
        <v>14969</v>
      </c>
      <c r="BH222" t="s">
        <v>14970</v>
      </c>
      <c r="BI222" t="s">
        <v>274</v>
      </c>
      <c r="BJ222" t="s">
        <v>274</v>
      </c>
      <c r="BK222" t="s">
        <v>274</v>
      </c>
      <c r="BL222" t="s">
        <v>274</v>
      </c>
      <c r="BM222" t="s">
        <v>274</v>
      </c>
      <c r="BN222" t="s">
        <v>274</v>
      </c>
      <c r="BO222" t="s">
        <v>274</v>
      </c>
      <c r="BP222" t="s">
        <v>274</v>
      </c>
      <c r="BR222" t="s">
        <v>274</v>
      </c>
    </row>
    <row r="223" spans="1:70" x14ac:dyDescent="0.3">
      <c r="A223" t="s">
        <v>165</v>
      </c>
      <c r="B223" t="s">
        <v>3861</v>
      </c>
      <c r="C223" t="s">
        <v>4632</v>
      </c>
      <c r="D223" t="s">
        <v>4633</v>
      </c>
      <c r="F223" t="s">
        <v>14971</v>
      </c>
      <c r="G223" t="s">
        <v>14972</v>
      </c>
      <c r="H223" t="s">
        <v>11593</v>
      </c>
      <c r="I223" t="s">
        <v>14973</v>
      </c>
      <c r="J223" t="s">
        <v>14974</v>
      </c>
      <c r="K223" t="s">
        <v>7797</v>
      </c>
      <c r="L223" t="s">
        <v>9577</v>
      </c>
      <c r="M223" t="s">
        <v>14975</v>
      </c>
      <c r="N223" t="s">
        <v>14976</v>
      </c>
      <c r="O223" t="s">
        <v>9580</v>
      </c>
      <c r="P223" t="s">
        <v>14977</v>
      </c>
      <c r="Q223" t="s">
        <v>14978</v>
      </c>
      <c r="R223" t="s">
        <v>14979</v>
      </c>
      <c r="S223" t="s">
        <v>14980</v>
      </c>
      <c r="T223" t="s">
        <v>14981</v>
      </c>
      <c r="U223" t="s">
        <v>14982</v>
      </c>
      <c r="V223" t="s">
        <v>14983</v>
      </c>
      <c r="W223" t="s">
        <v>14984</v>
      </c>
      <c r="X223" t="s">
        <v>14985</v>
      </c>
      <c r="Y223" t="s">
        <v>14986</v>
      </c>
      <c r="Z223" t="s">
        <v>14987</v>
      </c>
      <c r="AA223" t="s">
        <v>14988</v>
      </c>
      <c r="AB223" t="s">
        <v>12340</v>
      </c>
      <c r="AC223" t="s">
        <v>12979</v>
      </c>
      <c r="AD223" t="s">
        <v>10040</v>
      </c>
      <c r="AE223" t="s">
        <v>12713</v>
      </c>
      <c r="AF223" t="s">
        <v>12890</v>
      </c>
      <c r="AG223" t="s">
        <v>11188</v>
      </c>
      <c r="AH223" t="s">
        <v>10749</v>
      </c>
      <c r="AI223" t="s">
        <v>12717</v>
      </c>
      <c r="AJ223" t="s">
        <v>12718</v>
      </c>
      <c r="AK223" t="s">
        <v>14989</v>
      </c>
      <c r="AL223" t="s">
        <v>9831</v>
      </c>
      <c r="AM223" t="s">
        <v>9039</v>
      </c>
      <c r="AN223" t="s">
        <v>6794</v>
      </c>
      <c r="AO223" t="s">
        <v>8144</v>
      </c>
      <c r="AP223" t="s">
        <v>13050</v>
      </c>
      <c r="AQ223" t="s">
        <v>12725</v>
      </c>
      <c r="AR223" t="s">
        <v>7135</v>
      </c>
      <c r="AS223" t="s">
        <v>6441</v>
      </c>
      <c r="AT223" t="s">
        <v>12728</v>
      </c>
      <c r="AU223" t="s">
        <v>13523</v>
      </c>
      <c r="AV223" t="s">
        <v>14990</v>
      </c>
      <c r="AW223" t="s">
        <v>8700</v>
      </c>
      <c r="AX223" t="s">
        <v>12360</v>
      </c>
      <c r="AY223" t="s">
        <v>8402</v>
      </c>
      <c r="AZ223" t="s">
        <v>8403</v>
      </c>
      <c r="BA223" t="s">
        <v>13000</v>
      </c>
      <c r="BB223" t="s">
        <v>14991</v>
      </c>
      <c r="BC223" t="s">
        <v>14992</v>
      </c>
      <c r="BD223" t="s">
        <v>14993</v>
      </c>
      <c r="BE223" t="s">
        <v>14994</v>
      </c>
      <c r="BF223" t="s">
        <v>14995</v>
      </c>
      <c r="BG223" t="s">
        <v>14996</v>
      </c>
      <c r="BH223" t="s">
        <v>14997</v>
      </c>
      <c r="BI223" t="s">
        <v>14998</v>
      </c>
      <c r="BJ223" t="s">
        <v>14999</v>
      </c>
      <c r="BK223" t="s">
        <v>15000</v>
      </c>
      <c r="BL223" t="s">
        <v>15001</v>
      </c>
      <c r="BM223" t="s">
        <v>15002</v>
      </c>
      <c r="BN223" t="s">
        <v>15003</v>
      </c>
      <c r="BO223" t="s">
        <v>15004</v>
      </c>
      <c r="BP223" t="s">
        <v>11628</v>
      </c>
      <c r="BR223" t="s">
        <v>274</v>
      </c>
    </row>
    <row r="224" spans="1:70" x14ac:dyDescent="0.3">
      <c r="A224" t="s">
        <v>3862</v>
      </c>
      <c r="B224" t="s">
        <v>3863</v>
      </c>
      <c r="C224" t="s">
        <v>4632</v>
      </c>
      <c r="D224" t="s">
        <v>4633</v>
      </c>
      <c r="F224" t="s">
        <v>274</v>
      </c>
      <c r="G224" t="s">
        <v>274</v>
      </c>
      <c r="H224" t="s">
        <v>274</v>
      </c>
      <c r="I224" t="s">
        <v>274</v>
      </c>
      <c r="J224" t="s">
        <v>274</v>
      </c>
      <c r="K224" t="s">
        <v>274</v>
      </c>
      <c r="L224" t="s">
        <v>274</v>
      </c>
      <c r="M224" t="s">
        <v>274</v>
      </c>
      <c r="N224" t="s">
        <v>274</v>
      </c>
      <c r="O224" t="s">
        <v>274</v>
      </c>
      <c r="P224" t="s">
        <v>7802</v>
      </c>
      <c r="Q224" t="s">
        <v>7742</v>
      </c>
      <c r="R224" t="s">
        <v>15005</v>
      </c>
      <c r="S224" t="s">
        <v>12079</v>
      </c>
      <c r="T224" t="s">
        <v>15006</v>
      </c>
      <c r="U224" t="s">
        <v>15007</v>
      </c>
      <c r="V224" t="s">
        <v>12704</v>
      </c>
      <c r="W224" t="s">
        <v>8614</v>
      </c>
      <c r="X224" t="s">
        <v>10910</v>
      </c>
      <c r="Y224" t="s">
        <v>15008</v>
      </c>
      <c r="Z224" t="s">
        <v>14128</v>
      </c>
      <c r="AA224" t="s">
        <v>11077</v>
      </c>
      <c r="AB224" t="s">
        <v>6200</v>
      </c>
      <c r="AC224" t="s">
        <v>7517</v>
      </c>
      <c r="AD224" t="s">
        <v>7245</v>
      </c>
      <c r="AE224" t="s">
        <v>14129</v>
      </c>
      <c r="AF224" t="s">
        <v>10875</v>
      </c>
      <c r="AG224" t="s">
        <v>15009</v>
      </c>
      <c r="AH224" t="s">
        <v>6308</v>
      </c>
      <c r="AI224" t="s">
        <v>6309</v>
      </c>
      <c r="AJ224" t="s">
        <v>8506</v>
      </c>
      <c r="AK224" t="s">
        <v>13786</v>
      </c>
      <c r="AL224" t="s">
        <v>15010</v>
      </c>
      <c r="AM224" t="s">
        <v>12401</v>
      </c>
      <c r="AN224" t="s">
        <v>10377</v>
      </c>
      <c r="AO224" t="s">
        <v>14132</v>
      </c>
      <c r="AP224" t="s">
        <v>13791</v>
      </c>
      <c r="AQ224" t="s">
        <v>9381</v>
      </c>
      <c r="AR224" t="s">
        <v>6216</v>
      </c>
      <c r="AS224" t="s">
        <v>14830</v>
      </c>
      <c r="AT224" t="s">
        <v>7384</v>
      </c>
      <c r="AU224" t="s">
        <v>8516</v>
      </c>
      <c r="AV224" t="s">
        <v>6538</v>
      </c>
      <c r="AW224" t="s">
        <v>14700</v>
      </c>
      <c r="AX224" t="s">
        <v>14138</v>
      </c>
      <c r="AY224" t="s">
        <v>6223</v>
      </c>
      <c r="AZ224" t="s">
        <v>6273</v>
      </c>
      <c r="BA224" t="s">
        <v>12734</v>
      </c>
      <c r="BB224" t="s">
        <v>7777</v>
      </c>
      <c r="BC224" t="s">
        <v>8238</v>
      </c>
      <c r="BD224" t="s">
        <v>15011</v>
      </c>
      <c r="BE224" t="s">
        <v>10394</v>
      </c>
      <c r="BF224" t="s">
        <v>15012</v>
      </c>
      <c r="BG224" t="s">
        <v>15013</v>
      </c>
      <c r="BH224" t="s">
        <v>15014</v>
      </c>
      <c r="BI224" t="s">
        <v>15015</v>
      </c>
      <c r="BJ224" t="s">
        <v>15016</v>
      </c>
      <c r="BK224" t="s">
        <v>15017</v>
      </c>
      <c r="BL224" t="s">
        <v>15018</v>
      </c>
      <c r="BM224" t="s">
        <v>15019</v>
      </c>
      <c r="BN224" t="s">
        <v>15020</v>
      </c>
      <c r="BO224" t="s">
        <v>15021</v>
      </c>
      <c r="BP224" t="s">
        <v>15022</v>
      </c>
      <c r="BR224" t="s">
        <v>274</v>
      </c>
    </row>
    <row r="225" spans="1:70" x14ac:dyDescent="0.3">
      <c r="A225" t="s">
        <v>166</v>
      </c>
      <c r="B225" t="s">
        <v>3864</v>
      </c>
      <c r="C225" t="s">
        <v>4632</v>
      </c>
      <c r="D225" t="s">
        <v>4633</v>
      </c>
      <c r="F225" t="s">
        <v>274</v>
      </c>
      <c r="G225" t="s">
        <v>274</v>
      </c>
      <c r="H225" t="s">
        <v>274</v>
      </c>
      <c r="I225" t="s">
        <v>274</v>
      </c>
      <c r="J225" t="s">
        <v>274</v>
      </c>
      <c r="K225" t="s">
        <v>274</v>
      </c>
      <c r="L225" t="s">
        <v>274</v>
      </c>
      <c r="M225" t="s">
        <v>274</v>
      </c>
      <c r="N225" t="s">
        <v>274</v>
      </c>
      <c r="O225" t="s">
        <v>274</v>
      </c>
      <c r="P225" t="s">
        <v>15023</v>
      </c>
      <c r="Q225" t="s">
        <v>15024</v>
      </c>
      <c r="R225" t="s">
        <v>15025</v>
      </c>
      <c r="S225" t="s">
        <v>15026</v>
      </c>
      <c r="T225" t="s">
        <v>15027</v>
      </c>
      <c r="U225" t="s">
        <v>15028</v>
      </c>
      <c r="V225" t="s">
        <v>15029</v>
      </c>
      <c r="W225" t="s">
        <v>13520</v>
      </c>
      <c r="X225" t="s">
        <v>15030</v>
      </c>
      <c r="Y225" t="s">
        <v>15031</v>
      </c>
      <c r="Z225" t="s">
        <v>15032</v>
      </c>
      <c r="AA225" t="s">
        <v>15033</v>
      </c>
      <c r="AB225" t="s">
        <v>15034</v>
      </c>
      <c r="AC225" t="s">
        <v>15035</v>
      </c>
      <c r="AD225" t="s">
        <v>15036</v>
      </c>
      <c r="AE225" t="s">
        <v>15037</v>
      </c>
      <c r="AF225" t="s">
        <v>15038</v>
      </c>
      <c r="AG225" t="s">
        <v>15039</v>
      </c>
      <c r="AH225" t="s">
        <v>15040</v>
      </c>
      <c r="AI225" t="s">
        <v>15041</v>
      </c>
      <c r="AJ225" t="s">
        <v>15042</v>
      </c>
      <c r="AK225" t="s">
        <v>15043</v>
      </c>
      <c r="AL225" t="s">
        <v>15044</v>
      </c>
      <c r="AM225" t="s">
        <v>15045</v>
      </c>
      <c r="AN225" t="s">
        <v>15046</v>
      </c>
      <c r="AO225" t="s">
        <v>15047</v>
      </c>
      <c r="AP225" t="s">
        <v>15048</v>
      </c>
      <c r="AQ225" t="s">
        <v>15049</v>
      </c>
      <c r="AR225" t="s">
        <v>15050</v>
      </c>
      <c r="AS225" t="s">
        <v>15051</v>
      </c>
      <c r="AT225" t="s">
        <v>15052</v>
      </c>
      <c r="AU225" t="s">
        <v>15053</v>
      </c>
      <c r="AV225" t="s">
        <v>15054</v>
      </c>
      <c r="AW225" t="s">
        <v>15055</v>
      </c>
      <c r="AX225" t="s">
        <v>15056</v>
      </c>
      <c r="AY225" t="s">
        <v>15057</v>
      </c>
      <c r="AZ225" t="s">
        <v>15058</v>
      </c>
      <c r="BA225" t="s">
        <v>15059</v>
      </c>
      <c r="BB225" t="s">
        <v>15060</v>
      </c>
      <c r="BC225" t="s">
        <v>15061</v>
      </c>
      <c r="BD225" t="s">
        <v>15062</v>
      </c>
      <c r="BE225" t="s">
        <v>15063</v>
      </c>
      <c r="BF225" t="s">
        <v>15064</v>
      </c>
      <c r="BG225" t="s">
        <v>15065</v>
      </c>
      <c r="BH225" t="s">
        <v>15066</v>
      </c>
      <c r="BI225" t="s">
        <v>15067</v>
      </c>
      <c r="BJ225" t="s">
        <v>15068</v>
      </c>
      <c r="BK225" t="s">
        <v>15069</v>
      </c>
      <c r="BL225" t="s">
        <v>15070</v>
      </c>
      <c r="BM225" t="s">
        <v>15071</v>
      </c>
      <c r="BN225" t="s">
        <v>9612</v>
      </c>
      <c r="BO225" t="s">
        <v>15072</v>
      </c>
      <c r="BP225" t="s">
        <v>15073</v>
      </c>
      <c r="BR225" t="s">
        <v>274</v>
      </c>
    </row>
    <row r="226" spans="1:70" x14ac:dyDescent="0.3">
      <c r="A226" t="s">
        <v>167</v>
      </c>
      <c r="B226" t="s">
        <v>3887</v>
      </c>
      <c r="C226" t="s">
        <v>4632</v>
      </c>
      <c r="D226" t="s">
        <v>4633</v>
      </c>
      <c r="F226" t="s">
        <v>9906</v>
      </c>
      <c r="G226" t="s">
        <v>15074</v>
      </c>
      <c r="H226" t="s">
        <v>7794</v>
      </c>
      <c r="I226" t="s">
        <v>15075</v>
      </c>
      <c r="J226" t="s">
        <v>11066</v>
      </c>
      <c r="K226" t="s">
        <v>9811</v>
      </c>
      <c r="L226" t="s">
        <v>9909</v>
      </c>
      <c r="M226" t="s">
        <v>15076</v>
      </c>
      <c r="N226" t="s">
        <v>15077</v>
      </c>
      <c r="O226" t="s">
        <v>15078</v>
      </c>
      <c r="P226" t="s">
        <v>7802</v>
      </c>
      <c r="Q226" t="s">
        <v>15079</v>
      </c>
      <c r="R226" t="s">
        <v>15080</v>
      </c>
      <c r="S226" t="s">
        <v>12270</v>
      </c>
      <c r="T226" t="s">
        <v>7805</v>
      </c>
      <c r="U226" t="s">
        <v>15081</v>
      </c>
      <c r="V226" t="s">
        <v>15082</v>
      </c>
      <c r="W226" t="s">
        <v>15083</v>
      </c>
      <c r="X226" t="s">
        <v>15084</v>
      </c>
      <c r="Y226" t="s">
        <v>15085</v>
      </c>
      <c r="Z226" t="s">
        <v>15086</v>
      </c>
      <c r="AA226" t="s">
        <v>11077</v>
      </c>
      <c r="AB226" t="s">
        <v>15087</v>
      </c>
      <c r="AC226" t="s">
        <v>15088</v>
      </c>
      <c r="AD226" t="s">
        <v>15089</v>
      </c>
      <c r="AE226" t="s">
        <v>15090</v>
      </c>
      <c r="AF226" t="s">
        <v>15091</v>
      </c>
      <c r="AG226" t="s">
        <v>15092</v>
      </c>
      <c r="AH226" t="s">
        <v>11078</v>
      </c>
      <c r="AI226" t="s">
        <v>15093</v>
      </c>
      <c r="AJ226" t="s">
        <v>15094</v>
      </c>
      <c r="AK226" t="s">
        <v>15095</v>
      </c>
      <c r="AL226" t="s">
        <v>15096</v>
      </c>
      <c r="AM226" t="s">
        <v>15097</v>
      </c>
      <c r="AN226" t="s">
        <v>15098</v>
      </c>
      <c r="AO226" t="s">
        <v>15099</v>
      </c>
      <c r="AP226" t="s">
        <v>7252</v>
      </c>
      <c r="AQ226" t="s">
        <v>15100</v>
      </c>
      <c r="AR226" t="s">
        <v>15101</v>
      </c>
      <c r="AS226" t="s">
        <v>15102</v>
      </c>
      <c r="AT226" t="s">
        <v>15103</v>
      </c>
      <c r="AU226" t="s">
        <v>15104</v>
      </c>
      <c r="AV226" t="s">
        <v>15105</v>
      </c>
      <c r="AW226" t="s">
        <v>15106</v>
      </c>
      <c r="AX226" t="s">
        <v>15107</v>
      </c>
      <c r="AY226" t="s">
        <v>15108</v>
      </c>
      <c r="AZ226" t="s">
        <v>15109</v>
      </c>
      <c r="BA226" t="s">
        <v>15110</v>
      </c>
      <c r="BB226" t="s">
        <v>15111</v>
      </c>
      <c r="BC226" t="s">
        <v>15112</v>
      </c>
      <c r="BD226" t="s">
        <v>15113</v>
      </c>
      <c r="BE226" t="s">
        <v>15114</v>
      </c>
      <c r="BF226" t="s">
        <v>15115</v>
      </c>
      <c r="BG226" t="s">
        <v>15116</v>
      </c>
      <c r="BH226" t="s">
        <v>15117</v>
      </c>
      <c r="BI226" t="s">
        <v>15118</v>
      </c>
      <c r="BJ226" t="s">
        <v>15119</v>
      </c>
      <c r="BK226" t="s">
        <v>15120</v>
      </c>
      <c r="BL226" t="s">
        <v>15121</v>
      </c>
      <c r="BM226" t="s">
        <v>15122</v>
      </c>
      <c r="BN226" t="s">
        <v>15123</v>
      </c>
      <c r="BO226" t="s">
        <v>15124</v>
      </c>
      <c r="BP226" t="s">
        <v>15125</v>
      </c>
      <c r="BR226" t="s">
        <v>274</v>
      </c>
    </row>
    <row r="227" spans="1:70" x14ac:dyDescent="0.3">
      <c r="A227" t="s">
        <v>230</v>
      </c>
      <c r="B227" t="s">
        <v>3916</v>
      </c>
      <c r="C227" t="s">
        <v>4632</v>
      </c>
      <c r="D227" t="s">
        <v>4633</v>
      </c>
      <c r="F227" t="s">
        <v>274</v>
      </c>
      <c r="G227" t="s">
        <v>274</v>
      </c>
      <c r="H227" t="s">
        <v>274</v>
      </c>
      <c r="I227" t="s">
        <v>274</v>
      </c>
      <c r="J227" t="s">
        <v>274</v>
      </c>
      <c r="K227" t="s">
        <v>274</v>
      </c>
      <c r="L227" t="s">
        <v>274</v>
      </c>
      <c r="M227" t="s">
        <v>274</v>
      </c>
      <c r="N227" t="s">
        <v>274</v>
      </c>
      <c r="O227" t="s">
        <v>274</v>
      </c>
      <c r="P227" t="s">
        <v>274</v>
      </c>
      <c r="Q227" t="s">
        <v>274</v>
      </c>
      <c r="R227" t="s">
        <v>274</v>
      </c>
      <c r="S227" t="s">
        <v>274</v>
      </c>
      <c r="T227" t="s">
        <v>274</v>
      </c>
      <c r="U227" t="s">
        <v>274</v>
      </c>
      <c r="V227" t="s">
        <v>274</v>
      </c>
      <c r="W227" t="s">
        <v>274</v>
      </c>
      <c r="X227" t="s">
        <v>274</v>
      </c>
      <c r="Y227" t="s">
        <v>274</v>
      </c>
      <c r="Z227" t="s">
        <v>274</v>
      </c>
      <c r="AA227" t="s">
        <v>274</v>
      </c>
      <c r="AB227" t="s">
        <v>274</v>
      </c>
      <c r="AC227" t="s">
        <v>274</v>
      </c>
      <c r="AD227" t="s">
        <v>274</v>
      </c>
      <c r="AE227" t="s">
        <v>274</v>
      </c>
      <c r="AF227" t="s">
        <v>274</v>
      </c>
      <c r="AG227" t="s">
        <v>274</v>
      </c>
      <c r="AH227" t="s">
        <v>274</v>
      </c>
      <c r="AI227" t="s">
        <v>274</v>
      </c>
      <c r="AJ227" t="s">
        <v>15126</v>
      </c>
      <c r="AK227" t="s">
        <v>15127</v>
      </c>
      <c r="AL227" t="s">
        <v>15128</v>
      </c>
      <c r="AM227" t="s">
        <v>7928</v>
      </c>
      <c r="AN227" t="s">
        <v>15129</v>
      </c>
      <c r="AO227" t="s">
        <v>15130</v>
      </c>
      <c r="AP227" t="s">
        <v>15131</v>
      </c>
      <c r="AQ227" t="s">
        <v>15132</v>
      </c>
      <c r="AR227" t="s">
        <v>15133</v>
      </c>
      <c r="AS227" t="s">
        <v>15134</v>
      </c>
      <c r="AT227" t="s">
        <v>6537</v>
      </c>
      <c r="AU227" t="s">
        <v>15135</v>
      </c>
      <c r="AV227" t="s">
        <v>15136</v>
      </c>
      <c r="AW227" t="s">
        <v>15137</v>
      </c>
      <c r="AX227" t="s">
        <v>15138</v>
      </c>
      <c r="AY227" t="s">
        <v>8349</v>
      </c>
      <c r="AZ227" t="s">
        <v>15139</v>
      </c>
      <c r="BA227" t="s">
        <v>15140</v>
      </c>
      <c r="BB227" t="s">
        <v>15141</v>
      </c>
      <c r="BC227" t="s">
        <v>15142</v>
      </c>
      <c r="BD227" t="s">
        <v>15143</v>
      </c>
      <c r="BE227" t="s">
        <v>15144</v>
      </c>
      <c r="BF227" t="s">
        <v>15145</v>
      </c>
      <c r="BG227" t="s">
        <v>15146</v>
      </c>
      <c r="BH227" t="s">
        <v>15147</v>
      </c>
      <c r="BI227" t="s">
        <v>15148</v>
      </c>
      <c r="BJ227" t="s">
        <v>15149</v>
      </c>
      <c r="BK227" t="s">
        <v>15150</v>
      </c>
      <c r="BL227" t="s">
        <v>15151</v>
      </c>
      <c r="BM227" t="s">
        <v>6554</v>
      </c>
      <c r="BN227" t="s">
        <v>15152</v>
      </c>
      <c r="BO227" t="s">
        <v>15153</v>
      </c>
      <c r="BP227" t="s">
        <v>15154</v>
      </c>
      <c r="BR227" t="s">
        <v>274</v>
      </c>
    </row>
    <row r="228" spans="1:70" x14ac:dyDescent="0.3">
      <c r="A228" t="s">
        <v>231</v>
      </c>
      <c r="B228" t="s">
        <v>3917</v>
      </c>
      <c r="C228" t="s">
        <v>4632</v>
      </c>
      <c r="D228" t="s">
        <v>4633</v>
      </c>
      <c r="F228" t="s">
        <v>274</v>
      </c>
      <c r="G228" t="s">
        <v>274</v>
      </c>
      <c r="H228" t="s">
        <v>274</v>
      </c>
      <c r="I228" t="s">
        <v>274</v>
      </c>
      <c r="J228" t="s">
        <v>274</v>
      </c>
      <c r="K228" t="s">
        <v>274</v>
      </c>
      <c r="L228" t="s">
        <v>274</v>
      </c>
      <c r="M228" t="s">
        <v>274</v>
      </c>
      <c r="N228" t="s">
        <v>274</v>
      </c>
      <c r="O228" t="s">
        <v>274</v>
      </c>
      <c r="P228" t="s">
        <v>274</v>
      </c>
      <c r="Q228" t="s">
        <v>274</v>
      </c>
      <c r="R228" t="s">
        <v>274</v>
      </c>
      <c r="S228" t="s">
        <v>274</v>
      </c>
      <c r="T228" t="s">
        <v>274</v>
      </c>
      <c r="U228" t="s">
        <v>274</v>
      </c>
      <c r="V228" t="s">
        <v>274</v>
      </c>
      <c r="W228" t="s">
        <v>274</v>
      </c>
      <c r="X228" t="s">
        <v>274</v>
      </c>
      <c r="Y228" t="s">
        <v>274</v>
      </c>
      <c r="Z228" t="s">
        <v>274</v>
      </c>
      <c r="AA228" t="s">
        <v>274</v>
      </c>
      <c r="AB228" t="s">
        <v>274</v>
      </c>
      <c r="AC228" t="s">
        <v>274</v>
      </c>
      <c r="AD228" t="s">
        <v>274</v>
      </c>
      <c r="AE228" t="s">
        <v>274</v>
      </c>
      <c r="AF228" t="s">
        <v>274</v>
      </c>
      <c r="AG228" t="s">
        <v>274</v>
      </c>
      <c r="AH228" t="s">
        <v>274</v>
      </c>
      <c r="AI228" t="s">
        <v>274</v>
      </c>
      <c r="AJ228" t="s">
        <v>15155</v>
      </c>
      <c r="AK228" t="s">
        <v>15156</v>
      </c>
      <c r="AL228" t="s">
        <v>15157</v>
      </c>
      <c r="AM228" t="s">
        <v>15158</v>
      </c>
      <c r="AN228" t="s">
        <v>15159</v>
      </c>
      <c r="AO228" t="s">
        <v>15160</v>
      </c>
      <c r="AP228" t="s">
        <v>15161</v>
      </c>
      <c r="AQ228" t="s">
        <v>15162</v>
      </c>
      <c r="AR228" t="s">
        <v>15163</v>
      </c>
      <c r="AS228" t="s">
        <v>6536</v>
      </c>
      <c r="AT228" t="s">
        <v>15164</v>
      </c>
      <c r="AU228" t="s">
        <v>15165</v>
      </c>
      <c r="AV228" t="s">
        <v>15166</v>
      </c>
      <c r="AW228" t="s">
        <v>15167</v>
      </c>
      <c r="AX228" t="s">
        <v>15168</v>
      </c>
      <c r="AY228" t="s">
        <v>15169</v>
      </c>
      <c r="AZ228" t="s">
        <v>15170</v>
      </c>
      <c r="BA228" t="s">
        <v>15171</v>
      </c>
      <c r="BB228" t="s">
        <v>6544</v>
      </c>
      <c r="BC228" t="s">
        <v>15172</v>
      </c>
      <c r="BD228" t="s">
        <v>15173</v>
      </c>
      <c r="BE228" t="s">
        <v>15174</v>
      </c>
      <c r="BF228" t="s">
        <v>6548</v>
      </c>
      <c r="BG228" t="s">
        <v>15175</v>
      </c>
      <c r="BH228" t="s">
        <v>15176</v>
      </c>
      <c r="BI228" t="s">
        <v>8356</v>
      </c>
      <c r="BJ228" t="s">
        <v>15177</v>
      </c>
      <c r="BK228" t="s">
        <v>15178</v>
      </c>
      <c r="BL228" t="s">
        <v>8359</v>
      </c>
      <c r="BM228" t="s">
        <v>15179</v>
      </c>
      <c r="BN228" t="s">
        <v>15180</v>
      </c>
      <c r="BO228" t="s">
        <v>15181</v>
      </c>
      <c r="BP228" t="s">
        <v>15182</v>
      </c>
      <c r="BR228" t="s">
        <v>274</v>
      </c>
    </row>
    <row r="229" spans="1:70" x14ac:dyDescent="0.3">
      <c r="A229" t="s">
        <v>168</v>
      </c>
      <c r="B229" t="s">
        <v>3918</v>
      </c>
      <c r="C229" t="s">
        <v>4632</v>
      </c>
      <c r="D229" t="s">
        <v>4633</v>
      </c>
      <c r="F229" t="s">
        <v>15183</v>
      </c>
      <c r="G229" t="s">
        <v>15184</v>
      </c>
      <c r="H229" t="s">
        <v>15185</v>
      </c>
      <c r="I229" t="s">
        <v>15186</v>
      </c>
      <c r="J229" t="s">
        <v>15187</v>
      </c>
      <c r="K229" t="s">
        <v>15188</v>
      </c>
      <c r="L229" t="s">
        <v>15189</v>
      </c>
      <c r="M229" t="s">
        <v>15190</v>
      </c>
      <c r="N229" t="s">
        <v>15191</v>
      </c>
      <c r="O229" t="s">
        <v>15192</v>
      </c>
      <c r="P229" t="s">
        <v>15193</v>
      </c>
      <c r="Q229" t="s">
        <v>15194</v>
      </c>
      <c r="R229" t="s">
        <v>15195</v>
      </c>
      <c r="S229" t="s">
        <v>15196</v>
      </c>
      <c r="T229" t="s">
        <v>13425</v>
      </c>
      <c r="U229" t="s">
        <v>15197</v>
      </c>
      <c r="V229" t="s">
        <v>15198</v>
      </c>
      <c r="W229" t="s">
        <v>15199</v>
      </c>
      <c r="X229" t="s">
        <v>8327</v>
      </c>
      <c r="Y229" t="s">
        <v>15200</v>
      </c>
      <c r="Z229" t="s">
        <v>15201</v>
      </c>
      <c r="AA229" t="s">
        <v>15202</v>
      </c>
      <c r="AB229" t="s">
        <v>15203</v>
      </c>
      <c r="AC229" t="s">
        <v>15204</v>
      </c>
      <c r="AD229" t="s">
        <v>15205</v>
      </c>
      <c r="AE229" t="s">
        <v>15206</v>
      </c>
      <c r="AF229" t="s">
        <v>14164</v>
      </c>
      <c r="AG229" t="s">
        <v>13426</v>
      </c>
      <c r="AH229" t="s">
        <v>15207</v>
      </c>
      <c r="AI229" t="s">
        <v>15208</v>
      </c>
      <c r="AJ229" t="s">
        <v>8338</v>
      </c>
      <c r="AK229" t="s">
        <v>15209</v>
      </c>
      <c r="AL229" t="s">
        <v>15210</v>
      </c>
      <c r="AM229" t="s">
        <v>15211</v>
      </c>
      <c r="AN229" t="s">
        <v>15212</v>
      </c>
      <c r="AO229" t="s">
        <v>15213</v>
      </c>
      <c r="AP229" t="s">
        <v>15214</v>
      </c>
      <c r="AQ229" t="s">
        <v>15215</v>
      </c>
      <c r="AR229" t="s">
        <v>15216</v>
      </c>
      <c r="AS229" t="s">
        <v>15217</v>
      </c>
      <c r="AT229" t="s">
        <v>9433</v>
      </c>
      <c r="AU229" t="s">
        <v>15218</v>
      </c>
      <c r="AV229" t="s">
        <v>15219</v>
      </c>
      <c r="AW229" t="s">
        <v>15220</v>
      </c>
      <c r="AX229" t="s">
        <v>15221</v>
      </c>
      <c r="AY229" t="s">
        <v>15222</v>
      </c>
      <c r="AZ229" t="s">
        <v>15223</v>
      </c>
      <c r="BA229" t="s">
        <v>15224</v>
      </c>
      <c r="BB229" t="s">
        <v>15225</v>
      </c>
      <c r="BC229" t="s">
        <v>15226</v>
      </c>
      <c r="BD229" t="s">
        <v>15227</v>
      </c>
      <c r="BE229" t="s">
        <v>15228</v>
      </c>
      <c r="BF229" t="s">
        <v>15229</v>
      </c>
      <c r="BG229" t="s">
        <v>15230</v>
      </c>
      <c r="BH229" t="s">
        <v>15231</v>
      </c>
      <c r="BI229" t="s">
        <v>15232</v>
      </c>
      <c r="BJ229" t="s">
        <v>15233</v>
      </c>
      <c r="BK229" t="s">
        <v>15234</v>
      </c>
      <c r="BL229" t="s">
        <v>15235</v>
      </c>
      <c r="BM229" t="s">
        <v>15236</v>
      </c>
      <c r="BN229" t="s">
        <v>15237</v>
      </c>
      <c r="BO229" t="s">
        <v>15238</v>
      </c>
      <c r="BP229" t="s">
        <v>15239</v>
      </c>
      <c r="BR229" t="s">
        <v>274</v>
      </c>
    </row>
    <row r="230" spans="1:70" x14ac:dyDescent="0.3">
      <c r="A230" t="s">
        <v>232</v>
      </c>
      <c r="B230" t="s">
        <v>3932</v>
      </c>
      <c r="C230" t="s">
        <v>4632</v>
      </c>
      <c r="D230" t="s">
        <v>4633</v>
      </c>
      <c r="F230" t="s">
        <v>274</v>
      </c>
      <c r="G230" t="s">
        <v>274</v>
      </c>
      <c r="H230" t="s">
        <v>274</v>
      </c>
      <c r="I230" t="s">
        <v>274</v>
      </c>
      <c r="J230" t="s">
        <v>274</v>
      </c>
      <c r="K230" t="s">
        <v>274</v>
      </c>
      <c r="L230" t="s">
        <v>274</v>
      </c>
      <c r="M230" t="s">
        <v>274</v>
      </c>
      <c r="N230" t="s">
        <v>274</v>
      </c>
      <c r="O230" t="s">
        <v>274</v>
      </c>
      <c r="P230" t="s">
        <v>15240</v>
      </c>
      <c r="Q230" t="s">
        <v>15241</v>
      </c>
      <c r="R230" t="s">
        <v>15242</v>
      </c>
      <c r="S230" t="s">
        <v>15243</v>
      </c>
      <c r="T230" t="s">
        <v>15244</v>
      </c>
      <c r="U230" t="s">
        <v>15245</v>
      </c>
      <c r="V230" t="s">
        <v>14940</v>
      </c>
      <c r="W230" t="s">
        <v>15246</v>
      </c>
      <c r="X230" t="s">
        <v>15247</v>
      </c>
      <c r="Y230" t="s">
        <v>15248</v>
      </c>
      <c r="Z230" t="s">
        <v>15249</v>
      </c>
      <c r="AA230" t="s">
        <v>15250</v>
      </c>
      <c r="AB230" t="s">
        <v>13521</v>
      </c>
      <c r="AC230" t="s">
        <v>15251</v>
      </c>
      <c r="AD230" t="s">
        <v>15252</v>
      </c>
      <c r="AE230" t="s">
        <v>4696</v>
      </c>
      <c r="AF230" t="s">
        <v>15253</v>
      </c>
      <c r="AG230" t="s">
        <v>15254</v>
      </c>
      <c r="AH230" t="s">
        <v>15255</v>
      </c>
      <c r="AI230" t="s">
        <v>15256</v>
      </c>
      <c r="AJ230" t="s">
        <v>15257</v>
      </c>
      <c r="AK230" t="s">
        <v>15258</v>
      </c>
      <c r="AL230" t="s">
        <v>15259</v>
      </c>
      <c r="AM230" t="s">
        <v>15260</v>
      </c>
      <c r="AN230" t="s">
        <v>15261</v>
      </c>
      <c r="AO230" t="s">
        <v>15262</v>
      </c>
      <c r="AP230" t="s">
        <v>15263</v>
      </c>
      <c r="AQ230" t="s">
        <v>15264</v>
      </c>
      <c r="AR230" t="s">
        <v>15265</v>
      </c>
      <c r="AS230" t="s">
        <v>15266</v>
      </c>
      <c r="AT230" t="s">
        <v>15267</v>
      </c>
      <c r="AU230" t="s">
        <v>4712</v>
      </c>
      <c r="AV230" t="s">
        <v>15268</v>
      </c>
      <c r="AW230" t="s">
        <v>15269</v>
      </c>
      <c r="AX230" t="s">
        <v>12286</v>
      </c>
      <c r="AY230" t="s">
        <v>15270</v>
      </c>
      <c r="AZ230" t="s">
        <v>15271</v>
      </c>
      <c r="BA230" t="s">
        <v>15272</v>
      </c>
      <c r="BB230" t="s">
        <v>15273</v>
      </c>
      <c r="BC230" t="s">
        <v>15274</v>
      </c>
      <c r="BD230" t="s">
        <v>15275</v>
      </c>
      <c r="BE230" t="s">
        <v>15276</v>
      </c>
      <c r="BF230" t="s">
        <v>15277</v>
      </c>
      <c r="BG230" t="s">
        <v>15278</v>
      </c>
      <c r="BH230" t="s">
        <v>15279</v>
      </c>
      <c r="BI230" t="s">
        <v>15280</v>
      </c>
      <c r="BJ230" t="s">
        <v>15281</v>
      </c>
      <c r="BK230" t="s">
        <v>15282</v>
      </c>
      <c r="BL230" t="s">
        <v>15283</v>
      </c>
      <c r="BM230" t="s">
        <v>15284</v>
      </c>
      <c r="BN230" t="s">
        <v>15285</v>
      </c>
      <c r="BO230" t="s">
        <v>15286</v>
      </c>
      <c r="BP230" t="s">
        <v>15287</v>
      </c>
      <c r="BR230" t="s">
        <v>274</v>
      </c>
    </row>
    <row r="231" spans="1:70" x14ac:dyDescent="0.3">
      <c r="A231" t="s">
        <v>3955</v>
      </c>
      <c r="B231" t="s">
        <v>3956</v>
      </c>
      <c r="C231" t="s">
        <v>4632</v>
      </c>
      <c r="D231" t="s">
        <v>4633</v>
      </c>
      <c r="F231" t="s">
        <v>274</v>
      </c>
      <c r="G231" t="s">
        <v>274</v>
      </c>
      <c r="H231" t="s">
        <v>274</v>
      </c>
      <c r="I231" t="s">
        <v>274</v>
      </c>
      <c r="J231" t="s">
        <v>274</v>
      </c>
      <c r="K231" t="s">
        <v>274</v>
      </c>
      <c r="L231" t="s">
        <v>274</v>
      </c>
      <c r="M231" t="s">
        <v>274</v>
      </c>
      <c r="N231" t="s">
        <v>274</v>
      </c>
      <c r="O231" t="s">
        <v>274</v>
      </c>
      <c r="P231" t="s">
        <v>274</v>
      </c>
      <c r="Q231" t="s">
        <v>274</v>
      </c>
      <c r="R231" t="s">
        <v>274</v>
      </c>
      <c r="S231" t="s">
        <v>274</v>
      </c>
      <c r="T231" t="s">
        <v>274</v>
      </c>
      <c r="U231" t="s">
        <v>274</v>
      </c>
      <c r="V231" t="s">
        <v>274</v>
      </c>
      <c r="W231" t="s">
        <v>274</v>
      </c>
      <c r="X231" t="s">
        <v>274</v>
      </c>
      <c r="Y231" t="s">
        <v>274</v>
      </c>
      <c r="Z231" t="s">
        <v>274</v>
      </c>
      <c r="AA231" t="s">
        <v>274</v>
      </c>
      <c r="AB231" t="s">
        <v>274</v>
      </c>
      <c r="AC231" t="s">
        <v>274</v>
      </c>
      <c r="AD231" t="s">
        <v>274</v>
      </c>
      <c r="AE231" t="s">
        <v>274</v>
      </c>
      <c r="AF231" t="s">
        <v>274</v>
      </c>
      <c r="AG231" t="s">
        <v>274</v>
      </c>
      <c r="AH231" t="s">
        <v>274</v>
      </c>
      <c r="AI231" t="s">
        <v>274</v>
      </c>
      <c r="AJ231" t="s">
        <v>274</v>
      </c>
      <c r="AK231" t="s">
        <v>274</v>
      </c>
      <c r="AL231" t="s">
        <v>274</v>
      </c>
      <c r="AM231" t="s">
        <v>274</v>
      </c>
      <c r="AN231" t="s">
        <v>274</v>
      </c>
      <c r="AO231" t="s">
        <v>274</v>
      </c>
      <c r="AP231" t="s">
        <v>274</v>
      </c>
      <c r="AQ231" t="s">
        <v>274</v>
      </c>
      <c r="AR231" t="s">
        <v>274</v>
      </c>
      <c r="AS231" t="s">
        <v>274</v>
      </c>
      <c r="AT231" t="s">
        <v>274</v>
      </c>
      <c r="AU231" t="s">
        <v>274</v>
      </c>
      <c r="AV231" t="s">
        <v>274</v>
      </c>
      <c r="AW231" t="s">
        <v>274</v>
      </c>
      <c r="AX231" t="s">
        <v>274</v>
      </c>
      <c r="AY231" t="s">
        <v>274</v>
      </c>
      <c r="AZ231" t="s">
        <v>274</v>
      </c>
      <c r="BA231" t="s">
        <v>274</v>
      </c>
      <c r="BB231" t="s">
        <v>274</v>
      </c>
      <c r="BC231" t="s">
        <v>15288</v>
      </c>
      <c r="BD231" t="s">
        <v>15289</v>
      </c>
      <c r="BE231" t="s">
        <v>15290</v>
      </c>
      <c r="BF231" t="s">
        <v>15291</v>
      </c>
      <c r="BG231" t="s">
        <v>15292</v>
      </c>
      <c r="BH231" t="s">
        <v>15293</v>
      </c>
      <c r="BI231" t="s">
        <v>15294</v>
      </c>
      <c r="BJ231" t="s">
        <v>15295</v>
      </c>
      <c r="BK231" t="s">
        <v>15296</v>
      </c>
      <c r="BL231" t="s">
        <v>15297</v>
      </c>
      <c r="BM231" t="s">
        <v>15298</v>
      </c>
      <c r="BN231" t="s">
        <v>15299</v>
      </c>
      <c r="BO231" t="s">
        <v>15300</v>
      </c>
      <c r="BP231" t="s">
        <v>15301</v>
      </c>
      <c r="BR231" t="s">
        <v>274</v>
      </c>
    </row>
    <row r="232" spans="1:70" x14ac:dyDescent="0.3">
      <c r="A232" t="s">
        <v>169</v>
      </c>
      <c r="B232" t="s">
        <v>3957</v>
      </c>
      <c r="C232" t="s">
        <v>4632</v>
      </c>
      <c r="D232" t="s">
        <v>4633</v>
      </c>
      <c r="F232" t="s">
        <v>15302</v>
      </c>
      <c r="G232" t="s">
        <v>15303</v>
      </c>
      <c r="H232" t="s">
        <v>15304</v>
      </c>
      <c r="I232" t="s">
        <v>15305</v>
      </c>
      <c r="J232" t="s">
        <v>15306</v>
      </c>
      <c r="K232" t="s">
        <v>15307</v>
      </c>
      <c r="L232" t="s">
        <v>15308</v>
      </c>
      <c r="M232" t="s">
        <v>15309</v>
      </c>
      <c r="N232" t="s">
        <v>15310</v>
      </c>
      <c r="O232" t="s">
        <v>15311</v>
      </c>
      <c r="P232" t="s">
        <v>15312</v>
      </c>
      <c r="Q232" t="s">
        <v>15313</v>
      </c>
      <c r="R232" t="s">
        <v>15005</v>
      </c>
      <c r="S232" t="s">
        <v>15314</v>
      </c>
      <c r="T232" t="s">
        <v>15315</v>
      </c>
      <c r="U232" t="s">
        <v>15316</v>
      </c>
      <c r="V232" t="s">
        <v>15317</v>
      </c>
      <c r="W232" t="s">
        <v>15318</v>
      </c>
      <c r="X232" t="s">
        <v>15319</v>
      </c>
      <c r="Y232" t="s">
        <v>15320</v>
      </c>
      <c r="Z232" t="s">
        <v>15321</v>
      </c>
      <c r="AA232" t="s">
        <v>15322</v>
      </c>
      <c r="AB232" t="s">
        <v>15323</v>
      </c>
      <c r="AC232" t="s">
        <v>15324</v>
      </c>
      <c r="AD232" t="s">
        <v>15325</v>
      </c>
      <c r="AE232" t="s">
        <v>15326</v>
      </c>
      <c r="AF232" t="s">
        <v>15327</v>
      </c>
      <c r="AG232" t="s">
        <v>11694</v>
      </c>
      <c r="AH232" t="s">
        <v>15328</v>
      </c>
      <c r="AI232" t="s">
        <v>15329</v>
      </c>
      <c r="AJ232" t="s">
        <v>15330</v>
      </c>
      <c r="AK232" t="s">
        <v>15331</v>
      </c>
      <c r="AL232" t="s">
        <v>15010</v>
      </c>
      <c r="AM232" t="s">
        <v>15332</v>
      </c>
      <c r="AN232" t="s">
        <v>15333</v>
      </c>
      <c r="AO232" t="s">
        <v>15334</v>
      </c>
      <c r="AP232" t="s">
        <v>15335</v>
      </c>
      <c r="AQ232" t="s">
        <v>15336</v>
      </c>
      <c r="AR232" t="s">
        <v>15337</v>
      </c>
      <c r="AS232" t="s">
        <v>15338</v>
      </c>
      <c r="AT232" t="s">
        <v>15339</v>
      </c>
      <c r="AU232" t="s">
        <v>13523</v>
      </c>
      <c r="AV232" t="s">
        <v>14990</v>
      </c>
      <c r="AW232" t="s">
        <v>15340</v>
      </c>
      <c r="AX232" t="s">
        <v>15341</v>
      </c>
      <c r="AY232" t="s">
        <v>15342</v>
      </c>
      <c r="AZ232" t="s">
        <v>15343</v>
      </c>
      <c r="BA232" t="s">
        <v>15344</v>
      </c>
      <c r="BB232" t="s">
        <v>15345</v>
      </c>
      <c r="BC232" t="s">
        <v>15346</v>
      </c>
      <c r="BD232" t="s">
        <v>15347</v>
      </c>
      <c r="BE232" t="s">
        <v>15348</v>
      </c>
      <c r="BF232" t="s">
        <v>15349</v>
      </c>
      <c r="BG232" t="s">
        <v>15350</v>
      </c>
      <c r="BH232" t="s">
        <v>15351</v>
      </c>
      <c r="BI232" t="s">
        <v>15352</v>
      </c>
      <c r="BJ232" t="s">
        <v>15353</v>
      </c>
      <c r="BK232" t="s">
        <v>15354</v>
      </c>
      <c r="BL232" t="s">
        <v>15355</v>
      </c>
      <c r="BM232" t="s">
        <v>15356</v>
      </c>
      <c r="BN232" t="s">
        <v>15357</v>
      </c>
      <c r="BO232" t="s">
        <v>15358</v>
      </c>
      <c r="BP232" t="s">
        <v>15359</v>
      </c>
      <c r="BR232" t="s">
        <v>274</v>
      </c>
    </row>
    <row r="233" spans="1:70" x14ac:dyDescent="0.3">
      <c r="A233" t="s">
        <v>170</v>
      </c>
      <c r="B233" t="s">
        <v>3993</v>
      </c>
      <c r="C233" t="s">
        <v>4632</v>
      </c>
      <c r="D233" t="s">
        <v>4633</v>
      </c>
      <c r="F233" t="s">
        <v>15360</v>
      </c>
      <c r="G233" t="s">
        <v>15361</v>
      </c>
      <c r="H233" t="s">
        <v>15362</v>
      </c>
      <c r="I233" t="s">
        <v>12488</v>
      </c>
      <c r="J233" t="s">
        <v>15363</v>
      </c>
      <c r="K233" t="s">
        <v>15364</v>
      </c>
      <c r="L233" t="s">
        <v>15365</v>
      </c>
      <c r="M233" t="s">
        <v>15366</v>
      </c>
      <c r="N233" t="s">
        <v>15367</v>
      </c>
      <c r="O233" t="s">
        <v>15368</v>
      </c>
      <c r="P233" t="s">
        <v>15369</v>
      </c>
      <c r="Q233" t="s">
        <v>15370</v>
      </c>
      <c r="R233" t="s">
        <v>15371</v>
      </c>
      <c r="S233" t="s">
        <v>15372</v>
      </c>
      <c r="T233" t="s">
        <v>15373</v>
      </c>
      <c r="U233" t="s">
        <v>15374</v>
      </c>
      <c r="V233" t="s">
        <v>12497</v>
      </c>
      <c r="W233" t="s">
        <v>15375</v>
      </c>
      <c r="X233" t="s">
        <v>4975</v>
      </c>
      <c r="Y233" t="s">
        <v>7809</v>
      </c>
      <c r="Z233" t="s">
        <v>15376</v>
      </c>
      <c r="AA233" t="s">
        <v>15377</v>
      </c>
      <c r="AB233" t="s">
        <v>12137</v>
      </c>
      <c r="AC233" t="s">
        <v>15378</v>
      </c>
      <c r="AD233" t="s">
        <v>15379</v>
      </c>
      <c r="AE233" t="s">
        <v>15380</v>
      </c>
      <c r="AF233" t="s">
        <v>15381</v>
      </c>
      <c r="AG233" t="s">
        <v>15382</v>
      </c>
      <c r="AH233" t="s">
        <v>15383</v>
      </c>
      <c r="AI233" t="s">
        <v>15384</v>
      </c>
      <c r="AJ233" t="s">
        <v>8388</v>
      </c>
      <c r="AK233" t="s">
        <v>15385</v>
      </c>
      <c r="AL233" t="s">
        <v>15386</v>
      </c>
      <c r="AM233" t="s">
        <v>15387</v>
      </c>
      <c r="AN233" t="s">
        <v>15388</v>
      </c>
      <c r="AO233" t="s">
        <v>15389</v>
      </c>
      <c r="AP233" t="s">
        <v>4993</v>
      </c>
      <c r="AQ233" t="s">
        <v>15390</v>
      </c>
      <c r="AR233" t="s">
        <v>11434</v>
      </c>
      <c r="AS233" t="s">
        <v>15391</v>
      </c>
      <c r="AT233" t="s">
        <v>8397</v>
      </c>
      <c r="AU233" t="s">
        <v>15392</v>
      </c>
      <c r="AV233" t="s">
        <v>15393</v>
      </c>
      <c r="AW233" t="s">
        <v>15394</v>
      </c>
      <c r="AX233" t="s">
        <v>15395</v>
      </c>
      <c r="AY233" t="s">
        <v>5002</v>
      </c>
      <c r="AZ233" t="s">
        <v>15396</v>
      </c>
      <c r="BA233" t="s">
        <v>5004</v>
      </c>
      <c r="BB233" t="s">
        <v>5005</v>
      </c>
      <c r="BC233" t="s">
        <v>15397</v>
      </c>
      <c r="BD233" t="s">
        <v>15398</v>
      </c>
      <c r="BE233" t="s">
        <v>15399</v>
      </c>
      <c r="BF233" t="s">
        <v>15400</v>
      </c>
      <c r="BG233" t="s">
        <v>15401</v>
      </c>
      <c r="BH233" t="s">
        <v>15402</v>
      </c>
      <c r="BI233" t="s">
        <v>15403</v>
      </c>
      <c r="BJ233" t="s">
        <v>15404</v>
      </c>
      <c r="BK233" t="s">
        <v>15405</v>
      </c>
      <c r="BL233" t="s">
        <v>15406</v>
      </c>
      <c r="BM233" t="s">
        <v>15407</v>
      </c>
      <c r="BN233" t="s">
        <v>15408</v>
      </c>
      <c r="BO233" t="s">
        <v>15409</v>
      </c>
      <c r="BP233" t="s">
        <v>274</v>
      </c>
      <c r="BR233" t="s">
        <v>274</v>
      </c>
    </row>
    <row r="234" spans="1:70" x14ac:dyDescent="0.3">
      <c r="A234" t="s">
        <v>3994</v>
      </c>
      <c r="B234" t="s">
        <v>3995</v>
      </c>
      <c r="C234" t="s">
        <v>4632</v>
      </c>
      <c r="D234" t="s">
        <v>4633</v>
      </c>
      <c r="F234" t="s">
        <v>274</v>
      </c>
      <c r="G234" t="s">
        <v>274</v>
      </c>
      <c r="H234" t="s">
        <v>274</v>
      </c>
      <c r="I234" t="s">
        <v>274</v>
      </c>
      <c r="J234" t="s">
        <v>274</v>
      </c>
      <c r="K234" t="s">
        <v>274</v>
      </c>
      <c r="L234" t="s">
        <v>274</v>
      </c>
      <c r="M234" t="s">
        <v>274</v>
      </c>
      <c r="N234" t="s">
        <v>274</v>
      </c>
      <c r="O234" t="s">
        <v>274</v>
      </c>
      <c r="P234" t="s">
        <v>274</v>
      </c>
      <c r="Q234" t="s">
        <v>274</v>
      </c>
      <c r="R234" t="s">
        <v>274</v>
      </c>
      <c r="S234" t="s">
        <v>274</v>
      </c>
      <c r="T234" t="s">
        <v>274</v>
      </c>
      <c r="U234" t="s">
        <v>274</v>
      </c>
      <c r="V234" t="s">
        <v>274</v>
      </c>
      <c r="W234" t="s">
        <v>274</v>
      </c>
      <c r="X234" t="s">
        <v>274</v>
      </c>
      <c r="Y234" t="s">
        <v>274</v>
      </c>
      <c r="Z234" t="s">
        <v>274</v>
      </c>
      <c r="AA234" t="s">
        <v>274</v>
      </c>
      <c r="AB234" t="s">
        <v>274</v>
      </c>
      <c r="AC234" t="s">
        <v>274</v>
      </c>
      <c r="AD234" t="s">
        <v>274</v>
      </c>
      <c r="AE234" t="s">
        <v>274</v>
      </c>
      <c r="AF234" t="s">
        <v>274</v>
      </c>
      <c r="AG234" t="s">
        <v>274</v>
      </c>
      <c r="AH234" t="s">
        <v>274</v>
      </c>
      <c r="AI234" t="s">
        <v>274</v>
      </c>
      <c r="AJ234" t="s">
        <v>274</v>
      </c>
      <c r="AK234" t="s">
        <v>274</v>
      </c>
      <c r="AL234" t="s">
        <v>274</v>
      </c>
      <c r="AM234" t="s">
        <v>274</v>
      </c>
      <c r="AN234" t="s">
        <v>274</v>
      </c>
      <c r="AO234" t="s">
        <v>274</v>
      </c>
      <c r="AP234" t="s">
        <v>274</v>
      </c>
      <c r="AQ234" t="s">
        <v>274</v>
      </c>
      <c r="AR234" t="s">
        <v>274</v>
      </c>
      <c r="AS234" t="s">
        <v>274</v>
      </c>
      <c r="AT234" t="s">
        <v>274</v>
      </c>
      <c r="AU234" t="s">
        <v>274</v>
      </c>
      <c r="AV234" t="s">
        <v>274</v>
      </c>
      <c r="AW234" t="s">
        <v>274</v>
      </c>
      <c r="AX234" t="s">
        <v>274</v>
      </c>
      <c r="AY234" t="s">
        <v>274</v>
      </c>
      <c r="AZ234" t="s">
        <v>274</v>
      </c>
      <c r="BA234" t="s">
        <v>274</v>
      </c>
      <c r="BB234" t="s">
        <v>274</v>
      </c>
      <c r="BC234" t="s">
        <v>274</v>
      </c>
      <c r="BD234" t="s">
        <v>274</v>
      </c>
      <c r="BE234" t="s">
        <v>15410</v>
      </c>
      <c r="BF234" t="s">
        <v>15411</v>
      </c>
      <c r="BG234" t="s">
        <v>15412</v>
      </c>
      <c r="BH234" t="s">
        <v>15413</v>
      </c>
      <c r="BI234" t="s">
        <v>11350</v>
      </c>
      <c r="BJ234" t="s">
        <v>15414</v>
      </c>
      <c r="BK234" t="s">
        <v>15415</v>
      </c>
      <c r="BL234" t="s">
        <v>15416</v>
      </c>
      <c r="BM234" t="s">
        <v>15417</v>
      </c>
      <c r="BN234" t="s">
        <v>15418</v>
      </c>
      <c r="BO234" t="s">
        <v>15419</v>
      </c>
      <c r="BP234" t="s">
        <v>15420</v>
      </c>
      <c r="BR234" t="s">
        <v>274</v>
      </c>
    </row>
    <row r="235" spans="1:70" x14ac:dyDescent="0.3">
      <c r="A235" t="s">
        <v>233</v>
      </c>
      <c r="B235" t="s">
        <v>3996</v>
      </c>
      <c r="C235" t="s">
        <v>4632</v>
      </c>
      <c r="D235" t="s">
        <v>4633</v>
      </c>
      <c r="F235" t="s">
        <v>15421</v>
      </c>
      <c r="G235" t="s">
        <v>15422</v>
      </c>
      <c r="H235" t="s">
        <v>15423</v>
      </c>
      <c r="I235" t="s">
        <v>15424</v>
      </c>
      <c r="J235" t="s">
        <v>15425</v>
      </c>
      <c r="K235" t="s">
        <v>15426</v>
      </c>
      <c r="L235" t="s">
        <v>15427</v>
      </c>
      <c r="M235" t="s">
        <v>15428</v>
      </c>
      <c r="N235" t="s">
        <v>15429</v>
      </c>
      <c r="O235" t="s">
        <v>14937</v>
      </c>
      <c r="P235" t="s">
        <v>15430</v>
      </c>
      <c r="Q235" t="s">
        <v>8371</v>
      </c>
      <c r="R235" t="s">
        <v>15431</v>
      </c>
      <c r="S235" t="s">
        <v>15432</v>
      </c>
      <c r="T235" t="s">
        <v>8374</v>
      </c>
      <c r="U235" t="s">
        <v>8375</v>
      </c>
      <c r="V235" t="s">
        <v>15433</v>
      </c>
      <c r="W235" t="s">
        <v>15434</v>
      </c>
      <c r="X235" t="s">
        <v>15435</v>
      </c>
      <c r="Y235" t="s">
        <v>15436</v>
      </c>
      <c r="Z235" t="s">
        <v>15437</v>
      </c>
      <c r="AA235" t="s">
        <v>15438</v>
      </c>
      <c r="AB235" t="s">
        <v>15439</v>
      </c>
      <c r="AC235" t="s">
        <v>15440</v>
      </c>
      <c r="AD235" t="s">
        <v>15441</v>
      </c>
      <c r="AE235" t="s">
        <v>15442</v>
      </c>
      <c r="AF235" t="s">
        <v>15443</v>
      </c>
      <c r="AG235" t="s">
        <v>15444</v>
      </c>
      <c r="AH235" t="s">
        <v>15445</v>
      </c>
      <c r="AI235" t="s">
        <v>15446</v>
      </c>
      <c r="AJ235" t="s">
        <v>15447</v>
      </c>
      <c r="AK235" t="s">
        <v>15448</v>
      </c>
      <c r="AL235" t="s">
        <v>15449</v>
      </c>
      <c r="AM235" t="s">
        <v>15450</v>
      </c>
      <c r="AN235" t="s">
        <v>15451</v>
      </c>
      <c r="AO235" t="s">
        <v>15452</v>
      </c>
      <c r="AP235" t="s">
        <v>15453</v>
      </c>
      <c r="AQ235" t="s">
        <v>11433</v>
      </c>
      <c r="AR235" t="s">
        <v>15454</v>
      </c>
      <c r="AS235" t="s">
        <v>15455</v>
      </c>
      <c r="AT235" t="s">
        <v>15456</v>
      </c>
      <c r="AU235" t="s">
        <v>15457</v>
      </c>
      <c r="AV235" t="s">
        <v>15458</v>
      </c>
      <c r="AW235" t="s">
        <v>15459</v>
      </c>
      <c r="AX235" t="s">
        <v>15460</v>
      </c>
      <c r="AY235" t="s">
        <v>15461</v>
      </c>
      <c r="AZ235" t="s">
        <v>15462</v>
      </c>
      <c r="BA235" t="s">
        <v>15463</v>
      </c>
      <c r="BB235" t="s">
        <v>15464</v>
      </c>
      <c r="BC235" t="s">
        <v>11391</v>
      </c>
      <c r="BD235" t="s">
        <v>8407</v>
      </c>
      <c r="BE235" t="s">
        <v>15465</v>
      </c>
      <c r="BF235" t="s">
        <v>15466</v>
      </c>
      <c r="BG235" t="s">
        <v>15467</v>
      </c>
      <c r="BH235" t="s">
        <v>15468</v>
      </c>
      <c r="BI235" t="s">
        <v>15469</v>
      </c>
      <c r="BJ235" t="s">
        <v>15470</v>
      </c>
      <c r="BK235" t="s">
        <v>15471</v>
      </c>
      <c r="BL235" t="s">
        <v>14961</v>
      </c>
      <c r="BM235" t="s">
        <v>15472</v>
      </c>
      <c r="BN235" t="s">
        <v>15473</v>
      </c>
      <c r="BO235" t="s">
        <v>15474</v>
      </c>
      <c r="BP235" t="s">
        <v>15475</v>
      </c>
      <c r="BR235" t="s">
        <v>274</v>
      </c>
    </row>
    <row r="236" spans="1:70" x14ac:dyDescent="0.3">
      <c r="A236" t="s">
        <v>3997</v>
      </c>
      <c r="B236" t="s">
        <v>3998</v>
      </c>
      <c r="C236" t="s">
        <v>4632</v>
      </c>
      <c r="D236" t="s">
        <v>4633</v>
      </c>
      <c r="F236" t="s">
        <v>274</v>
      </c>
      <c r="G236" t="s">
        <v>274</v>
      </c>
      <c r="H236" t="s">
        <v>274</v>
      </c>
      <c r="I236" t="s">
        <v>274</v>
      </c>
      <c r="J236" t="s">
        <v>274</v>
      </c>
      <c r="K236" t="s">
        <v>274</v>
      </c>
      <c r="L236" t="s">
        <v>274</v>
      </c>
      <c r="M236" t="s">
        <v>274</v>
      </c>
      <c r="N236" t="s">
        <v>274</v>
      </c>
      <c r="O236" t="s">
        <v>274</v>
      </c>
      <c r="P236" t="s">
        <v>15476</v>
      </c>
      <c r="Q236" t="s">
        <v>7742</v>
      </c>
      <c r="R236" t="s">
        <v>15477</v>
      </c>
      <c r="S236" t="s">
        <v>13314</v>
      </c>
      <c r="T236" t="s">
        <v>10032</v>
      </c>
      <c r="U236" t="s">
        <v>7849</v>
      </c>
      <c r="V236" t="s">
        <v>7850</v>
      </c>
      <c r="W236" t="s">
        <v>14126</v>
      </c>
      <c r="X236" t="s">
        <v>15478</v>
      </c>
      <c r="Y236" t="s">
        <v>13320</v>
      </c>
      <c r="Z236" t="s">
        <v>15479</v>
      </c>
      <c r="AA236" t="s">
        <v>7855</v>
      </c>
      <c r="AB236" t="s">
        <v>15480</v>
      </c>
      <c r="AC236" t="s">
        <v>7754</v>
      </c>
      <c r="AD236" t="s">
        <v>8383</v>
      </c>
      <c r="AE236" t="s">
        <v>15481</v>
      </c>
      <c r="AF236" t="s">
        <v>15482</v>
      </c>
      <c r="AG236" t="s">
        <v>15483</v>
      </c>
      <c r="AH236" t="s">
        <v>15484</v>
      </c>
      <c r="AI236" t="s">
        <v>15485</v>
      </c>
      <c r="AJ236" t="s">
        <v>7761</v>
      </c>
      <c r="AK236" t="s">
        <v>7762</v>
      </c>
      <c r="AL236" t="s">
        <v>7763</v>
      </c>
      <c r="AM236" t="s">
        <v>13847</v>
      </c>
      <c r="AN236" t="s">
        <v>15486</v>
      </c>
      <c r="AO236" t="s">
        <v>15487</v>
      </c>
      <c r="AP236" t="s">
        <v>7766</v>
      </c>
      <c r="AQ236" t="s">
        <v>10886</v>
      </c>
      <c r="AR236" t="s">
        <v>7768</v>
      </c>
      <c r="AS236" t="s">
        <v>13522</v>
      </c>
      <c r="AT236" t="s">
        <v>7770</v>
      </c>
      <c r="AU236" t="s">
        <v>7771</v>
      </c>
      <c r="AV236" t="s">
        <v>7772</v>
      </c>
      <c r="AW236" t="s">
        <v>7773</v>
      </c>
      <c r="AX236" t="s">
        <v>7774</v>
      </c>
      <c r="AY236" t="s">
        <v>13749</v>
      </c>
      <c r="AZ236" t="s">
        <v>15488</v>
      </c>
      <c r="BA236" t="s">
        <v>6745</v>
      </c>
      <c r="BB236" t="s">
        <v>12575</v>
      </c>
      <c r="BC236" t="s">
        <v>13753</v>
      </c>
      <c r="BD236" t="s">
        <v>7779</v>
      </c>
      <c r="BE236" t="s">
        <v>10013</v>
      </c>
      <c r="BF236" t="s">
        <v>7781</v>
      </c>
      <c r="BG236" t="s">
        <v>13757</v>
      </c>
      <c r="BH236" t="s">
        <v>7783</v>
      </c>
      <c r="BI236" t="s">
        <v>10017</v>
      </c>
      <c r="BJ236" t="s">
        <v>7785</v>
      </c>
      <c r="BK236" t="s">
        <v>7786</v>
      </c>
      <c r="BL236" t="s">
        <v>6756</v>
      </c>
      <c r="BM236" t="s">
        <v>7788</v>
      </c>
      <c r="BN236" t="s">
        <v>6758</v>
      </c>
      <c r="BO236" t="s">
        <v>7790</v>
      </c>
      <c r="BP236" t="s">
        <v>8534</v>
      </c>
      <c r="BR236" t="s">
        <v>274</v>
      </c>
    </row>
    <row r="237" spans="1:70" x14ac:dyDescent="0.3">
      <c r="A237" t="s">
        <v>3999</v>
      </c>
      <c r="B237" t="s">
        <v>4000</v>
      </c>
      <c r="C237" t="s">
        <v>4632</v>
      </c>
      <c r="D237" t="s">
        <v>4633</v>
      </c>
      <c r="F237" t="s">
        <v>274</v>
      </c>
      <c r="G237" t="s">
        <v>274</v>
      </c>
      <c r="H237" t="s">
        <v>274</v>
      </c>
      <c r="I237" t="s">
        <v>274</v>
      </c>
      <c r="J237" t="s">
        <v>274</v>
      </c>
      <c r="K237" t="s">
        <v>274</v>
      </c>
      <c r="L237" t="s">
        <v>274</v>
      </c>
      <c r="M237" t="s">
        <v>274</v>
      </c>
      <c r="N237" t="s">
        <v>274</v>
      </c>
      <c r="O237" t="s">
        <v>274</v>
      </c>
      <c r="P237" t="s">
        <v>274</v>
      </c>
      <c r="Q237" t="s">
        <v>274</v>
      </c>
      <c r="R237" t="s">
        <v>274</v>
      </c>
      <c r="S237" t="s">
        <v>274</v>
      </c>
      <c r="T237" t="s">
        <v>274</v>
      </c>
      <c r="U237" t="s">
        <v>274</v>
      </c>
      <c r="V237" t="s">
        <v>274</v>
      </c>
      <c r="W237" t="s">
        <v>274</v>
      </c>
      <c r="X237" t="s">
        <v>274</v>
      </c>
      <c r="Y237" t="s">
        <v>274</v>
      </c>
      <c r="Z237" t="s">
        <v>274</v>
      </c>
      <c r="AA237" t="s">
        <v>274</v>
      </c>
      <c r="AB237" t="s">
        <v>274</v>
      </c>
      <c r="AC237" t="s">
        <v>274</v>
      </c>
      <c r="AD237" t="s">
        <v>274</v>
      </c>
      <c r="AE237" t="s">
        <v>274</v>
      </c>
      <c r="AF237" t="s">
        <v>274</v>
      </c>
      <c r="AG237" t="s">
        <v>274</v>
      </c>
      <c r="AH237" t="s">
        <v>274</v>
      </c>
      <c r="AI237" t="s">
        <v>274</v>
      </c>
      <c r="AJ237" t="s">
        <v>15489</v>
      </c>
      <c r="AK237" t="s">
        <v>15490</v>
      </c>
      <c r="AL237" t="s">
        <v>15491</v>
      </c>
      <c r="AM237" t="s">
        <v>15492</v>
      </c>
      <c r="AN237" t="s">
        <v>15493</v>
      </c>
      <c r="AO237" t="s">
        <v>8817</v>
      </c>
      <c r="AP237" t="s">
        <v>5137</v>
      </c>
      <c r="AQ237" t="s">
        <v>15494</v>
      </c>
      <c r="AR237" t="s">
        <v>15495</v>
      </c>
      <c r="AS237" t="s">
        <v>15496</v>
      </c>
      <c r="AT237" t="s">
        <v>15497</v>
      </c>
      <c r="AU237" t="s">
        <v>15498</v>
      </c>
      <c r="AV237" t="s">
        <v>15499</v>
      </c>
      <c r="AW237" t="s">
        <v>15500</v>
      </c>
      <c r="AX237" t="s">
        <v>15501</v>
      </c>
      <c r="AY237" t="s">
        <v>15502</v>
      </c>
      <c r="AZ237" t="s">
        <v>15503</v>
      </c>
      <c r="BA237" t="s">
        <v>15504</v>
      </c>
      <c r="BB237" t="s">
        <v>13886</v>
      </c>
      <c r="BC237" t="s">
        <v>7833</v>
      </c>
      <c r="BD237" t="s">
        <v>15505</v>
      </c>
      <c r="BE237" t="s">
        <v>10710</v>
      </c>
      <c r="BF237" t="s">
        <v>10806</v>
      </c>
      <c r="BG237" t="s">
        <v>5154</v>
      </c>
      <c r="BH237" t="s">
        <v>12540</v>
      </c>
      <c r="BI237" t="s">
        <v>14357</v>
      </c>
      <c r="BJ237" t="s">
        <v>5739</v>
      </c>
      <c r="BK237" t="s">
        <v>10811</v>
      </c>
      <c r="BL237" t="s">
        <v>15506</v>
      </c>
      <c r="BM237" t="s">
        <v>12295</v>
      </c>
      <c r="BN237" t="s">
        <v>5161</v>
      </c>
      <c r="BO237" t="s">
        <v>14329</v>
      </c>
      <c r="BP237" t="s">
        <v>5745</v>
      </c>
      <c r="BR237" t="s">
        <v>274</v>
      </c>
    </row>
    <row r="238" spans="1:70" x14ac:dyDescent="0.3">
      <c r="A238" t="s">
        <v>4001</v>
      </c>
      <c r="B238" t="s">
        <v>4002</v>
      </c>
      <c r="C238" t="s">
        <v>4632</v>
      </c>
      <c r="D238" t="s">
        <v>4633</v>
      </c>
      <c r="F238" t="s">
        <v>15507</v>
      </c>
      <c r="G238" t="s">
        <v>11405</v>
      </c>
      <c r="H238" t="s">
        <v>13895</v>
      </c>
      <c r="I238" t="s">
        <v>15508</v>
      </c>
      <c r="J238" t="s">
        <v>15509</v>
      </c>
      <c r="K238" t="s">
        <v>15510</v>
      </c>
      <c r="L238" t="s">
        <v>9863</v>
      </c>
      <c r="M238" t="s">
        <v>15511</v>
      </c>
      <c r="N238" t="s">
        <v>11410</v>
      </c>
      <c r="O238" t="s">
        <v>15512</v>
      </c>
      <c r="P238" t="s">
        <v>15513</v>
      </c>
      <c r="Q238" t="s">
        <v>15514</v>
      </c>
      <c r="R238" t="s">
        <v>15515</v>
      </c>
      <c r="S238" t="s">
        <v>15516</v>
      </c>
      <c r="T238" t="s">
        <v>15517</v>
      </c>
      <c r="U238" t="s">
        <v>15518</v>
      </c>
      <c r="V238" t="s">
        <v>15519</v>
      </c>
      <c r="W238" t="s">
        <v>15520</v>
      </c>
      <c r="X238" t="s">
        <v>15521</v>
      </c>
      <c r="Y238" t="s">
        <v>15522</v>
      </c>
      <c r="Z238" t="s">
        <v>15523</v>
      </c>
      <c r="AA238" t="s">
        <v>15524</v>
      </c>
      <c r="AB238" t="s">
        <v>15525</v>
      </c>
      <c r="AC238" t="s">
        <v>15526</v>
      </c>
      <c r="AD238" t="s">
        <v>15527</v>
      </c>
      <c r="AE238" t="s">
        <v>15528</v>
      </c>
      <c r="AF238" t="s">
        <v>15529</v>
      </c>
      <c r="AG238" t="s">
        <v>15530</v>
      </c>
      <c r="AH238" t="s">
        <v>15531</v>
      </c>
      <c r="AI238" t="s">
        <v>15532</v>
      </c>
      <c r="AJ238" t="s">
        <v>15533</v>
      </c>
      <c r="AK238" t="s">
        <v>15534</v>
      </c>
      <c r="AL238" t="s">
        <v>15535</v>
      </c>
      <c r="AM238" t="s">
        <v>15536</v>
      </c>
      <c r="AN238" t="s">
        <v>13907</v>
      </c>
      <c r="AO238" t="s">
        <v>15537</v>
      </c>
      <c r="AP238" t="s">
        <v>15538</v>
      </c>
      <c r="AQ238" t="s">
        <v>15539</v>
      </c>
      <c r="AR238" t="s">
        <v>15540</v>
      </c>
      <c r="AS238" t="s">
        <v>15541</v>
      </c>
      <c r="AT238" t="s">
        <v>15542</v>
      </c>
      <c r="AU238" t="s">
        <v>15543</v>
      </c>
      <c r="AV238" t="s">
        <v>15544</v>
      </c>
      <c r="AW238" t="s">
        <v>15545</v>
      </c>
      <c r="AX238" t="s">
        <v>15546</v>
      </c>
      <c r="AY238" t="s">
        <v>15547</v>
      </c>
      <c r="AZ238" t="s">
        <v>15548</v>
      </c>
      <c r="BA238" t="s">
        <v>15549</v>
      </c>
      <c r="BB238" t="s">
        <v>9895</v>
      </c>
      <c r="BC238" t="s">
        <v>15550</v>
      </c>
      <c r="BD238" t="s">
        <v>15551</v>
      </c>
      <c r="BE238" t="s">
        <v>15552</v>
      </c>
      <c r="BF238" t="s">
        <v>15553</v>
      </c>
      <c r="BG238" t="s">
        <v>15554</v>
      </c>
      <c r="BH238" t="s">
        <v>15555</v>
      </c>
      <c r="BI238" t="s">
        <v>15556</v>
      </c>
      <c r="BJ238" t="s">
        <v>15557</v>
      </c>
      <c r="BK238" t="s">
        <v>15558</v>
      </c>
      <c r="BL238" t="s">
        <v>15559</v>
      </c>
      <c r="BM238" t="s">
        <v>15560</v>
      </c>
      <c r="BN238" t="s">
        <v>15561</v>
      </c>
      <c r="BO238" t="s">
        <v>15562</v>
      </c>
      <c r="BP238" t="s">
        <v>15563</v>
      </c>
      <c r="BR238" t="s">
        <v>274</v>
      </c>
    </row>
    <row r="239" spans="1:70" x14ac:dyDescent="0.3">
      <c r="A239" t="s">
        <v>171</v>
      </c>
      <c r="B239" t="s">
        <v>4004</v>
      </c>
      <c r="C239" t="s">
        <v>4632</v>
      </c>
      <c r="D239" t="s">
        <v>4633</v>
      </c>
      <c r="F239" t="s">
        <v>15564</v>
      </c>
      <c r="G239" t="s">
        <v>15565</v>
      </c>
      <c r="H239" t="s">
        <v>15566</v>
      </c>
      <c r="I239" t="s">
        <v>15567</v>
      </c>
      <c r="J239" t="s">
        <v>15568</v>
      </c>
      <c r="K239" t="s">
        <v>15569</v>
      </c>
      <c r="L239" t="s">
        <v>15570</v>
      </c>
      <c r="M239" t="s">
        <v>15571</v>
      </c>
      <c r="N239" t="s">
        <v>9769</v>
      </c>
      <c r="O239" t="s">
        <v>15572</v>
      </c>
      <c r="P239" t="s">
        <v>15573</v>
      </c>
      <c r="Q239" t="s">
        <v>15574</v>
      </c>
      <c r="R239" t="s">
        <v>15575</v>
      </c>
      <c r="S239" t="s">
        <v>15576</v>
      </c>
      <c r="T239" t="s">
        <v>15577</v>
      </c>
      <c r="U239" t="s">
        <v>15578</v>
      </c>
      <c r="V239" t="s">
        <v>15579</v>
      </c>
      <c r="W239" t="s">
        <v>15580</v>
      </c>
      <c r="X239" t="s">
        <v>15581</v>
      </c>
      <c r="Y239" t="s">
        <v>15582</v>
      </c>
      <c r="Z239" t="s">
        <v>15583</v>
      </c>
      <c r="AA239" t="s">
        <v>15584</v>
      </c>
      <c r="AB239" t="s">
        <v>15585</v>
      </c>
      <c r="AC239" t="s">
        <v>15586</v>
      </c>
      <c r="AD239" t="s">
        <v>15587</v>
      </c>
      <c r="AE239" t="s">
        <v>15588</v>
      </c>
      <c r="AF239" t="s">
        <v>15589</v>
      </c>
      <c r="AG239" t="s">
        <v>15590</v>
      </c>
      <c r="AH239" t="s">
        <v>15591</v>
      </c>
      <c r="AI239" t="s">
        <v>15592</v>
      </c>
      <c r="AJ239" t="s">
        <v>15593</v>
      </c>
      <c r="AK239" t="s">
        <v>15594</v>
      </c>
      <c r="AL239" t="s">
        <v>7763</v>
      </c>
      <c r="AM239" t="s">
        <v>15595</v>
      </c>
      <c r="AN239" t="s">
        <v>7765</v>
      </c>
      <c r="AO239" t="s">
        <v>15596</v>
      </c>
      <c r="AP239" t="s">
        <v>15597</v>
      </c>
      <c r="AQ239" t="s">
        <v>15598</v>
      </c>
      <c r="AR239" t="s">
        <v>15599</v>
      </c>
      <c r="AS239" t="s">
        <v>15600</v>
      </c>
      <c r="AT239" t="s">
        <v>15601</v>
      </c>
      <c r="AU239" t="s">
        <v>15602</v>
      </c>
      <c r="AV239" t="s">
        <v>15603</v>
      </c>
      <c r="AW239" t="s">
        <v>15604</v>
      </c>
      <c r="AX239" t="s">
        <v>15605</v>
      </c>
      <c r="AY239" t="s">
        <v>15606</v>
      </c>
      <c r="AZ239" t="s">
        <v>15607</v>
      </c>
      <c r="BA239" t="s">
        <v>15608</v>
      </c>
      <c r="BB239" t="s">
        <v>15609</v>
      </c>
      <c r="BC239" t="s">
        <v>15610</v>
      </c>
      <c r="BD239" t="s">
        <v>15611</v>
      </c>
      <c r="BE239" t="s">
        <v>15612</v>
      </c>
      <c r="BF239" t="s">
        <v>15613</v>
      </c>
      <c r="BG239" t="s">
        <v>15614</v>
      </c>
      <c r="BH239" t="s">
        <v>15615</v>
      </c>
      <c r="BI239" t="s">
        <v>15616</v>
      </c>
      <c r="BJ239" t="s">
        <v>15617</v>
      </c>
      <c r="BK239" t="s">
        <v>15618</v>
      </c>
      <c r="BL239" t="s">
        <v>15619</v>
      </c>
      <c r="BM239" t="s">
        <v>15620</v>
      </c>
      <c r="BN239" t="s">
        <v>15621</v>
      </c>
      <c r="BO239" t="s">
        <v>15622</v>
      </c>
      <c r="BP239" t="s">
        <v>15623</v>
      </c>
      <c r="BR239" t="s">
        <v>274</v>
      </c>
    </row>
    <row r="240" spans="1:70" x14ac:dyDescent="0.3">
      <c r="A240" t="s">
        <v>234</v>
      </c>
      <c r="B240" t="s">
        <v>4039</v>
      </c>
      <c r="C240" t="s">
        <v>4632</v>
      </c>
      <c r="D240" t="s">
        <v>4633</v>
      </c>
      <c r="F240" t="s">
        <v>274</v>
      </c>
      <c r="G240" t="s">
        <v>274</v>
      </c>
      <c r="H240" t="s">
        <v>274</v>
      </c>
      <c r="I240" t="s">
        <v>274</v>
      </c>
      <c r="J240" t="s">
        <v>274</v>
      </c>
      <c r="K240" t="s">
        <v>274</v>
      </c>
      <c r="L240" t="s">
        <v>274</v>
      </c>
      <c r="M240" t="s">
        <v>274</v>
      </c>
      <c r="N240" t="s">
        <v>274</v>
      </c>
      <c r="O240" t="s">
        <v>274</v>
      </c>
      <c r="P240" t="s">
        <v>274</v>
      </c>
      <c r="Q240" t="s">
        <v>274</v>
      </c>
      <c r="R240" t="s">
        <v>274</v>
      </c>
      <c r="S240" t="s">
        <v>274</v>
      </c>
      <c r="T240" t="s">
        <v>274</v>
      </c>
      <c r="U240" t="s">
        <v>274</v>
      </c>
      <c r="V240" t="s">
        <v>274</v>
      </c>
      <c r="W240" t="s">
        <v>274</v>
      </c>
      <c r="X240" t="s">
        <v>274</v>
      </c>
      <c r="Y240" t="s">
        <v>274</v>
      </c>
      <c r="Z240" t="s">
        <v>274</v>
      </c>
      <c r="AA240" t="s">
        <v>274</v>
      </c>
      <c r="AB240" t="s">
        <v>274</v>
      </c>
      <c r="AC240" t="s">
        <v>274</v>
      </c>
      <c r="AD240" t="s">
        <v>274</v>
      </c>
      <c r="AE240" t="s">
        <v>15624</v>
      </c>
      <c r="AF240" t="s">
        <v>15625</v>
      </c>
      <c r="AG240" t="s">
        <v>15626</v>
      </c>
      <c r="AH240" t="s">
        <v>15627</v>
      </c>
      <c r="AI240" t="s">
        <v>15628</v>
      </c>
      <c r="AJ240" t="s">
        <v>15629</v>
      </c>
      <c r="AK240" t="s">
        <v>15630</v>
      </c>
      <c r="AL240" t="s">
        <v>15631</v>
      </c>
      <c r="AM240" t="s">
        <v>15632</v>
      </c>
      <c r="AN240" t="s">
        <v>15633</v>
      </c>
      <c r="AO240" t="s">
        <v>15634</v>
      </c>
      <c r="AP240" t="s">
        <v>15635</v>
      </c>
      <c r="AQ240" t="s">
        <v>15636</v>
      </c>
      <c r="AR240" t="s">
        <v>15637</v>
      </c>
      <c r="AS240" t="s">
        <v>15638</v>
      </c>
      <c r="AT240" t="s">
        <v>15639</v>
      </c>
      <c r="AU240" t="s">
        <v>15640</v>
      </c>
      <c r="AV240" t="s">
        <v>15641</v>
      </c>
      <c r="AW240" t="s">
        <v>15642</v>
      </c>
      <c r="AX240" t="s">
        <v>15643</v>
      </c>
      <c r="AY240" t="s">
        <v>15644</v>
      </c>
      <c r="AZ240" t="s">
        <v>15645</v>
      </c>
      <c r="BA240" t="s">
        <v>15646</v>
      </c>
      <c r="BB240" t="s">
        <v>15647</v>
      </c>
      <c r="BC240" t="s">
        <v>15648</v>
      </c>
      <c r="BD240" t="s">
        <v>15649</v>
      </c>
      <c r="BE240" t="s">
        <v>15650</v>
      </c>
      <c r="BF240" t="s">
        <v>10057</v>
      </c>
      <c r="BG240" t="s">
        <v>15651</v>
      </c>
      <c r="BH240" t="s">
        <v>15652</v>
      </c>
      <c r="BI240" t="s">
        <v>15653</v>
      </c>
      <c r="BJ240" t="s">
        <v>15654</v>
      </c>
      <c r="BK240" t="s">
        <v>15655</v>
      </c>
      <c r="BL240" t="s">
        <v>15506</v>
      </c>
      <c r="BM240" t="s">
        <v>15656</v>
      </c>
      <c r="BN240" t="s">
        <v>15657</v>
      </c>
      <c r="BO240" t="s">
        <v>12296</v>
      </c>
      <c r="BP240" t="s">
        <v>15658</v>
      </c>
      <c r="BR240" t="s">
        <v>274</v>
      </c>
    </row>
    <row r="241" spans="1:70" x14ac:dyDescent="0.3">
      <c r="A241" t="s">
        <v>235</v>
      </c>
      <c r="B241" t="s">
        <v>4058</v>
      </c>
      <c r="C241" t="s">
        <v>4632</v>
      </c>
      <c r="D241" t="s">
        <v>4633</v>
      </c>
      <c r="F241" t="s">
        <v>274</v>
      </c>
      <c r="G241" t="s">
        <v>274</v>
      </c>
      <c r="H241" t="s">
        <v>274</v>
      </c>
      <c r="I241" t="s">
        <v>274</v>
      </c>
      <c r="J241" t="s">
        <v>274</v>
      </c>
      <c r="K241" t="s">
        <v>274</v>
      </c>
      <c r="L241" t="s">
        <v>274</v>
      </c>
      <c r="M241" t="s">
        <v>274</v>
      </c>
      <c r="N241" t="s">
        <v>274</v>
      </c>
      <c r="O241" t="s">
        <v>274</v>
      </c>
      <c r="P241" t="s">
        <v>274</v>
      </c>
      <c r="Q241" t="s">
        <v>274</v>
      </c>
      <c r="R241" t="s">
        <v>274</v>
      </c>
      <c r="S241" t="s">
        <v>274</v>
      </c>
      <c r="T241" t="s">
        <v>274</v>
      </c>
      <c r="U241" t="s">
        <v>274</v>
      </c>
      <c r="V241" t="s">
        <v>274</v>
      </c>
      <c r="W241" t="s">
        <v>274</v>
      </c>
      <c r="X241" t="s">
        <v>274</v>
      </c>
      <c r="Y241" t="s">
        <v>274</v>
      </c>
      <c r="Z241" t="s">
        <v>274</v>
      </c>
      <c r="AA241" t="s">
        <v>274</v>
      </c>
      <c r="AB241" t="s">
        <v>274</v>
      </c>
      <c r="AC241" t="s">
        <v>274</v>
      </c>
      <c r="AD241" t="s">
        <v>274</v>
      </c>
      <c r="AE241" t="s">
        <v>274</v>
      </c>
      <c r="AF241" t="s">
        <v>274</v>
      </c>
      <c r="AG241" t="s">
        <v>15659</v>
      </c>
      <c r="AH241" t="s">
        <v>15660</v>
      </c>
      <c r="AI241" t="s">
        <v>15661</v>
      </c>
      <c r="AJ241" t="s">
        <v>15662</v>
      </c>
      <c r="AK241" t="s">
        <v>15663</v>
      </c>
      <c r="AL241" t="s">
        <v>15664</v>
      </c>
      <c r="AM241" t="s">
        <v>7895</v>
      </c>
      <c r="AN241" t="s">
        <v>15665</v>
      </c>
      <c r="AO241" t="s">
        <v>15666</v>
      </c>
      <c r="AP241" t="s">
        <v>15667</v>
      </c>
      <c r="AQ241" t="s">
        <v>15668</v>
      </c>
      <c r="AR241" t="s">
        <v>7899</v>
      </c>
      <c r="AS241" t="s">
        <v>15669</v>
      </c>
      <c r="AT241" t="s">
        <v>15670</v>
      </c>
      <c r="AU241" t="s">
        <v>15671</v>
      </c>
      <c r="AV241" t="s">
        <v>15672</v>
      </c>
      <c r="AW241" t="s">
        <v>15673</v>
      </c>
      <c r="AX241" t="s">
        <v>7830</v>
      </c>
      <c r="AY241" t="s">
        <v>15674</v>
      </c>
      <c r="AZ241" t="s">
        <v>15675</v>
      </c>
      <c r="BA241" t="s">
        <v>15676</v>
      </c>
      <c r="BB241" t="s">
        <v>15677</v>
      </c>
      <c r="BC241" t="s">
        <v>15678</v>
      </c>
      <c r="BD241" t="s">
        <v>15679</v>
      </c>
      <c r="BE241" t="s">
        <v>15680</v>
      </c>
      <c r="BF241" t="s">
        <v>15681</v>
      </c>
      <c r="BG241" t="s">
        <v>15682</v>
      </c>
      <c r="BH241" t="s">
        <v>15683</v>
      </c>
      <c r="BI241" t="s">
        <v>15684</v>
      </c>
      <c r="BJ241" t="s">
        <v>15685</v>
      </c>
      <c r="BK241" t="s">
        <v>15686</v>
      </c>
      <c r="BL241" t="s">
        <v>15687</v>
      </c>
      <c r="BM241" t="s">
        <v>15688</v>
      </c>
      <c r="BN241" t="s">
        <v>15689</v>
      </c>
      <c r="BO241" t="s">
        <v>15690</v>
      </c>
      <c r="BP241" t="s">
        <v>15691</v>
      </c>
      <c r="BR241" t="s">
        <v>274</v>
      </c>
    </row>
    <row r="242" spans="1:70" x14ac:dyDescent="0.3">
      <c r="A242" t="s">
        <v>4059</v>
      </c>
      <c r="B242" t="s">
        <v>4060</v>
      </c>
      <c r="C242" t="s">
        <v>4632</v>
      </c>
      <c r="D242" t="s">
        <v>4633</v>
      </c>
      <c r="F242" t="s">
        <v>15692</v>
      </c>
      <c r="G242" t="s">
        <v>11322</v>
      </c>
      <c r="H242" t="s">
        <v>15693</v>
      </c>
      <c r="I242" t="s">
        <v>15694</v>
      </c>
      <c r="J242" t="s">
        <v>11325</v>
      </c>
      <c r="K242" t="s">
        <v>9811</v>
      </c>
      <c r="L242" t="s">
        <v>15695</v>
      </c>
      <c r="M242" t="s">
        <v>15696</v>
      </c>
      <c r="N242" t="s">
        <v>15697</v>
      </c>
      <c r="O242" t="s">
        <v>11329</v>
      </c>
      <c r="P242" t="s">
        <v>15698</v>
      </c>
      <c r="Q242" t="s">
        <v>15699</v>
      </c>
      <c r="R242" t="s">
        <v>15700</v>
      </c>
      <c r="S242" t="s">
        <v>15701</v>
      </c>
      <c r="T242" t="s">
        <v>15702</v>
      </c>
      <c r="U242" t="s">
        <v>15703</v>
      </c>
      <c r="V242" t="s">
        <v>15704</v>
      </c>
      <c r="W242" t="s">
        <v>9777</v>
      </c>
      <c r="X242" t="s">
        <v>15705</v>
      </c>
      <c r="Y242" t="s">
        <v>15706</v>
      </c>
      <c r="Z242" t="s">
        <v>6655</v>
      </c>
      <c r="AA242" t="s">
        <v>7638</v>
      </c>
      <c r="AB242" t="s">
        <v>13610</v>
      </c>
      <c r="AC242" t="s">
        <v>6658</v>
      </c>
      <c r="AD242" t="s">
        <v>15707</v>
      </c>
      <c r="AE242" t="s">
        <v>7642</v>
      </c>
      <c r="AF242" t="s">
        <v>7186</v>
      </c>
      <c r="AG242" t="s">
        <v>5194</v>
      </c>
      <c r="AH242" t="s">
        <v>11078</v>
      </c>
      <c r="AI242" t="s">
        <v>6664</v>
      </c>
      <c r="AJ242" t="s">
        <v>6665</v>
      </c>
      <c r="AK242" t="s">
        <v>9375</v>
      </c>
      <c r="AL242" t="s">
        <v>7192</v>
      </c>
      <c r="AM242" t="s">
        <v>11080</v>
      </c>
      <c r="AN242" t="s">
        <v>9832</v>
      </c>
      <c r="AO242" t="s">
        <v>14801</v>
      </c>
      <c r="AP242" t="s">
        <v>10926</v>
      </c>
      <c r="AQ242" t="s">
        <v>11339</v>
      </c>
      <c r="AR242" t="s">
        <v>15708</v>
      </c>
      <c r="AS242" t="s">
        <v>6154</v>
      </c>
      <c r="AT242" t="s">
        <v>6675</v>
      </c>
      <c r="AU242" t="s">
        <v>10930</v>
      </c>
      <c r="AV242" t="s">
        <v>13115</v>
      </c>
      <c r="AW242" t="s">
        <v>6678</v>
      </c>
      <c r="AX242" t="s">
        <v>6222</v>
      </c>
      <c r="AY242" t="s">
        <v>6160</v>
      </c>
      <c r="AZ242" t="s">
        <v>9554</v>
      </c>
      <c r="BA242" t="s">
        <v>6162</v>
      </c>
      <c r="BB242" t="s">
        <v>9311</v>
      </c>
      <c r="BC242" t="s">
        <v>15709</v>
      </c>
      <c r="BD242" t="s">
        <v>10569</v>
      </c>
      <c r="BE242" t="s">
        <v>11086</v>
      </c>
      <c r="BF242" t="s">
        <v>9204</v>
      </c>
      <c r="BG242" t="s">
        <v>13698</v>
      </c>
      <c r="BH242" t="s">
        <v>15710</v>
      </c>
      <c r="BI242" t="s">
        <v>15711</v>
      </c>
      <c r="BJ242" t="s">
        <v>15712</v>
      </c>
      <c r="BK242" t="s">
        <v>15713</v>
      </c>
      <c r="BL242" t="s">
        <v>15714</v>
      </c>
      <c r="BM242" t="s">
        <v>15715</v>
      </c>
      <c r="BN242" t="s">
        <v>15716</v>
      </c>
      <c r="BO242" t="s">
        <v>15717</v>
      </c>
      <c r="BP242" t="s">
        <v>15718</v>
      </c>
      <c r="BR242" t="s">
        <v>274</v>
      </c>
    </row>
    <row r="243" spans="1:70" x14ac:dyDescent="0.3">
      <c r="A243" t="s">
        <v>4061</v>
      </c>
      <c r="B243" t="s">
        <v>4062</v>
      </c>
      <c r="C243" t="s">
        <v>4632</v>
      </c>
      <c r="D243" t="s">
        <v>4633</v>
      </c>
      <c r="F243" t="s">
        <v>274</v>
      </c>
      <c r="G243" t="s">
        <v>274</v>
      </c>
      <c r="H243" t="s">
        <v>274</v>
      </c>
      <c r="I243" t="s">
        <v>274</v>
      </c>
      <c r="J243" t="s">
        <v>274</v>
      </c>
      <c r="K243" t="s">
        <v>274</v>
      </c>
      <c r="L243" t="s">
        <v>274</v>
      </c>
      <c r="M243" t="s">
        <v>274</v>
      </c>
      <c r="N243" t="s">
        <v>274</v>
      </c>
      <c r="O243" t="s">
        <v>274</v>
      </c>
      <c r="P243" t="s">
        <v>274</v>
      </c>
      <c r="Q243" t="s">
        <v>274</v>
      </c>
      <c r="R243" t="s">
        <v>274</v>
      </c>
      <c r="S243" t="s">
        <v>274</v>
      </c>
      <c r="T243" t="s">
        <v>274</v>
      </c>
      <c r="U243" t="s">
        <v>274</v>
      </c>
      <c r="V243" t="s">
        <v>274</v>
      </c>
      <c r="W243" t="s">
        <v>274</v>
      </c>
      <c r="X243" t="s">
        <v>274</v>
      </c>
      <c r="Y243" t="s">
        <v>274</v>
      </c>
      <c r="Z243" t="s">
        <v>274</v>
      </c>
      <c r="AA243" t="s">
        <v>274</v>
      </c>
      <c r="AB243" t="s">
        <v>274</v>
      </c>
      <c r="AC243" t="s">
        <v>274</v>
      </c>
      <c r="AD243" t="s">
        <v>274</v>
      </c>
      <c r="AE243" t="s">
        <v>274</v>
      </c>
      <c r="AF243" t="s">
        <v>274</v>
      </c>
      <c r="AG243" t="s">
        <v>274</v>
      </c>
      <c r="AH243" t="s">
        <v>274</v>
      </c>
      <c r="AI243" t="s">
        <v>274</v>
      </c>
      <c r="AJ243" t="s">
        <v>15719</v>
      </c>
      <c r="AK243" t="s">
        <v>15720</v>
      </c>
      <c r="AL243" t="s">
        <v>15721</v>
      </c>
      <c r="AM243" t="s">
        <v>15722</v>
      </c>
      <c r="AN243" t="s">
        <v>15723</v>
      </c>
      <c r="AO243" t="s">
        <v>15724</v>
      </c>
      <c r="AP243" t="s">
        <v>15725</v>
      </c>
      <c r="AQ243" t="s">
        <v>15726</v>
      </c>
      <c r="AR243" t="s">
        <v>15727</v>
      </c>
      <c r="AS243" t="s">
        <v>13522</v>
      </c>
      <c r="AT243" t="s">
        <v>15728</v>
      </c>
      <c r="AU243" t="s">
        <v>15729</v>
      </c>
      <c r="AV243" t="s">
        <v>8399</v>
      </c>
      <c r="AW243" t="s">
        <v>15730</v>
      </c>
      <c r="AX243" t="s">
        <v>15731</v>
      </c>
      <c r="AY243" t="s">
        <v>15732</v>
      </c>
      <c r="AZ243" t="s">
        <v>15733</v>
      </c>
      <c r="BA243" t="s">
        <v>13524</v>
      </c>
      <c r="BB243" t="s">
        <v>7777</v>
      </c>
      <c r="BC243" t="s">
        <v>15734</v>
      </c>
      <c r="BD243" t="s">
        <v>15735</v>
      </c>
      <c r="BE243" t="s">
        <v>15736</v>
      </c>
      <c r="BF243" t="s">
        <v>15737</v>
      </c>
      <c r="BG243" t="s">
        <v>15738</v>
      </c>
      <c r="BH243" t="s">
        <v>15739</v>
      </c>
      <c r="BI243" t="s">
        <v>15740</v>
      </c>
      <c r="BJ243" t="s">
        <v>15741</v>
      </c>
      <c r="BK243" t="s">
        <v>15742</v>
      </c>
      <c r="BL243" t="s">
        <v>15743</v>
      </c>
      <c r="BM243" t="s">
        <v>15744</v>
      </c>
      <c r="BN243" t="s">
        <v>15745</v>
      </c>
      <c r="BO243" t="s">
        <v>15746</v>
      </c>
      <c r="BP243" t="s">
        <v>15747</v>
      </c>
      <c r="BR243" t="s">
        <v>274</v>
      </c>
    </row>
    <row r="244" spans="1:70" x14ac:dyDescent="0.3">
      <c r="A244" t="s">
        <v>4076</v>
      </c>
      <c r="B244" t="s">
        <v>4077</v>
      </c>
      <c r="C244" t="s">
        <v>4632</v>
      </c>
      <c r="D244" t="s">
        <v>4633</v>
      </c>
      <c r="F244" t="s">
        <v>15748</v>
      </c>
      <c r="G244" t="s">
        <v>4958</v>
      </c>
      <c r="H244" t="s">
        <v>8021</v>
      </c>
      <c r="I244" t="s">
        <v>12488</v>
      </c>
      <c r="J244" t="s">
        <v>7684</v>
      </c>
      <c r="K244" t="s">
        <v>4962</v>
      </c>
      <c r="L244" t="s">
        <v>12489</v>
      </c>
      <c r="M244" t="s">
        <v>12490</v>
      </c>
      <c r="N244" t="s">
        <v>12491</v>
      </c>
      <c r="O244" t="s">
        <v>4966</v>
      </c>
      <c r="P244" t="s">
        <v>12492</v>
      </c>
      <c r="Q244" t="s">
        <v>12493</v>
      </c>
      <c r="R244" t="s">
        <v>12494</v>
      </c>
      <c r="S244" t="s">
        <v>4970</v>
      </c>
      <c r="T244" t="s">
        <v>12495</v>
      </c>
      <c r="U244" t="s">
        <v>12496</v>
      </c>
      <c r="V244" t="s">
        <v>12497</v>
      </c>
      <c r="W244" t="s">
        <v>11897</v>
      </c>
      <c r="X244" t="s">
        <v>4975</v>
      </c>
      <c r="Y244" t="s">
        <v>7809</v>
      </c>
      <c r="Z244" t="s">
        <v>11243</v>
      </c>
      <c r="AA244" t="s">
        <v>10587</v>
      </c>
      <c r="AB244" t="s">
        <v>10588</v>
      </c>
      <c r="AC244" t="s">
        <v>8041</v>
      </c>
      <c r="AD244" t="s">
        <v>10244</v>
      </c>
      <c r="AE244" t="s">
        <v>9784</v>
      </c>
      <c r="AF244" t="s">
        <v>10306</v>
      </c>
      <c r="AG244" t="s">
        <v>7707</v>
      </c>
      <c r="AH244" t="s">
        <v>12498</v>
      </c>
      <c r="AI244" t="s">
        <v>12499</v>
      </c>
      <c r="AJ244" t="s">
        <v>12500</v>
      </c>
      <c r="AK244" t="s">
        <v>12501</v>
      </c>
      <c r="AL244" t="s">
        <v>8050</v>
      </c>
      <c r="AM244" t="s">
        <v>8051</v>
      </c>
      <c r="AN244" t="s">
        <v>11134</v>
      </c>
      <c r="AO244" t="s">
        <v>8053</v>
      </c>
      <c r="AP244" t="s">
        <v>11258</v>
      </c>
      <c r="AQ244" t="s">
        <v>8055</v>
      </c>
      <c r="AR244" t="s">
        <v>11434</v>
      </c>
      <c r="AS244" t="s">
        <v>15391</v>
      </c>
      <c r="AT244" t="s">
        <v>15749</v>
      </c>
      <c r="AU244" t="s">
        <v>8058</v>
      </c>
      <c r="AV244" t="s">
        <v>8059</v>
      </c>
      <c r="AW244" t="s">
        <v>7722</v>
      </c>
      <c r="AX244" t="s">
        <v>15395</v>
      </c>
      <c r="AY244" t="s">
        <v>10611</v>
      </c>
      <c r="AZ244" t="s">
        <v>7725</v>
      </c>
      <c r="BA244" t="s">
        <v>5004</v>
      </c>
      <c r="BB244" t="s">
        <v>11927</v>
      </c>
      <c r="BC244" t="s">
        <v>8066</v>
      </c>
      <c r="BD244" t="s">
        <v>8067</v>
      </c>
      <c r="BE244" t="s">
        <v>11273</v>
      </c>
      <c r="BF244" t="s">
        <v>15750</v>
      </c>
      <c r="BG244" t="s">
        <v>15751</v>
      </c>
      <c r="BH244" t="s">
        <v>15752</v>
      </c>
      <c r="BI244" t="s">
        <v>15753</v>
      </c>
      <c r="BJ244" t="s">
        <v>5013</v>
      </c>
      <c r="BK244" t="s">
        <v>5014</v>
      </c>
      <c r="BL244" t="s">
        <v>8414</v>
      </c>
      <c r="BM244" t="s">
        <v>15754</v>
      </c>
      <c r="BN244" t="s">
        <v>15755</v>
      </c>
      <c r="BO244" t="s">
        <v>15756</v>
      </c>
      <c r="BP244" t="s">
        <v>7511</v>
      </c>
      <c r="BR244" t="s">
        <v>274</v>
      </c>
    </row>
    <row r="245" spans="1:70" x14ac:dyDescent="0.3">
      <c r="A245" t="s">
        <v>236</v>
      </c>
      <c r="B245" t="s">
        <v>4078</v>
      </c>
      <c r="C245" t="s">
        <v>4632</v>
      </c>
      <c r="D245" t="s">
        <v>4633</v>
      </c>
      <c r="F245" t="s">
        <v>274</v>
      </c>
      <c r="G245" t="s">
        <v>274</v>
      </c>
      <c r="H245" t="s">
        <v>274</v>
      </c>
      <c r="I245" t="s">
        <v>274</v>
      </c>
      <c r="J245" t="s">
        <v>274</v>
      </c>
      <c r="K245" t="s">
        <v>274</v>
      </c>
      <c r="L245" t="s">
        <v>274</v>
      </c>
      <c r="M245" t="s">
        <v>274</v>
      </c>
      <c r="N245" t="s">
        <v>274</v>
      </c>
      <c r="O245" t="s">
        <v>274</v>
      </c>
      <c r="P245" t="s">
        <v>274</v>
      </c>
      <c r="Q245" t="s">
        <v>274</v>
      </c>
      <c r="R245" t="s">
        <v>274</v>
      </c>
      <c r="S245" t="s">
        <v>274</v>
      </c>
      <c r="T245" t="s">
        <v>274</v>
      </c>
      <c r="U245" t="s">
        <v>274</v>
      </c>
      <c r="V245" t="s">
        <v>274</v>
      </c>
      <c r="W245" t="s">
        <v>274</v>
      </c>
      <c r="X245" t="s">
        <v>274</v>
      </c>
      <c r="Y245" t="s">
        <v>274</v>
      </c>
      <c r="Z245" t="s">
        <v>274</v>
      </c>
      <c r="AA245" t="s">
        <v>15757</v>
      </c>
      <c r="AB245" t="s">
        <v>7812</v>
      </c>
      <c r="AC245" t="s">
        <v>15758</v>
      </c>
      <c r="AD245" t="s">
        <v>15759</v>
      </c>
      <c r="AE245" t="s">
        <v>15760</v>
      </c>
      <c r="AF245" t="s">
        <v>7814</v>
      </c>
      <c r="AG245" t="s">
        <v>11606</v>
      </c>
      <c r="AH245" t="s">
        <v>15761</v>
      </c>
      <c r="AI245" t="s">
        <v>7817</v>
      </c>
      <c r="AJ245" t="s">
        <v>15762</v>
      </c>
      <c r="AK245" t="s">
        <v>7762</v>
      </c>
      <c r="AL245" t="s">
        <v>15763</v>
      </c>
      <c r="AM245" t="s">
        <v>15764</v>
      </c>
      <c r="AN245" t="s">
        <v>15765</v>
      </c>
      <c r="AO245" t="s">
        <v>14132</v>
      </c>
      <c r="AP245" t="s">
        <v>15766</v>
      </c>
      <c r="AQ245" t="s">
        <v>15767</v>
      </c>
      <c r="AR245" t="s">
        <v>15768</v>
      </c>
      <c r="AS245" t="s">
        <v>7769</v>
      </c>
      <c r="AT245" t="s">
        <v>7770</v>
      </c>
      <c r="AU245" t="s">
        <v>15769</v>
      </c>
      <c r="AV245" t="s">
        <v>15770</v>
      </c>
      <c r="AW245" t="s">
        <v>15771</v>
      </c>
      <c r="AX245" t="s">
        <v>15772</v>
      </c>
      <c r="AY245" t="s">
        <v>15773</v>
      </c>
      <c r="AZ245" t="s">
        <v>15774</v>
      </c>
      <c r="BA245" t="s">
        <v>15775</v>
      </c>
      <c r="BB245" t="s">
        <v>15776</v>
      </c>
      <c r="BC245" t="s">
        <v>15777</v>
      </c>
      <c r="BD245" t="s">
        <v>15778</v>
      </c>
      <c r="BE245" t="s">
        <v>14140</v>
      </c>
      <c r="BF245" t="s">
        <v>15779</v>
      </c>
      <c r="BG245" t="s">
        <v>15780</v>
      </c>
      <c r="BH245" t="s">
        <v>15781</v>
      </c>
      <c r="BI245" t="s">
        <v>15782</v>
      </c>
      <c r="BJ245" t="s">
        <v>15783</v>
      </c>
      <c r="BK245" t="s">
        <v>15784</v>
      </c>
      <c r="BL245" t="s">
        <v>15785</v>
      </c>
      <c r="BM245" t="s">
        <v>15786</v>
      </c>
      <c r="BN245" t="s">
        <v>14145</v>
      </c>
      <c r="BO245" t="s">
        <v>15787</v>
      </c>
      <c r="BP245" t="s">
        <v>274</v>
      </c>
      <c r="BR245" t="s">
        <v>274</v>
      </c>
    </row>
    <row r="246" spans="1:70" x14ac:dyDescent="0.3">
      <c r="A246" t="s">
        <v>4092</v>
      </c>
      <c r="B246" t="s">
        <v>4093</v>
      </c>
      <c r="C246" t="s">
        <v>4632</v>
      </c>
      <c r="D246" t="s">
        <v>4633</v>
      </c>
      <c r="F246" t="s">
        <v>14423</v>
      </c>
      <c r="G246" t="s">
        <v>13535</v>
      </c>
      <c r="H246" t="s">
        <v>13256</v>
      </c>
      <c r="I246" t="s">
        <v>11491</v>
      </c>
      <c r="J246" t="s">
        <v>5644</v>
      </c>
      <c r="K246" t="s">
        <v>5645</v>
      </c>
      <c r="L246" t="s">
        <v>13539</v>
      </c>
      <c r="M246" t="s">
        <v>9813</v>
      </c>
      <c r="N246" t="s">
        <v>10108</v>
      </c>
      <c r="O246" t="s">
        <v>13542</v>
      </c>
      <c r="P246" t="s">
        <v>6290</v>
      </c>
      <c r="Q246" t="s">
        <v>13544</v>
      </c>
      <c r="R246" t="s">
        <v>6292</v>
      </c>
      <c r="S246" t="s">
        <v>13266</v>
      </c>
      <c r="T246" t="s">
        <v>11502</v>
      </c>
      <c r="U246" t="s">
        <v>10115</v>
      </c>
      <c r="V246" t="s">
        <v>6296</v>
      </c>
      <c r="W246" t="s">
        <v>11602</v>
      </c>
      <c r="X246" t="s">
        <v>5658</v>
      </c>
      <c r="Y246" t="s">
        <v>10119</v>
      </c>
      <c r="Z246" t="s">
        <v>5660</v>
      </c>
      <c r="AA246" t="s">
        <v>13274</v>
      </c>
      <c r="AB246" t="s">
        <v>5662</v>
      </c>
      <c r="AC246" t="s">
        <v>13555</v>
      </c>
      <c r="AD246" t="s">
        <v>6304</v>
      </c>
      <c r="AE246" t="s">
        <v>10125</v>
      </c>
      <c r="AF246" t="s">
        <v>9785</v>
      </c>
      <c r="AG246" t="s">
        <v>11565</v>
      </c>
      <c r="AH246" t="s">
        <v>10127</v>
      </c>
      <c r="AI246" t="s">
        <v>5669</v>
      </c>
      <c r="AJ246" t="s">
        <v>13282</v>
      </c>
      <c r="AK246" t="s">
        <v>11519</v>
      </c>
      <c r="AL246" t="s">
        <v>10131</v>
      </c>
      <c r="AM246" t="s">
        <v>11521</v>
      </c>
      <c r="AN246" t="s">
        <v>6314</v>
      </c>
      <c r="AO246" t="s">
        <v>6315</v>
      </c>
      <c r="AP246" t="s">
        <v>7824</v>
      </c>
      <c r="AQ246" t="s">
        <v>13567</v>
      </c>
      <c r="AR246" t="s">
        <v>11526</v>
      </c>
      <c r="AS246" t="s">
        <v>13289</v>
      </c>
      <c r="AT246" t="s">
        <v>14424</v>
      </c>
      <c r="AU246" t="s">
        <v>14425</v>
      </c>
      <c r="AV246" t="s">
        <v>14426</v>
      </c>
      <c r="AW246" t="s">
        <v>14427</v>
      </c>
      <c r="AX246" t="s">
        <v>14428</v>
      </c>
      <c r="AY246" t="s">
        <v>11388</v>
      </c>
      <c r="AZ246" t="s">
        <v>14429</v>
      </c>
      <c r="BA246" t="s">
        <v>14430</v>
      </c>
      <c r="BB246" t="s">
        <v>14431</v>
      </c>
      <c r="BC246" t="s">
        <v>14432</v>
      </c>
      <c r="BD246" t="s">
        <v>14433</v>
      </c>
      <c r="BE246" t="s">
        <v>14434</v>
      </c>
      <c r="BF246" t="s">
        <v>14435</v>
      </c>
      <c r="BG246" t="s">
        <v>14436</v>
      </c>
      <c r="BH246" t="s">
        <v>14437</v>
      </c>
      <c r="BI246" t="s">
        <v>14438</v>
      </c>
      <c r="BJ246" t="s">
        <v>14439</v>
      </c>
      <c r="BK246" t="s">
        <v>14440</v>
      </c>
      <c r="BL246" t="s">
        <v>14441</v>
      </c>
      <c r="BM246" t="s">
        <v>14442</v>
      </c>
      <c r="BN246" t="s">
        <v>14443</v>
      </c>
      <c r="BO246" t="s">
        <v>14444</v>
      </c>
      <c r="BP246" t="s">
        <v>14445</v>
      </c>
      <c r="BR246" t="s">
        <v>274</v>
      </c>
    </row>
    <row r="247" spans="1:70" x14ac:dyDescent="0.3">
      <c r="A247" t="s">
        <v>4094</v>
      </c>
      <c r="B247" t="s">
        <v>4095</v>
      </c>
      <c r="C247" t="s">
        <v>4632</v>
      </c>
      <c r="D247" t="s">
        <v>4633</v>
      </c>
      <c r="F247" t="s">
        <v>14971</v>
      </c>
      <c r="G247" t="s">
        <v>14972</v>
      </c>
      <c r="H247" t="s">
        <v>11593</v>
      </c>
      <c r="I247" t="s">
        <v>14973</v>
      </c>
      <c r="J247" t="s">
        <v>14974</v>
      </c>
      <c r="K247" t="s">
        <v>7797</v>
      </c>
      <c r="L247" t="s">
        <v>9577</v>
      </c>
      <c r="M247" t="s">
        <v>14975</v>
      </c>
      <c r="N247" t="s">
        <v>14976</v>
      </c>
      <c r="O247" t="s">
        <v>9580</v>
      </c>
      <c r="P247" t="s">
        <v>14977</v>
      </c>
      <c r="Q247" t="s">
        <v>14978</v>
      </c>
      <c r="R247" t="s">
        <v>14979</v>
      </c>
      <c r="S247" t="s">
        <v>14980</v>
      </c>
      <c r="T247" t="s">
        <v>14981</v>
      </c>
      <c r="U247" t="s">
        <v>14982</v>
      </c>
      <c r="V247" t="s">
        <v>14983</v>
      </c>
      <c r="W247" t="s">
        <v>14984</v>
      </c>
      <c r="X247" t="s">
        <v>14985</v>
      </c>
      <c r="Y247" t="s">
        <v>14986</v>
      </c>
      <c r="Z247" t="s">
        <v>14987</v>
      </c>
      <c r="AA247" t="s">
        <v>14988</v>
      </c>
      <c r="AB247" t="s">
        <v>12340</v>
      </c>
      <c r="AC247" t="s">
        <v>12979</v>
      </c>
      <c r="AD247" t="s">
        <v>10040</v>
      </c>
      <c r="AE247" t="s">
        <v>12713</v>
      </c>
      <c r="AF247" t="s">
        <v>12890</v>
      </c>
      <c r="AG247" t="s">
        <v>11188</v>
      </c>
      <c r="AH247" t="s">
        <v>10749</v>
      </c>
      <c r="AI247" t="s">
        <v>12717</v>
      </c>
      <c r="AJ247" t="s">
        <v>12718</v>
      </c>
      <c r="AK247" t="s">
        <v>14989</v>
      </c>
      <c r="AL247" t="s">
        <v>9831</v>
      </c>
      <c r="AM247" t="s">
        <v>9039</v>
      </c>
      <c r="AN247" t="s">
        <v>6794</v>
      </c>
      <c r="AO247" t="s">
        <v>8144</v>
      </c>
      <c r="AP247" t="s">
        <v>13050</v>
      </c>
      <c r="AQ247" t="s">
        <v>12725</v>
      </c>
      <c r="AR247" t="s">
        <v>7135</v>
      </c>
      <c r="AS247" t="s">
        <v>6441</v>
      </c>
      <c r="AT247" t="s">
        <v>12728</v>
      </c>
      <c r="AU247" t="s">
        <v>13523</v>
      </c>
      <c r="AV247" t="s">
        <v>14990</v>
      </c>
      <c r="AW247" t="s">
        <v>8700</v>
      </c>
      <c r="AX247" t="s">
        <v>12360</v>
      </c>
      <c r="AY247" t="s">
        <v>8402</v>
      </c>
      <c r="AZ247" t="s">
        <v>8403</v>
      </c>
      <c r="BA247" t="s">
        <v>13000</v>
      </c>
      <c r="BB247" t="s">
        <v>14991</v>
      </c>
      <c r="BC247" t="s">
        <v>14992</v>
      </c>
      <c r="BD247" t="s">
        <v>14993</v>
      </c>
      <c r="BE247" t="s">
        <v>14994</v>
      </c>
      <c r="BF247" t="s">
        <v>14995</v>
      </c>
      <c r="BG247" t="s">
        <v>14996</v>
      </c>
      <c r="BH247" t="s">
        <v>14997</v>
      </c>
      <c r="BI247" t="s">
        <v>14998</v>
      </c>
      <c r="BJ247" t="s">
        <v>14999</v>
      </c>
      <c r="BK247" t="s">
        <v>15000</v>
      </c>
      <c r="BL247" t="s">
        <v>15001</v>
      </c>
      <c r="BM247" t="s">
        <v>15002</v>
      </c>
      <c r="BN247" t="s">
        <v>15003</v>
      </c>
      <c r="BO247" t="s">
        <v>15004</v>
      </c>
      <c r="BP247" t="s">
        <v>11628</v>
      </c>
      <c r="BR247" t="s">
        <v>274</v>
      </c>
    </row>
    <row r="248" spans="1:70" x14ac:dyDescent="0.3">
      <c r="A248" t="s">
        <v>172</v>
      </c>
      <c r="B248" t="s">
        <v>4096</v>
      </c>
      <c r="C248" t="s">
        <v>4632</v>
      </c>
      <c r="D248" t="s">
        <v>4633</v>
      </c>
      <c r="F248" t="s">
        <v>15788</v>
      </c>
      <c r="G248" t="s">
        <v>15789</v>
      </c>
      <c r="H248" t="s">
        <v>15790</v>
      </c>
      <c r="I248" t="s">
        <v>15791</v>
      </c>
      <c r="J248" t="s">
        <v>15792</v>
      </c>
      <c r="K248" t="s">
        <v>15793</v>
      </c>
      <c r="L248" t="s">
        <v>15794</v>
      </c>
      <c r="M248" t="s">
        <v>15795</v>
      </c>
      <c r="N248" t="s">
        <v>15796</v>
      </c>
      <c r="O248" t="s">
        <v>15797</v>
      </c>
      <c r="P248" t="s">
        <v>15798</v>
      </c>
      <c r="Q248" t="s">
        <v>15799</v>
      </c>
      <c r="R248" t="s">
        <v>15800</v>
      </c>
      <c r="S248" t="s">
        <v>15801</v>
      </c>
      <c r="T248" t="s">
        <v>15802</v>
      </c>
      <c r="U248" t="s">
        <v>11687</v>
      </c>
      <c r="V248" t="s">
        <v>15803</v>
      </c>
      <c r="W248" t="s">
        <v>15804</v>
      </c>
      <c r="X248" t="s">
        <v>15805</v>
      </c>
      <c r="Y248" t="s">
        <v>15806</v>
      </c>
      <c r="Z248" t="s">
        <v>15807</v>
      </c>
      <c r="AA248" t="s">
        <v>15808</v>
      </c>
      <c r="AB248" t="s">
        <v>15809</v>
      </c>
      <c r="AC248" t="s">
        <v>15810</v>
      </c>
      <c r="AD248" t="s">
        <v>15811</v>
      </c>
      <c r="AE248" t="s">
        <v>15812</v>
      </c>
      <c r="AF248" t="s">
        <v>15813</v>
      </c>
      <c r="AG248" t="s">
        <v>15814</v>
      </c>
      <c r="AH248" t="s">
        <v>15815</v>
      </c>
      <c r="AI248" t="s">
        <v>15816</v>
      </c>
      <c r="AJ248" t="s">
        <v>15817</v>
      </c>
      <c r="AK248" t="s">
        <v>15818</v>
      </c>
      <c r="AL248" t="s">
        <v>11338</v>
      </c>
      <c r="AM248" t="s">
        <v>11697</v>
      </c>
      <c r="AN248" t="s">
        <v>15819</v>
      </c>
      <c r="AO248" t="s">
        <v>15820</v>
      </c>
      <c r="AP248" t="s">
        <v>15821</v>
      </c>
      <c r="AQ248" t="s">
        <v>15822</v>
      </c>
      <c r="AR248" t="s">
        <v>15823</v>
      </c>
      <c r="AS248" t="s">
        <v>15824</v>
      </c>
      <c r="AT248" t="s">
        <v>15825</v>
      </c>
      <c r="AU248" t="s">
        <v>15826</v>
      </c>
      <c r="AV248" t="s">
        <v>15827</v>
      </c>
      <c r="AW248" t="s">
        <v>15828</v>
      </c>
      <c r="AX248" t="s">
        <v>15829</v>
      </c>
      <c r="AY248" t="s">
        <v>15830</v>
      </c>
      <c r="AZ248" t="s">
        <v>15831</v>
      </c>
      <c r="BA248" t="s">
        <v>15832</v>
      </c>
      <c r="BB248" t="s">
        <v>15833</v>
      </c>
      <c r="BC248" t="s">
        <v>15834</v>
      </c>
      <c r="BD248" t="s">
        <v>15835</v>
      </c>
      <c r="BE248" t="s">
        <v>15836</v>
      </c>
      <c r="BF248" t="s">
        <v>15837</v>
      </c>
      <c r="BG248" t="s">
        <v>15838</v>
      </c>
      <c r="BH248" t="s">
        <v>15839</v>
      </c>
      <c r="BI248" t="s">
        <v>15840</v>
      </c>
      <c r="BJ248" t="s">
        <v>15841</v>
      </c>
      <c r="BK248" t="s">
        <v>15842</v>
      </c>
      <c r="BL248" t="s">
        <v>15843</v>
      </c>
      <c r="BM248" t="s">
        <v>15844</v>
      </c>
      <c r="BN248" t="s">
        <v>15845</v>
      </c>
      <c r="BO248" t="s">
        <v>15846</v>
      </c>
      <c r="BP248" t="s">
        <v>15847</v>
      </c>
      <c r="BR248" t="s">
        <v>274</v>
      </c>
    </row>
    <row r="249" spans="1:70" x14ac:dyDescent="0.3">
      <c r="A249" t="s">
        <v>173</v>
      </c>
      <c r="B249" t="s">
        <v>4121</v>
      </c>
      <c r="C249" t="s">
        <v>4632</v>
      </c>
      <c r="D249" t="s">
        <v>4633</v>
      </c>
      <c r="F249" t="s">
        <v>274</v>
      </c>
      <c r="G249" t="s">
        <v>15848</v>
      </c>
      <c r="H249" t="s">
        <v>15849</v>
      </c>
      <c r="I249" t="s">
        <v>15850</v>
      </c>
      <c r="J249" t="s">
        <v>15851</v>
      </c>
      <c r="K249" t="s">
        <v>15852</v>
      </c>
      <c r="L249" t="s">
        <v>15853</v>
      </c>
      <c r="M249" t="s">
        <v>15854</v>
      </c>
      <c r="N249" t="s">
        <v>15855</v>
      </c>
      <c r="O249" t="s">
        <v>15856</v>
      </c>
      <c r="P249" t="s">
        <v>15857</v>
      </c>
      <c r="Q249" t="s">
        <v>15858</v>
      </c>
      <c r="R249" t="s">
        <v>15859</v>
      </c>
      <c r="S249" t="s">
        <v>9774</v>
      </c>
      <c r="T249" t="s">
        <v>15860</v>
      </c>
      <c r="U249" t="s">
        <v>15861</v>
      </c>
      <c r="V249" t="s">
        <v>11688</v>
      </c>
      <c r="W249" t="s">
        <v>15862</v>
      </c>
      <c r="X249" t="s">
        <v>15863</v>
      </c>
      <c r="Y249" t="s">
        <v>15864</v>
      </c>
      <c r="Z249" t="s">
        <v>15865</v>
      </c>
      <c r="AA249" t="s">
        <v>15866</v>
      </c>
      <c r="AB249" t="s">
        <v>15867</v>
      </c>
      <c r="AC249" t="s">
        <v>15868</v>
      </c>
      <c r="AD249" t="s">
        <v>15869</v>
      </c>
      <c r="AE249" t="s">
        <v>15870</v>
      </c>
      <c r="AF249" t="s">
        <v>15871</v>
      </c>
      <c r="AG249" t="s">
        <v>15872</v>
      </c>
      <c r="AH249" t="s">
        <v>15873</v>
      </c>
      <c r="AI249" t="s">
        <v>15874</v>
      </c>
      <c r="AJ249" t="s">
        <v>15875</v>
      </c>
      <c r="AK249" t="s">
        <v>12140</v>
      </c>
      <c r="AL249" t="s">
        <v>15876</v>
      </c>
      <c r="AM249" t="s">
        <v>15877</v>
      </c>
      <c r="AN249" t="s">
        <v>15878</v>
      </c>
      <c r="AO249" t="s">
        <v>15879</v>
      </c>
      <c r="AP249" t="s">
        <v>15880</v>
      </c>
      <c r="AQ249" t="s">
        <v>15881</v>
      </c>
      <c r="AR249" t="s">
        <v>15882</v>
      </c>
      <c r="AS249" t="s">
        <v>15883</v>
      </c>
      <c r="AT249" t="s">
        <v>15884</v>
      </c>
      <c r="AU249" t="s">
        <v>15885</v>
      </c>
      <c r="AV249" t="s">
        <v>15886</v>
      </c>
      <c r="AW249" t="s">
        <v>15887</v>
      </c>
      <c r="AX249" t="s">
        <v>15888</v>
      </c>
      <c r="AY249" t="s">
        <v>15889</v>
      </c>
      <c r="AZ249" t="s">
        <v>15890</v>
      </c>
      <c r="BA249" t="s">
        <v>15891</v>
      </c>
      <c r="BB249" t="s">
        <v>11619</v>
      </c>
      <c r="BC249" t="s">
        <v>15892</v>
      </c>
      <c r="BD249" t="s">
        <v>15893</v>
      </c>
      <c r="BE249" t="s">
        <v>15894</v>
      </c>
      <c r="BF249" t="s">
        <v>15750</v>
      </c>
      <c r="BG249" t="s">
        <v>15895</v>
      </c>
      <c r="BH249" t="s">
        <v>15896</v>
      </c>
      <c r="BI249" t="s">
        <v>15897</v>
      </c>
      <c r="BJ249" t="s">
        <v>12521</v>
      </c>
      <c r="BK249" t="s">
        <v>12160</v>
      </c>
      <c r="BL249" t="s">
        <v>15898</v>
      </c>
      <c r="BM249" t="s">
        <v>15899</v>
      </c>
      <c r="BN249" t="s">
        <v>15900</v>
      </c>
      <c r="BO249" t="s">
        <v>15901</v>
      </c>
      <c r="BP249" t="s">
        <v>15902</v>
      </c>
      <c r="BR249" t="s">
        <v>274</v>
      </c>
    </row>
    <row r="250" spans="1:70" x14ac:dyDescent="0.3">
      <c r="A250" t="s">
        <v>4122</v>
      </c>
      <c r="B250" t="s">
        <v>4123</v>
      </c>
      <c r="C250" t="s">
        <v>4632</v>
      </c>
      <c r="D250" t="s">
        <v>4633</v>
      </c>
      <c r="F250" t="s">
        <v>15903</v>
      </c>
      <c r="G250" t="s">
        <v>15904</v>
      </c>
      <c r="H250" t="s">
        <v>15905</v>
      </c>
      <c r="I250" t="s">
        <v>15906</v>
      </c>
      <c r="J250" t="s">
        <v>13424</v>
      </c>
      <c r="K250" t="s">
        <v>15907</v>
      </c>
      <c r="L250" t="s">
        <v>15908</v>
      </c>
      <c r="M250" t="s">
        <v>15909</v>
      </c>
      <c r="N250" t="s">
        <v>15910</v>
      </c>
      <c r="O250" t="s">
        <v>15911</v>
      </c>
      <c r="P250" t="s">
        <v>15912</v>
      </c>
      <c r="Q250" t="s">
        <v>15913</v>
      </c>
      <c r="R250" t="s">
        <v>15914</v>
      </c>
      <c r="S250" t="s">
        <v>15915</v>
      </c>
      <c r="T250" t="s">
        <v>15916</v>
      </c>
      <c r="U250" t="s">
        <v>15917</v>
      </c>
      <c r="V250" t="s">
        <v>15918</v>
      </c>
      <c r="W250" t="s">
        <v>15919</v>
      </c>
      <c r="X250" t="s">
        <v>15920</v>
      </c>
      <c r="Y250" t="s">
        <v>15921</v>
      </c>
      <c r="Z250" t="s">
        <v>15922</v>
      </c>
      <c r="AA250" t="s">
        <v>15923</v>
      </c>
      <c r="AB250" t="s">
        <v>15924</v>
      </c>
      <c r="AC250" t="s">
        <v>15925</v>
      </c>
      <c r="AD250" t="s">
        <v>15926</v>
      </c>
      <c r="AE250" t="s">
        <v>15927</v>
      </c>
      <c r="AF250" t="s">
        <v>15928</v>
      </c>
      <c r="AG250" t="s">
        <v>15929</v>
      </c>
      <c r="AH250" t="s">
        <v>15930</v>
      </c>
      <c r="AI250" t="s">
        <v>15931</v>
      </c>
      <c r="AJ250" t="s">
        <v>15932</v>
      </c>
      <c r="AK250" t="s">
        <v>15933</v>
      </c>
      <c r="AL250" t="s">
        <v>15934</v>
      </c>
      <c r="AM250" t="s">
        <v>15935</v>
      </c>
      <c r="AN250" t="s">
        <v>15936</v>
      </c>
      <c r="AO250" t="s">
        <v>15937</v>
      </c>
      <c r="AP250" t="s">
        <v>15938</v>
      </c>
      <c r="AQ250" t="s">
        <v>15939</v>
      </c>
      <c r="AR250" t="s">
        <v>15940</v>
      </c>
      <c r="AS250" t="s">
        <v>15941</v>
      </c>
      <c r="AT250" t="s">
        <v>15942</v>
      </c>
      <c r="AU250" t="s">
        <v>15943</v>
      </c>
      <c r="AV250" t="s">
        <v>15944</v>
      </c>
      <c r="AW250" t="s">
        <v>15945</v>
      </c>
      <c r="AX250" t="s">
        <v>11616</v>
      </c>
      <c r="AY250" t="s">
        <v>15946</v>
      </c>
      <c r="AZ250" t="s">
        <v>15947</v>
      </c>
      <c r="BA250" t="s">
        <v>7906</v>
      </c>
      <c r="BB250" t="s">
        <v>15948</v>
      </c>
      <c r="BC250" t="s">
        <v>7833</v>
      </c>
      <c r="BD250" t="s">
        <v>15505</v>
      </c>
      <c r="BE250" t="s">
        <v>15949</v>
      </c>
      <c r="BF250" t="s">
        <v>15950</v>
      </c>
      <c r="BG250" t="s">
        <v>15951</v>
      </c>
      <c r="BH250" t="s">
        <v>15952</v>
      </c>
      <c r="BI250" t="s">
        <v>15953</v>
      </c>
      <c r="BJ250" t="s">
        <v>15954</v>
      </c>
      <c r="BK250" t="s">
        <v>15955</v>
      </c>
      <c r="BL250" t="s">
        <v>15956</v>
      </c>
      <c r="BM250" t="s">
        <v>15957</v>
      </c>
      <c r="BN250" t="s">
        <v>15958</v>
      </c>
      <c r="BO250" t="s">
        <v>15959</v>
      </c>
      <c r="BP250" t="s">
        <v>15960</v>
      </c>
      <c r="BR250" t="s">
        <v>274</v>
      </c>
    </row>
    <row r="251" spans="1:70" x14ac:dyDescent="0.3">
      <c r="A251" t="s">
        <v>237</v>
      </c>
      <c r="B251" t="s">
        <v>4124</v>
      </c>
      <c r="C251" t="s">
        <v>4632</v>
      </c>
      <c r="D251" t="s">
        <v>4633</v>
      </c>
      <c r="F251" t="s">
        <v>274</v>
      </c>
      <c r="G251" t="s">
        <v>274</v>
      </c>
      <c r="H251" t="s">
        <v>274</v>
      </c>
      <c r="I251" t="s">
        <v>274</v>
      </c>
      <c r="J251" t="s">
        <v>274</v>
      </c>
      <c r="K251" t="s">
        <v>274</v>
      </c>
      <c r="L251" t="s">
        <v>274</v>
      </c>
      <c r="M251" t="s">
        <v>274</v>
      </c>
      <c r="N251" t="s">
        <v>274</v>
      </c>
      <c r="O251" t="s">
        <v>274</v>
      </c>
      <c r="P251" t="s">
        <v>15961</v>
      </c>
      <c r="Q251" t="s">
        <v>15962</v>
      </c>
      <c r="R251" t="s">
        <v>15963</v>
      </c>
      <c r="S251" t="s">
        <v>15964</v>
      </c>
      <c r="T251" t="s">
        <v>15965</v>
      </c>
      <c r="U251" t="s">
        <v>15966</v>
      </c>
      <c r="V251" t="s">
        <v>15967</v>
      </c>
      <c r="W251" t="s">
        <v>15968</v>
      </c>
      <c r="X251" t="s">
        <v>15969</v>
      </c>
      <c r="Y251" t="s">
        <v>15970</v>
      </c>
      <c r="Z251" t="s">
        <v>15971</v>
      </c>
      <c r="AA251" t="s">
        <v>15972</v>
      </c>
      <c r="AB251" t="s">
        <v>15973</v>
      </c>
      <c r="AC251" t="s">
        <v>15974</v>
      </c>
      <c r="AD251" t="s">
        <v>15975</v>
      </c>
      <c r="AE251" t="s">
        <v>15976</v>
      </c>
      <c r="AF251" t="s">
        <v>15977</v>
      </c>
      <c r="AG251" t="s">
        <v>15978</v>
      </c>
      <c r="AH251" t="s">
        <v>15979</v>
      </c>
      <c r="AI251" t="s">
        <v>15980</v>
      </c>
      <c r="AJ251" t="s">
        <v>15981</v>
      </c>
      <c r="AK251" t="s">
        <v>14131</v>
      </c>
      <c r="AL251" t="s">
        <v>15982</v>
      </c>
      <c r="AM251" t="s">
        <v>15983</v>
      </c>
      <c r="AN251" t="s">
        <v>15486</v>
      </c>
      <c r="AO251" t="s">
        <v>15984</v>
      </c>
      <c r="AP251" t="s">
        <v>15985</v>
      </c>
      <c r="AQ251" t="s">
        <v>15986</v>
      </c>
      <c r="AR251" t="s">
        <v>7768</v>
      </c>
      <c r="AS251" t="s">
        <v>15987</v>
      </c>
      <c r="AT251" t="s">
        <v>15988</v>
      </c>
      <c r="AU251" t="s">
        <v>15989</v>
      </c>
      <c r="AV251" t="s">
        <v>15990</v>
      </c>
      <c r="AW251" t="s">
        <v>15991</v>
      </c>
      <c r="AX251" t="s">
        <v>15992</v>
      </c>
      <c r="AY251" t="s">
        <v>15993</v>
      </c>
      <c r="AZ251" t="s">
        <v>15994</v>
      </c>
      <c r="BA251" t="s">
        <v>15995</v>
      </c>
      <c r="BB251" t="s">
        <v>15996</v>
      </c>
      <c r="BC251" t="s">
        <v>15997</v>
      </c>
      <c r="BD251" t="s">
        <v>15998</v>
      </c>
      <c r="BE251" t="s">
        <v>15999</v>
      </c>
      <c r="BF251" t="s">
        <v>16000</v>
      </c>
      <c r="BG251" t="s">
        <v>995</v>
      </c>
      <c r="BH251" t="s">
        <v>16001</v>
      </c>
      <c r="BI251" t="s">
        <v>16002</v>
      </c>
      <c r="BJ251" t="s">
        <v>16003</v>
      </c>
      <c r="BK251" t="s">
        <v>16004</v>
      </c>
      <c r="BL251" t="s">
        <v>16005</v>
      </c>
      <c r="BM251" t="s">
        <v>16006</v>
      </c>
      <c r="BN251" t="s">
        <v>16007</v>
      </c>
      <c r="BO251" t="s">
        <v>16008</v>
      </c>
      <c r="BP251" t="s">
        <v>16009</v>
      </c>
      <c r="BR251" t="s">
        <v>274</v>
      </c>
    </row>
    <row r="252" spans="1:70" x14ac:dyDescent="0.3">
      <c r="A252" t="s">
        <v>175</v>
      </c>
      <c r="B252" t="s">
        <v>4125</v>
      </c>
      <c r="C252" t="s">
        <v>4632</v>
      </c>
      <c r="D252" t="s">
        <v>4633</v>
      </c>
      <c r="F252" t="s">
        <v>16010</v>
      </c>
      <c r="G252" t="s">
        <v>16011</v>
      </c>
      <c r="H252" t="s">
        <v>16012</v>
      </c>
      <c r="I252" t="s">
        <v>12265</v>
      </c>
      <c r="J252" t="s">
        <v>16013</v>
      </c>
      <c r="K252" t="s">
        <v>16014</v>
      </c>
      <c r="L252" t="s">
        <v>16015</v>
      </c>
      <c r="M252" t="s">
        <v>16016</v>
      </c>
      <c r="N252" t="s">
        <v>16017</v>
      </c>
      <c r="O252" t="s">
        <v>16018</v>
      </c>
      <c r="P252" t="s">
        <v>9581</v>
      </c>
      <c r="Q252" t="s">
        <v>16019</v>
      </c>
      <c r="R252" t="s">
        <v>9866</v>
      </c>
      <c r="S252" t="s">
        <v>16020</v>
      </c>
      <c r="T252" t="s">
        <v>16021</v>
      </c>
      <c r="U252" t="s">
        <v>16022</v>
      </c>
      <c r="V252" t="s">
        <v>16023</v>
      </c>
      <c r="W252" t="s">
        <v>11369</v>
      </c>
      <c r="X252" t="s">
        <v>11370</v>
      </c>
      <c r="Y252" t="s">
        <v>9583</v>
      </c>
      <c r="Z252" t="s">
        <v>16024</v>
      </c>
      <c r="AA252" t="s">
        <v>16025</v>
      </c>
      <c r="AB252" t="s">
        <v>16026</v>
      </c>
      <c r="AC252" t="s">
        <v>16027</v>
      </c>
      <c r="AD252" t="s">
        <v>16028</v>
      </c>
      <c r="AE252" t="s">
        <v>16029</v>
      </c>
      <c r="AF252" t="s">
        <v>16030</v>
      </c>
      <c r="AG252" t="s">
        <v>16031</v>
      </c>
      <c r="AH252" t="s">
        <v>16032</v>
      </c>
      <c r="AI252" t="s">
        <v>16033</v>
      </c>
      <c r="AJ252" t="s">
        <v>16034</v>
      </c>
      <c r="AK252" t="s">
        <v>16035</v>
      </c>
      <c r="AL252" t="s">
        <v>16036</v>
      </c>
      <c r="AM252" t="s">
        <v>16037</v>
      </c>
      <c r="AN252" t="s">
        <v>16038</v>
      </c>
      <c r="AO252" t="s">
        <v>16039</v>
      </c>
      <c r="AP252" t="s">
        <v>16040</v>
      </c>
      <c r="AQ252" t="s">
        <v>16041</v>
      </c>
      <c r="AR252" t="s">
        <v>16042</v>
      </c>
      <c r="AS252" t="s">
        <v>16043</v>
      </c>
      <c r="AT252" t="s">
        <v>16044</v>
      </c>
      <c r="AU252" t="s">
        <v>16045</v>
      </c>
      <c r="AV252" t="s">
        <v>16046</v>
      </c>
      <c r="AW252" t="s">
        <v>16047</v>
      </c>
      <c r="AX252" t="s">
        <v>16048</v>
      </c>
      <c r="AY252" t="s">
        <v>16049</v>
      </c>
      <c r="AZ252" t="s">
        <v>16050</v>
      </c>
      <c r="BA252" t="s">
        <v>16051</v>
      </c>
      <c r="BB252" t="s">
        <v>16052</v>
      </c>
      <c r="BC252" t="s">
        <v>16053</v>
      </c>
      <c r="BD252" t="s">
        <v>16054</v>
      </c>
      <c r="BE252" t="s">
        <v>16055</v>
      </c>
      <c r="BF252" t="s">
        <v>16056</v>
      </c>
      <c r="BG252" t="s">
        <v>16057</v>
      </c>
      <c r="BH252" t="s">
        <v>16058</v>
      </c>
      <c r="BI252" t="s">
        <v>16059</v>
      </c>
      <c r="BJ252" t="s">
        <v>16060</v>
      </c>
      <c r="BK252" t="s">
        <v>9610</v>
      </c>
      <c r="BL252" t="s">
        <v>16061</v>
      </c>
      <c r="BM252" t="s">
        <v>16062</v>
      </c>
      <c r="BN252" t="s">
        <v>16063</v>
      </c>
      <c r="BO252" t="s">
        <v>16064</v>
      </c>
      <c r="BP252" t="s">
        <v>16065</v>
      </c>
      <c r="BR252" t="s">
        <v>274</v>
      </c>
    </row>
    <row r="253" spans="1:70" x14ac:dyDescent="0.3">
      <c r="A253" t="s">
        <v>176</v>
      </c>
      <c r="B253" t="s">
        <v>4153</v>
      </c>
      <c r="C253" t="s">
        <v>4632</v>
      </c>
      <c r="D253" t="s">
        <v>4633</v>
      </c>
      <c r="F253" t="s">
        <v>274</v>
      </c>
      <c r="G253" t="s">
        <v>274</v>
      </c>
      <c r="H253" t="s">
        <v>274</v>
      </c>
      <c r="I253" t="s">
        <v>274</v>
      </c>
      <c r="J253" t="s">
        <v>274</v>
      </c>
      <c r="K253" t="s">
        <v>274</v>
      </c>
      <c r="L253" t="s">
        <v>274</v>
      </c>
      <c r="M253" t="s">
        <v>274</v>
      </c>
      <c r="N253" t="s">
        <v>274</v>
      </c>
      <c r="O253" t="s">
        <v>274</v>
      </c>
      <c r="P253" t="s">
        <v>274</v>
      </c>
      <c r="Q253" t="s">
        <v>274</v>
      </c>
      <c r="R253" t="s">
        <v>274</v>
      </c>
      <c r="S253" t="s">
        <v>274</v>
      </c>
      <c r="T253" t="s">
        <v>274</v>
      </c>
      <c r="U253" t="s">
        <v>274</v>
      </c>
      <c r="V253" t="s">
        <v>274</v>
      </c>
      <c r="W253" t="s">
        <v>274</v>
      </c>
      <c r="X253" t="s">
        <v>274</v>
      </c>
      <c r="Y253" t="s">
        <v>274</v>
      </c>
      <c r="Z253" t="s">
        <v>274</v>
      </c>
      <c r="AA253" t="s">
        <v>274</v>
      </c>
      <c r="AB253" t="s">
        <v>16066</v>
      </c>
      <c r="AC253" t="s">
        <v>16067</v>
      </c>
      <c r="AD253" t="s">
        <v>16068</v>
      </c>
      <c r="AE253" t="s">
        <v>16069</v>
      </c>
      <c r="AF253" t="s">
        <v>16070</v>
      </c>
      <c r="AG253" t="s">
        <v>16071</v>
      </c>
      <c r="AH253" t="s">
        <v>16072</v>
      </c>
      <c r="AI253" t="s">
        <v>16073</v>
      </c>
      <c r="AJ253" t="s">
        <v>16074</v>
      </c>
      <c r="AK253" t="s">
        <v>16075</v>
      </c>
      <c r="AL253" t="s">
        <v>16076</v>
      </c>
      <c r="AM253" t="s">
        <v>16077</v>
      </c>
      <c r="AN253" t="s">
        <v>16078</v>
      </c>
      <c r="AO253" t="s">
        <v>16079</v>
      </c>
      <c r="AP253" t="s">
        <v>16080</v>
      </c>
      <c r="AQ253" t="s">
        <v>16081</v>
      </c>
      <c r="AR253" t="s">
        <v>16082</v>
      </c>
      <c r="AS253" t="s">
        <v>4710</v>
      </c>
      <c r="AT253" t="s">
        <v>16083</v>
      </c>
      <c r="AU253" t="s">
        <v>16084</v>
      </c>
      <c r="AV253" t="s">
        <v>4713</v>
      </c>
      <c r="AW253" t="s">
        <v>16085</v>
      </c>
      <c r="AX253" t="s">
        <v>16086</v>
      </c>
      <c r="AY253" t="s">
        <v>16087</v>
      </c>
      <c r="AZ253" t="s">
        <v>16088</v>
      </c>
      <c r="BA253" t="s">
        <v>16089</v>
      </c>
      <c r="BB253" t="s">
        <v>16090</v>
      </c>
      <c r="BC253" t="s">
        <v>16091</v>
      </c>
      <c r="BD253" t="s">
        <v>11392</v>
      </c>
      <c r="BE253" t="s">
        <v>16092</v>
      </c>
      <c r="BF253" t="s">
        <v>9607</v>
      </c>
      <c r="BG253" t="s">
        <v>16093</v>
      </c>
      <c r="BH253" t="s">
        <v>16094</v>
      </c>
      <c r="BI253" t="s">
        <v>14960</v>
      </c>
      <c r="BJ253" t="s">
        <v>13914</v>
      </c>
      <c r="BK253" t="s">
        <v>11446</v>
      </c>
      <c r="BL253" t="s">
        <v>9611</v>
      </c>
      <c r="BM253" t="s">
        <v>13915</v>
      </c>
      <c r="BN253" t="s">
        <v>16095</v>
      </c>
      <c r="BO253" t="s">
        <v>16096</v>
      </c>
      <c r="BP253" t="s">
        <v>16097</v>
      </c>
      <c r="BR253" t="s">
        <v>274</v>
      </c>
    </row>
    <row r="254" spans="1:70" x14ac:dyDescent="0.3">
      <c r="A254" t="s">
        <v>238</v>
      </c>
      <c r="B254" t="s">
        <v>4189</v>
      </c>
      <c r="C254" t="s">
        <v>4632</v>
      </c>
      <c r="D254" t="s">
        <v>4633</v>
      </c>
      <c r="F254" t="s">
        <v>274</v>
      </c>
      <c r="G254" t="s">
        <v>274</v>
      </c>
      <c r="H254" t="s">
        <v>274</v>
      </c>
      <c r="I254" t="s">
        <v>274</v>
      </c>
      <c r="J254" t="s">
        <v>274</v>
      </c>
      <c r="K254" t="s">
        <v>274</v>
      </c>
      <c r="L254" t="s">
        <v>274</v>
      </c>
      <c r="M254" t="s">
        <v>274</v>
      </c>
      <c r="N254" t="s">
        <v>274</v>
      </c>
      <c r="O254" t="s">
        <v>274</v>
      </c>
      <c r="P254" t="s">
        <v>274</v>
      </c>
      <c r="Q254" t="s">
        <v>274</v>
      </c>
      <c r="R254" t="s">
        <v>274</v>
      </c>
      <c r="S254" t="s">
        <v>274</v>
      </c>
      <c r="T254" t="s">
        <v>274</v>
      </c>
      <c r="U254" t="s">
        <v>274</v>
      </c>
      <c r="V254" t="s">
        <v>274</v>
      </c>
      <c r="W254" t="s">
        <v>274</v>
      </c>
      <c r="X254" t="s">
        <v>274</v>
      </c>
      <c r="Y254" t="s">
        <v>274</v>
      </c>
      <c r="Z254" t="s">
        <v>274</v>
      </c>
      <c r="AA254" t="s">
        <v>274</v>
      </c>
      <c r="AB254" t="s">
        <v>274</v>
      </c>
      <c r="AC254" t="s">
        <v>274</v>
      </c>
      <c r="AD254" t="s">
        <v>274</v>
      </c>
      <c r="AE254" t="s">
        <v>274</v>
      </c>
      <c r="AF254" t="s">
        <v>274</v>
      </c>
      <c r="AG254" t="s">
        <v>16098</v>
      </c>
      <c r="AH254" t="s">
        <v>16099</v>
      </c>
      <c r="AI254" t="s">
        <v>16100</v>
      </c>
      <c r="AJ254" t="s">
        <v>16101</v>
      </c>
      <c r="AK254" t="s">
        <v>16102</v>
      </c>
      <c r="AL254" t="s">
        <v>16103</v>
      </c>
      <c r="AM254" t="s">
        <v>16104</v>
      </c>
      <c r="AN254" t="s">
        <v>16105</v>
      </c>
      <c r="AO254" t="s">
        <v>16106</v>
      </c>
      <c r="AP254" t="s">
        <v>16107</v>
      </c>
      <c r="AQ254" t="s">
        <v>16108</v>
      </c>
      <c r="AR254" t="s">
        <v>16109</v>
      </c>
      <c r="AS254" t="s">
        <v>16110</v>
      </c>
      <c r="AT254" t="s">
        <v>7901</v>
      </c>
      <c r="AU254" t="s">
        <v>8398</v>
      </c>
      <c r="AV254" t="s">
        <v>16111</v>
      </c>
      <c r="AW254" t="s">
        <v>16112</v>
      </c>
      <c r="AX254" t="s">
        <v>16113</v>
      </c>
      <c r="AY254" t="s">
        <v>16114</v>
      </c>
      <c r="AZ254" t="s">
        <v>16115</v>
      </c>
      <c r="BA254" t="s">
        <v>16116</v>
      </c>
      <c r="BB254" t="s">
        <v>16117</v>
      </c>
      <c r="BC254" t="s">
        <v>16118</v>
      </c>
      <c r="BD254" t="s">
        <v>16119</v>
      </c>
      <c r="BE254" t="s">
        <v>16120</v>
      </c>
      <c r="BF254" t="s">
        <v>16121</v>
      </c>
      <c r="BG254" t="s">
        <v>16122</v>
      </c>
      <c r="BH254" t="s">
        <v>16123</v>
      </c>
      <c r="BI254" t="s">
        <v>16124</v>
      </c>
      <c r="BJ254" t="s">
        <v>16125</v>
      </c>
      <c r="BK254" t="s">
        <v>16126</v>
      </c>
      <c r="BL254" t="s">
        <v>16127</v>
      </c>
      <c r="BM254" t="s">
        <v>16128</v>
      </c>
      <c r="BN254" t="s">
        <v>16129</v>
      </c>
      <c r="BO254" t="s">
        <v>16130</v>
      </c>
      <c r="BP254" t="s">
        <v>16131</v>
      </c>
      <c r="BR254" t="s">
        <v>274</v>
      </c>
    </row>
    <row r="255" spans="1:70" x14ac:dyDescent="0.3">
      <c r="A255" t="s">
        <v>4223</v>
      </c>
      <c r="B255" t="s">
        <v>4224</v>
      </c>
      <c r="C255" t="s">
        <v>4632</v>
      </c>
      <c r="D255" t="s">
        <v>4633</v>
      </c>
      <c r="F255" t="s">
        <v>16132</v>
      </c>
      <c r="G255" t="s">
        <v>16133</v>
      </c>
      <c r="H255" t="s">
        <v>16134</v>
      </c>
      <c r="I255" t="s">
        <v>16135</v>
      </c>
      <c r="J255" t="s">
        <v>16136</v>
      </c>
      <c r="K255" t="s">
        <v>10286</v>
      </c>
      <c r="L255" t="s">
        <v>15695</v>
      </c>
      <c r="M255" t="s">
        <v>16137</v>
      </c>
      <c r="N255" t="s">
        <v>16138</v>
      </c>
      <c r="O255" t="s">
        <v>16139</v>
      </c>
      <c r="P255" t="s">
        <v>16140</v>
      </c>
      <c r="Q255" t="s">
        <v>16141</v>
      </c>
      <c r="R255" t="s">
        <v>11069</v>
      </c>
      <c r="S255" t="s">
        <v>16142</v>
      </c>
      <c r="T255" t="s">
        <v>16143</v>
      </c>
      <c r="U255" t="s">
        <v>16144</v>
      </c>
      <c r="V255" t="s">
        <v>16145</v>
      </c>
      <c r="W255" t="s">
        <v>16146</v>
      </c>
      <c r="X255" t="s">
        <v>11075</v>
      </c>
      <c r="Y255" t="s">
        <v>16147</v>
      </c>
      <c r="Z255" t="s">
        <v>16148</v>
      </c>
      <c r="AA255" t="s">
        <v>16149</v>
      </c>
      <c r="AB255" t="s">
        <v>16150</v>
      </c>
      <c r="AC255" t="s">
        <v>16151</v>
      </c>
      <c r="AD255" t="s">
        <v>16152</v>
      </c>
      <c r="AE255" t="s">
        <v>16153</v>
      </c>
      <c r="AF255" t="s">
        <v>16154</v>
      </c>
      <c r="AG255" t="s">
        <v>16155</v>
      </c>
      <c r="AH255" t="s">
        <v>16156</v>
      </c>
      <c r="AI255" t="s">
        <v>16157</v>
      </c>
      <c r="AJ255" t="s">
        <v>11079</v>
      </c>
      <c r="AK255" t="s">
        <v>14067</v>
      </c>
      <c r="AL255" t="s">
        <v>7712</v>
      </c>
      <c r="AM255" t="s">
        <v>6731</v>
      </c>
      <c r="AN255" t="s">
        <v>16158</v>
      </c>
      <c r="AO255" t="s">
        <v>16159</v>
      </c>
      <c r="AP255" t="s">
        <v>16160</v>
      </c>
      <c r="AQ255" t="s">
        <v>10697</v>
      </c>
      <c r="AR255" t="s">
        <v>10557</v>
      </c>
      <c r="AS255" t="s">
        <v>7199</v>
      </c>
      <c r="AT255" t="s">
        <v>11082</v>
      </c>
      <c r="AU255" t="s">
        <v>11083</v>
      </c>
      <c r="AV255" t="s">
        <v>9795</v>
      </c>
      <c r="AW255" t="s">
        <v>8700</v>
      </c>
      <c r="AX255" t="s">
        <v>7830</v>
      </c>
      <c r="AY255" t="s">
        <v>10564</v>
      </c>
      <c r="AZ255" t="s">
        <v>8003</v>
      </c>
      <c r="BA255" t="s">
        <v>9310</v>
      </c>
      <c r="BB255" t="s">
        <v>16161</v>
      </c>
      <c r="BC255" t="s">
        <v>16162</v>
      </c>
      <c r="BD255" t="s">
        <v>16163</v>
      </c>
      <c r="BE255" t="s">
        <v>16164</v>
      </c>
      <c r="BF255" t="s">
        <v>16165</v>
      </c>
      <c r="BG255" t="s">
        <v>16166</v>
      </c>
      <c r="BH255" t="s">
        <v>16167</v>
      </c>
      <c r="BI255" t="s">
        <v>16168</v>
      </c>
      <c r="BJ255" t="s">
        <v>16169</v>
      </c>
      <c r="BK255" t="s">
        <v>16170</v>
      </c>
      <c r="BL255" t="s">
        <v>16171</v>
      </c>
      <c r="BM255" t="s">
        <v>16172</v>
      </c>
      <c r="BN255" t="s">
        <v>16173</v>
      </c>
      <c r="BO255" t="s">
        <v>9804</v>
      </c>
      <c r="BP255" t="s">
        <v>16174</v>
      </c>
      <c r="BR255" t="s">
        <v>274</v>
      </c>
    </row>
    <row r="256" spans="1:70" x14ac:dyDescent="0.3">
      <c r="A256" t="s">
        <v>178</v>
      </c>
      <c r="B256" t="s">
        <v>4225</v>
      </c>
      <c r="C256" t="s">
        <v>4632</v>
      </c>
      <c r="D256" t="s">
        <v>4633</v>
      </c>
      <c r="F256" t="s">
        <v>16175</v>
      </c>
      <c r="G256" t="s">
        <v>16176</v>
      </c>
      <c r="H256" t="s">
        <v>16177</v>
      </c>
      <c r="I256" t="s">
        <v>16178</v>
      </c>
      <c r="J256" t="s">
        <v>16179</v>
      </c>
      <c r="K256" t="s">
        <v>16180</v>
      </c>
      <c r="L256" t="s">
        <v>16181</v>
      </c>
      <c r="M256" t="s">
        <v>16182</v>
      </c>
      <c r="N256" t="s">
        <v>16183</v>
      </c>
      <c r="O256" t="s">
        <v>16184</v>
      </c>
      <c r="P256" t="s">
        <v>16185</v>
      </c>
      <c r="Q256" t="s">
        <v>16186</v>
      </c>
      <c r="R256" t="s">
        <v>16187</v>
      </c>
      <c r="S256" t="s">
        <v>16188</v>
      </c>
      <c r="T256" t="s">
        <v>16189</v>
      </c>
      <c r="U256" t="s">
        <v>16190</v>
      </c>
      <c r="V256" t="s">
        <v>16191</v>
      </c>
      <c r="W256" t="s">
        <v>16192</v>
      </c>
      <c r="X256" t="s">
        <v>16193</v>
      </c>
      <c r="Y256" t="s">
        <v>16194</v>
      </c>
      <c r="Z256" t="s">
        <v>16195</v>
      </c>
      <c r="AA256" t="s">
        <v>16196</v>
      </c>
      <c r="AB256" t="s">
        <v>16197</v>
      </c>
      <c r="AC256" t="s">
        <v>16198</v>
      </c>
      <c r="AD256" t="s">
        <v>16199</v>
      </c>
      <c r="AE256" t="s">
        <v>16200</v>
      </c>
      <c r="AF256" t="s">
        <v>16201</v>
      </c>
      <c r="AG256" t="s">
        <v>16202</v>
      </c>
      <c r="AH256" t="s">
        <v>16203</v>
      </c>
      <c r="AI256" t="s">
        <v>16204</v>
      </c>
      <c r="AJ256" t="s">
        <v>16205</v>
      </c>
      <c r="AK256" t="s">
        <v>16206</v>
      </c>
      <c r="AL256" t="s">
        <v>16207</v>
      </c>
      <c r="AM256" t="s">
        <v>16208</v>
      </c>
      <c r="AN256" t="s">
        <v>16209</v>
      </c>
      <c r="AO256" t="s">
        <v>16210</v>
      </c>
      <c r="AP256" t="s">
        <v>16211</v>
      </c>
      <c r="AQ256" t="s">
        <v>16212</v>
      </c>
      <c r="AR256" t="s">
        <v>15708</v>
      </c>
      <c r="AS256" t="s">
        <v>16213</v>
      </c>
      <c r="AT256" t="s">
        <v>16214</v>
      </c>
      <c r="AU256" t="s">
        <v>16215</v>
      </c>
      <c r="AV256" t="s">
        <v>16216</v>
      </c>
      <c r="AW256" t="s">
        <v>16217</v>
      </c>
      <c r="AX256" t="s">
        <v>16218</v>
      </c>
      <c r="AY256" t="s">
        <v>16219</v>
      </c>
      <c r="AZ256" t="s">
        <v>16220</v>
      </c>
      <c r="BA256" t="s">
        <v>16221</v>
      </c>
      <c r="BB256" t="s">
        <v>16222</v>
      </c>
      <c r="BC256" t="s">
        <v>16223</v>
      </c>
      <c r="BD256" t="s">
        <v>16224</v>
      </c>
      <c r="BE256" t="s">
        <v>16225</v>
      </c>
      <c r="BF256" t="s">
        <v>16226</v>
      </c>
      <c r="BG256" t="s">
        <v>16227</v>
      </c>
      <c r="BH256" t="s">
        <v>16228</v>
      </c>
      <c r="BI256" t="s">
        <v>16229</v>
      </c>
      <c r="BJ256" t="s">
        <v>16230</v>
      </c>
      <c r="BK256" t="s">
        <v>16231</v>
      </c>
      <c r="BL256" t="s">
        <v>16232</v>
      </c>
      <c r="BM256" t="s">
        <v>16233</v>
      </c>
      <c r="BN256" t="s">
        <v>16234</v>
      </c>
      <c r="BO256" t="s">
        <v>16235</v>
      </c>
      <c r="BP256" t="s">
        <v>16236</v>
      </c>
      <c r="BR256" t="s">
        <v>274</v>
      </c>
    </row>
    <row r="257" spans="1:70" x14ac:dyDescent="0.3">
      <c r="A257" t="s">
        <v>179</v>
      </c>
      <c r="B257" t="s">
        <v>4275</v>
      </c>
      <c r="C257" t="s">
        <v>4632</v>
      </c>
      <c r="D257" t="s">
        <v>4633</v>
      </c>
      <c r="F257" t="s">
        <v>12851</v>
      </c>
      <c r="G257" t="s">
        <v>12852</v>
      </c>
      <c r="H257" t="s">
        <v>16237</v>
      </c>
      <c r="I257" t="s">
        <v>12853</v>
      </c>
      <c r="J257" t="s">
        <v>12854</v>
      </c>
      <c r="K257" t="s">
        <v>12855</v>
      </c>
      <c r="L257" t="s">
        <v>16238</v>
      </c>
      <c r="M257" t="s">
        <v>12856</v>
      </c>
      <c r="N257" t="s">
        <v>12857</v>
      </c>
      <c r="O257" t="s">
        <v>12858</v>
      </c>
      <c r="P257" t="s">
        <v>12859</v>
      </c>
      <c r="Q257" t="s">
        <v>16239</v>
      </c>
      <c r="R257" t="s">
        <v>16240</v>
      </c>
      <c r="S257" t="s">
        <v>16241</v>
      </c>
      <c r="T257" t="s">
        <v>12860</v>
      </c>
      <c r="U257" t="s">
        <v>12861</v>
      </c>
      <c r="V257" t="s">
        <v>16242</v>
      </c>
      <c r="W257" t="s">
        <v>16243</v>
      </c>
      <c r="X257" t="s">
        <v>12862</v>
      </c>
      <c r="Y257" t="s">
        <v>16244</v>
      </c>
      <c r="Z257" t="s">
        <v>16245</v>
      </c>
      <c r="AA257" t="s">
        <v>16246</v>
      </c>
      <c r="AB257" t="s">
        <v>16247</v>
      </c>
      <c r="AC257" t="s">
        <v>12863</v>
      </c>
      <c r="AD257" t="s">
        <v>16248</v>
      </c>
      <c r="AE257" t="s">
        <v>16249</v>
      </c>
      <c r="AF257" t="s">
        <v>16250</v>
      </c>
      <c r="AG257" t="s">
        <v>16251</v>
      </c>
      <c r="AH257" t="s">
        <v>16252</v>
      </c>
      <c r="AI257" t="s">
        <v>12864</v>
      </c>
      <c r="AJ257" t="s">
        <v>12865</v>
      </c>
      <c r="AK257" t="s">
        <v>12866</v>
      </c>
      <c r="AL257" t="s">
        <v>12867</v>
      </c>
      <c r="AM257" t="s">
        <v>16253</v>
      </c>
      <c r="AN257" t="s">
        <v>16254</v>
      </c>
      <c r="AO257" t="s">
        <v>12868</v>
      </c>
      <c r="AP257" t="s">
        <v>12869</v>
      </c>
      <c r="AQ257" t="s">
        <v>12870</v>
      </c>
      <c r="AR257" t="s">
        <v>16255</v>
      </c>
      <c r="AS257" t="s">
        <v>12871</v>
      </c>
      <c r="AT257" t="s">
        <v>16256</v>
      </c>
      <c r="AU257" t="s">
        <v>12872</v>
      </c>
      <c r="AV257" t="s">
        <v>16257</v>
      </c>
      <c r="AW257" t="s">
        <v>16258</v>
      </c>
      <c r="AX257" t="s">
        <v>12873</v>
      </c>
      <c r="AY257" t="s">
        <v>12874</v>
      </c>
      <c r="AZ257" t="s">
        <v>16259</v>
      </c>
      <c r="BA257" t="s">
        <v>16260</v>
      </c>
      <c r="BB257" t="s">
        <v>12875</v>
      </c>
      <c r="BC257" t="s">
        <v>16261</v>
      </c>
      <c r="BD257" t="s">
        <v>12876</v>
      </c>
      <c r="BE257" t="s">
        <v>12877</v>
      </c>
      <c r="BF257" t="s">
        <v>12878</v>
      </c>
      <c r="BG257" t="s">
        <v>16262</v>
      </c>
      <c r="BH257" t="s">
        <v>12879</v>
      </c>
      <c r="BI257" t="s">
        <v>9441</v>
      </c>
      <c r="BJ257" t="s">
        <v>12880</v>
      </c>
      <c r="BK257" t="s">
        <v>16263</v>
      </c>
      <c r="BL257" t="s">
        <v>12881</v>
      </c>
      <c r="BM257" t="s">
        <v>16264</v>
      </c>
      <c r="BN257" t="s">
        <v>12882</v>
      </c>
      <c r="BO257" t="s">
        <v>12883</v>
      </c>
      <c r="BP257" t="s">
        <v>12884</v>
      </c>
      <c r="BR257" t="s">
        <v>274</v>
      </c>
    </row>
    <row r="258" spans="1:70" x14ac:dyDescent="0.3">
      <c r="A258" t="s">
        <v>239</v>
      </c>
      <c r="B258" t="s">
        <v>4323</v>
      </c>
      <c r="C258" t="s">
        <v>4632</v>
      </c>
      <c r="D258" t="s">
        <v>4633</v>
      </c>
      <c r="F258" t="s">
        <v>274</v>
      </c>
      <c r="G258" t="s">
        <v>274</v>
      </c>
      <c r="H258" t="s">
        <v>274</v>
      </c>
      <c r="I258" t="s">
        <v>274</v>
      </c>
      <c r="J258" t="s">
        <v>274</v>
      </c>
      <c r="K258" t="s">
        <v>274</v>
      </c>
      <c r="L258" t="s">
        <v>274</v>
      </c>
      <c r="M258" t="s">
        <v>274</v>
      </c>
      <c r="N258" t="s">
        <v>274</v>
      </c>
      <c r="O258" t="s">
        <v>274</v>
      </c>
      <c r="P258" t="s">
        <v>274</v>
      </c>
      <c r="Q258" t="s">
        <v>274</v>
      </c>
      <c r="R258" t="s">
        <v>274</v>
      </c>
      <c r="S258" t="s">
        <v>274</v>
      </c>
      <c r="T258" t="s">
        <v>274</v>
      </c>
      <c r="U258" t="s">
        <v>274</v>
      </c>
      <c r="V258" t="s">
        <v>274</v>
      </c>
      <c r="W258" t="s">
        <v>274</v>
      </c>
      <c r="X258" t="s">
        <v>274</v>
      </c>
      <c r="Y258" t="s">
        <v>274</v>
      </c>
      <c r="Z258" t="s">
        <v>274</v>
      </c>
      <c r="AA258" t="s">
        <v>274</v>
      </c>
      <c r="AB258" t="s">
        <v>274</v>
      </c>
      <c r="AC258" t="s">
        <v>274</v>
      </c>
      <c r="AD258" t="s">
        <v>274</v>
      </c>
      <c r="AE258" t="s">
        <v>274</v>
      </c>
      <c r="AF258" t="s">
        <v>274</v>
      </c>
      <c r="AG258" t="s">
        <v>16265</v>
      </c>
      <c r="AH258" t="s">
        <v>16266</v>
      </c>
      <c r="AI258" t="s">
        <v>16267</v>
      </c>
      <c r="AJ258" t="s">
        <v>16268</v>
      </c>
      <c r="AK258" t="s">
        <v>16269</v>
      </c>
      <c r="AL258" t="s">
        <v>7894</v>
      </c>
      <c r="AM258" t="s">
        <v>16270</v>
      </c>
      <c r="AN258" t="s">
        <v>16271</v>
      </c>
      <c r="AO258" t="s">
        <v>16272</v>
      </c>
      <c r="AP258" t="s">
        <v>16273</v>
      </c>
      <c r="AQ258" t="s">
        <v>16274</v>
      </c>
      <c r="AR258" t="s">
        <v>16275</v>
      </c>
      <c r="AS258" t="s">
        <v>16276</v>
      </c>
      <c r="AT258" t="s">
        <v>16277</v>
      </c>
      <c r="AU258" t="s">
        <v>16278</v>
      </c>
      <c r="AV258" t="s">
        <v>16279</v>
      </c>
      <c r="AW258" t="s">
        <v>16280</v>
      </c>
      <c r="AX258" t="s">
        <v>16281</v>
      </c>
      <c r="AY258" t="s">
        <v>16282</v>
      </c>
      <c r="AZ258" t="s">
        <v>16283</v>
      </c>
      <c r="BA258" t="s">
        <v>16284</v>
      </c>
      <c r="BB258" t="s">
        <v>16285</v>
      </c>
      <c r="BC258" t="s">
        <v>16286</v>
      </c>
      <c r="BD258" t="s">
        <v>16287</v>
      </c>
      <c r="BE258" t="s">
        <v>16288</v>
      </c>
      <c r="BF258" t="s">
        <v>16289</v>
      </c>
      <c r="BG258" t="s">
        <v>16290</v>
      </c>
      <c r="BH258" t="s">
        <v>16291</v>
      </c>
      <c r="BI258" t="s">
        <v>16292</v>
      </c>
      <c r="BJ258" t="s">
        <v>16293</v>
      </c>
      <c r="BK258" t="s">
        <v>16294</v>
      </c>
      <c r="BL258" t="s">
        <v>16295</v>
      </c>
      <c r="BM258" t="s">
        <v>16296</v>
      </c>
      <c r="BN258" t="s">
        <v>16297</v>
      </c>
      <c r="BO258" t="s">
        <v>16298</v>
      </c>
      <c r="BP258" t="s">
        <v>16299</v>
      </c>
      <c r="BR258" t="s">
        <v>274</v>
      </c>
    </row>
    <row r="259" spans="1:70" x14ac:dyDescent="0.3">
      <c r="A259" t="s">
        <v>240</v>
      </c>
      <c r="B259" t="s">
        <v>4336</v>
      </c>
      <c r="C259" t="s">
        <v>4632</v>
      </c>
      <c r="D259" t="s">
        <v>4633</v>
      </c>
      <c r="F259" t="s">
        <v>16300</v>
      </c>
      <c r="G259" t="s">
        <v>16301</v>
      </c>
      <c r="H259" t="s">
        <v>16302</v>
      </c>
      <c r="I259" t="s">
        <v>16303</v>
      </c>
      <c r="J259" t="s">
        <v>16304</v>
      </c>
      <c r="K259" t="s">
        <v>16305</v>
      </c>
      <c r="L259" t="s">
        <v>16306</v>
      </c>
      <c r="M259" t="s">
        <v>16307</v>
      </c>
      <c r="N259" t="s">
        <v>16308</v>
      </c>
      <c r="O259" t="s">
        <v>16309</v>
      </c>
      <c r="P259" t="s">
        <v>16310</v>
      </c>
      <c r="Q259" t="s">
        <v>16311</v>
      </c>
      <c r="R259" t="s">
        <v>16312</v>
      </c>
      <c r="S259" t="s">
        <v>16313</v>
      </c>
      <c r="T259" t="s">
        <v>11330</v>
      </c>
      <c r="U259" t="s">
        <v>16314</v>
      </c>
      <c r="V259" t="s">
        <v>16315</v>
      </c>
      <c r="W259" t="s">
        <v>16316</v>
      </c>
      <c r="X259" t="s">
        <v>16317</v>
      </c>
      <c r="Y259" t="s">
        <v>16318</v>
      </c>
      <c r="Z259" t="s">
        <v>16319</v>
      </c>
      <c r="AA259" t="s">
        <v>16320</v>
      </c>
      <c r="AB259" t="s">
        <v>16321</v>
      </c>
      <c r="AC259" t="s">
        <v>16322</v>
      </c>
      <c r="AD259" t="s">
        <v>16323</v>
      </c>
      <c r="AE259" t="s">
        <v>7246</v>
      </c>
      <c r="AF259" t="s">
        <v>11337</v>
      </c>
      <c r="AG259" t="s">
        <v>16324</v>
      </c>
      <c r="AH259" t="s">
        <v>16325</v>
      </c>
      <c r="AI259" t="s">
        <v>16326</v>
      </c>
      <c r="AJ259" t="s">
        <v>7249</v>
      </c>
      <c r="AK259" t="s">
        <v>16327</v>
      </c>
      <c r="AL259" t="s">
        <v>16328</v>
      </c>
      <c r="AM259" t="s">
        <v>16329</v>
      </c>
      <c r="AN259" t="s">
        <v>16330</v>
      </c>
      <c r="AO259" t="s">
        <v>16331</v>
      </c>
      <c r="AP259" t="s">
        <v>16332</v>
      </c>
      <c r="AQ259" t="s">
        <v>16333</v>
      </c>
      <c r="AR259" t="s">
        <v>16334</v>
      </c>
      <c r="AS259" t="s">
        <v>16335</v>
      </c>
      <c r="AT259" t="s">
        <v>11082</v>
      </c>
      <c r="AU259" t="s">
        <v>16336</v>
      </c>
      <c r="AV259" t="s">
        <v>16337</v>
      </c>
      <c r="AW259" t="s">
        <v>7255</v>
      </c>
      <c r="AX259" t="s">
        <v>16338</v>
      </c>
      <c r="AY259" t="s">
        <v>16339</v>
      </c>
      <c r="AZ259" t="s">
        <v>16340</v>
      </c>
      <c r="BA259" t="s">
        <v>16341</v>
      </c>
      <c r="BB259" t="s">
        <v>16342</v>
      </c>
      <c r="BC259" t="s">
        <v>15709</v>
      </c>
      <c r="BD259" t="s">
        <v>16343</v>
      </c>
      <c r="BE259" t="s">
        <v>7259</v>
      </c>
      <c r="BF259" t="s">
        <v>15012</v>
      </c>
      <c r="BG259" t="s">
        <v>16344</v>
      </c>
      <c r="BH259" t="s">
        <v>16345</v>
      </c>
      <c r="BI259" t="s">
        <v>16346</v>
      </c>
      <c r="BJ259" t="s">
        <v>7261</v>
      </c>
      <c r="BK259" t="s">
        <v>16347</v>
      </c>
      <c r="BL259" t="s">
        <v>16348</v>
      </c>
      <c r="BM259" t="s">
        <v>7263</v>
      </c>
      <c r="BN259" t="s">
        <v>16349</v>
      </c>
      <c r="BO259" t="s">
        <v>16350</v>
      </c>
      <c r="BP259" t="s">
        <v>7266</v>
      </c>
      <c r="BR259" t="s">
        <v>274</v>
      </c>
    </row>
    <row r="260" spans="1:70" x14ac:dyDescent="0.3">
      <c r="A260" t="s">
        <v>4378</v>
      </c>
      <c r="B260" t="s">
        <v>4379</v>
      </c>
      <c r="C260" t="s">
        <v>4632</v>
      </c>
      <c r="D260" t="s">
        <v>4633</v>
      </c>
      <c r="F260" t="s">
        <v>9762</v>
      </c>
      <c r="G260" t="s">
        <v>16351</v>
      </c>
      <c r="H260" t="s">
        <v>16352</v>
      </c>
      <c r="I260" t="s">
        <v>16353</v>
      </c>
      <c r="J260" t="s">
        <v>16354</v>
      </c>
      <c r="K260" t="s">
        <v>16355</v>
      </c>
      <c r="L260" t="s">
        <v>16356</v>
      </c>
      <c r="M260" t="s">
        <v>16357</v>
      </c>
      <c r="N260" t="s">
        <v>16358</v>
      </c>
      <c r="O260" t="s">
        <v>8369</v>
      </c>
      <c r="P260" t="s">
        <v>16359</v>
      </c>
      <c r="Q260" t="s">
        <v>16360</v>
      </c>
      <c r="R260" t="s">
        <v>16361</v>
      </c>
      <c r="S260" t="s">
        <v>16362</v>
      </c>
      <c r="T260" t="s">
        <v>16363</v>
      </c>
      <c r="U260" t="s">
        <v>16364</v>
      </c>
      <c r="V260" t="s">
        <v>16365</v>
      </c>
      <c r="W260" t="s">
        <v>16366</v>
      </c>
      <c r="X260" t="s">
        <v>16367</v>
      </c>
      <c r="Y260" t="s">
        <v>16368</v>
      </c>
      <c r="Z260" t="s">
        <v>16369</v>
      </c>
      <c r="AA260" t="s">
        <v>16370</v>
      </c>
      <c r="AB260" t="s">
        <v>16371</v>
      </c>
      <c r="AC260" t="s">
        <v>16372</v>
      </c>
      <c r="AD260" t="s">
        <v>15707</v>
      </c>
      <c r="AE260" t="s">
        <v>16373</v>
      </c>
      <c r="AF260" t="s">
        <v>16374</v>
      </c>
      <c r="AG260" t="s">
        <v>16375</v>
      </c>
      <c r="AH260" t="s">
        <v>16376</v>
      </c>
      <c r="AI260" t="s">
        <v>16377</v>
      </c>
      <c r="AJ260" t="s">
        <v>16378</v>
      </c>
      <c r="AK260" t="s">
        <v>16379</v>
      </c>
      <c r="AL260" t="s">
        <v>16380</v>
      </c>
      <c r="AM260" t="s">
        <v>16381</v>
      </c>
      <c r="AN260" t="s">
        <v>16382</v>
      </c>
      <c r="AO260" t="s">
        <v>16383</v>
      </c>
      <c r="AP260" t="s">
        <v>16384</v>
      </c>
      <c r="AQ260" t="s">
        <v>16385</v>
      </c>
      <c r="AR260" t="s">
        <v>16386</v>
      </c>
      <c r="AS260" t="s">
        <v>16387</v>
      </c>
      <c r="AT260" t="s">
        <v>16388</v>
      </c>
      <c r="AU260" t="s">
        <v>16389</v>
      </c>
      <c r="AV260" t="s">
        <v>16390</v>
      </c>
      <c r="AW260" t="s">
        <v>16391</v>
      </c>
      <c r="AX260" t="s">
        <v>16392</v>
      </c>
      <c r="AY260" t="s">
        <v>16393</v>
      </c>
      <c r="AZ260" t="s">
        <v>16394</v>
      </c>
      <c r="BA260" t="s">
        <v>16395</v>
      </c>
      <c r="BB260" t="s">
        <v>16396</v>
      </c>
      <c r="BC260" t="s">
        <v>16397</v>
      </c>
      <c r="BD260" t="s">
        <v>16398</v>
      </c>
      <c r="BE260" t="s">
        <v>16399</v>
      </c>
      <c r="BF260" t="s">
        <v>16400</v>
      </c>
      <c r="BG260" t="s">
        <v>16401</v>
      </c>
      <c r="BH260" t="s">
        <v>274</v>
      </c>
      <c r="BI260" t="s">
        <v>274</v>
      </c>
      <c r="BJ260" t="s">
        <v>274</v>
      </c>
      <c r="BK260" t="s">
        <v>274</v>
      </c>
      <c r="BL260" t="s">
        <v>274</v>
      </c>
      <c r="BM260" t="s">
        <v>274</v>
      </c>
      <c r="BN260" t="s">
        <v>274</v>
      </c>
      <c r="BO260" t="s">
        <v>274</v>
      </c>
      <c r="BP260" t="s">
        <v>274</v>
      </c>
      <c r="BR260" t="s">
        <v>274</v>
      </c>
    </row>
    <row r="261" spans="1:70" x14ac:dyDescent="0.3">
      <c r="A261" t="s">
        <v>249</v>
      </c>
      <c r="B261" t="s">
        <v>4414</v>
      </c>
      <c r="C261" t="s">
        <v>4632</v>
      </c>
      <c r="D261" t="s">
        <v>4633</v>
      </c>
      <c r="F261" t="s">
        <v>274</v>
      </c>
      <c r="G261" t="s">
        <v>274</v>
      </c>
      <c r="H261" t="s">
        <v>274</v>
      </c>
      <c r="I261" t="s">
        <v>274</v>
      </c>
      <c r="J261" t="s">
        <v>274</v>
      </c>
      <c r="K261" t="s">
        <v>274</v>
      </c>
      <c r="L261" t="s">
        <v>274</v>
      </c>
      <c r="M261" t="s">
        <v>274</v>
      </c>
      <c r="N261" t="s">
        <v>274</v>
      </c>
      <c r="O261" t="s">
        <v>274</v>
      </c>
      <c r="P261" t="s">
        <v>274</v>
      </c>
      <c r="Q261" t="s">
        <v>274</v>
      </c>
      <c r="R261" t="s">
        <v>274</v>
      </c>
      <c r="S261" t="s">
        <v>274</v>
      </c>
      <c r="T261" t="s">
        <v>274</v>
      </c>
      <c r="U261" t="s">
        <v>274</v>
      </c>
      <c r="V261" t="s">
        <v>274</v>
      </c>
      <c r="W261" t="s">
        <v>274</v>
      </c>
      <c r="X261" t="s">
        <v>274</v>
      </c>
      <c r="Y261" t="s">
        <v>274</v>
      </c>
      <c r="Z261" t="s">
        <v>274</v>
      </c>
      <c r="AA261" t="s">
        <v>274</v>
      </c>
      <c r="AB261" t="s">
        <v>274</v>
      </c>
      <c r="AC261" t="s">
        <v>274</v>
      </c>
      <c r="AD261" t="s">
        <v>274</v>
      </c>
      <c r="AE261" t="s">
        <v>274</v>
      </c>
      <c r="AF261" t="s">
        <v>274</v>
      </c>
      <c r="AG261" t="s">
        <v>274</v>
      </c>
      <c r="AH261" t="s">
        <v>274</v>
      </c>
      <c r="AI261" t="s">
        <v>274</v>
      </c>
      <c r="AJ261" t="s">
        <v>274</v>
      </c>
      <c r="AK261" t="s">
        <v>274</v>
      </c>
      <c r="AL261" t="s">
        <v>274</v>
      </c>
      <c r="AM261" t="s">
        <v>274</v>
      </c>
      <c r="AN261" t="s">
        <v>274</v>
      </c>
      <c r="AO261" t="s">
        <v>274</v>
      </c>
      <c r="AP261" t="s">
        <v>274</v>
      </c>
      <c r="AQ261" t="s">
        <v>274</v>
      </c>
      <c r="AR261" t="s">
        <v>274</v>
      </c>
      <c r="AS261" t="s">
        <v>274</v>
      </c>
      <c r="AT261" t="s">
        <v>274</v>
      </c>
      <c r="AU261" t="s">
        <v>274</v>
      </c>
      <c r="AV261" t="s">
        <v>274</v>
      </c>
      <c r="AW261" t="s">
        <v>274</v>
      </c>
      <c r="AX261" t="s">
        <v>274</v>
      </c>
      <c r="AY261" t="s">
        <v>274</v>
      </c>
      <c r="AZ261" t="s">
        <v>274</v>
      </c>
      <c r="BA261" t="s">
        <v>274</v>
      </c>
      <c r="BB261" t="s">
        <v>274</v>
      </c>
      <c r="BC261" t="s">
        <v>274</v>
      </c>
      <c r="BD261" t="s">
        <v>274</v>
      </c>
      <c r="BE261" t="s">
        <v>274</v>
      </c>
      <c r="BF261" t="s">
        <v>274</v>
      </c>
      <c r="BG261" t="s">
        <v>274</v>
      </c>
      <c r="BH261" t="s">
        <v>274</v>
      </c>
      <c r="BI261" t="s">
        <v>274</v>
      </c>
      <c r="BJ261" t="s">
        <v>274</v>
      </c>
      <c r="BK261" t="s">
        <v>274</v>
      </c>
      <c r="BL261" t="s">
        <v>274</v>
      </c>
      <c r="BM261" t="s">
        <v>274</v>
      </c>
      <c r="BN261" t="s">
        <v>274</v>
      </c>
      <c r="BO261" t="s">
        <v>274</v>
      </c>
      <c r="BP261" t="s">
        <v>274</v>
      </c>
      <c r="BR261" t="s">
        <v>274</v>
      </c>
    </row>
    <row r="262" spans="1:70" x14ac:dyDescent="0.3">
      <c r="A262" t="s">
        <v>4415</v>
      </c>
      <c r="B262" t="s">
        <v>4416</v>
      </c>
      <c r="C262" t="s">
        <v>4632</v>
      </c>
      <c r="D262" t="s">
        <v>4633</v>
      </c>
      <c r="F262" t="s">
        <v>274</v>
      </c>
      <c r="G262" t="s">
        <v>274</v>
      </c>
      <c r="H262" t="s">
        <v>274</v>
      </c>
      <c r="I262" t="s">
        <v>274</v>
      </c>
      <c r="J262" t="s">
        <v>274</v>
      </c>
      <c r="K262" t="s">
        <v>274</v>
      </c>
      <c r="L262" t="s">
        <v>274</v>
      </c>
      <c r="M262" t="s">
        <v>274</v>
      </c>
      <c r="N262" t="s">
        <v>274</v>
      </c>
      <c r="O262" t="s">
        <v>274</v>
      </c>
      <c r="P262" t="s">
        <v>274</v>
      </c>
      <c r="Q262" t="s">
        <v>274</v>
      </c>
      <c r="R262" t="s">
        <v>274</v>
      </c>
      <c r="S262" t="s">
        <v>274</v>
      </c>
      <c r="T262" t="s">
        <v>274</v>
      </c>
      <c r="U262" t="s">
        <v>274</v>
      </c>
      <c r="V262" t="s">
        <v>274</v>
      </c>
      <c r="W262" t="s">
        <v>274</v>
      </c>
      <c r="X262" t="s">
        <v>274</v>
      </c>
      <c r="Y262" t="s">
        <v>274</v>
      </c>
      <c r="Z262" t="s">
        <v>274</v>
      </c>
      <c r="AA262" t="s">
        <v>274</v>
      </c>
      <c r="AB262" t="s">
        <v>274</v>
      </c>
      <c r="AC262" t="s">
        <v>274</v>
      </c>
      <c r="AD262" t="s">
        <v>274</v>
      </c>
      <c r="AE262" t="s">
        <v>274</v>
      </c>
      <c r="AF262" t="s">
        <v>274</v>
      </c>
      <c r="AG262" t="s">
        <v>274</v>
      </c>
      <c r="AH262" t="s">
        <v>274</v>
      </c>
      <c r="AI262" t="s">
        <v>274</v>
      </c>
      <c r="AJ262" t="s">
        <v>274</v>
      </c>
      <c r="AK262" t="s">
        <v>274</v>
      </c>
      <c r="AL262" t="s">
        <v>274</v>
      </c>
      <c r="AM262" t="s">
        <v>274</v>
      </c>
      <c r="AN262" t="s">
        <v>274</v>
      </c>
      <c r="AO262" t="s">
        <v>274</v>
      </c>
      <c r="AP262" t="s">
        <v>274</v>
      </c>
      <c r="AQ262" t="s">
        <v>274</v>
      </c>
      <c r="AR262" t="s">
        <v>274</v>
      </c>
      <c r="AS262" t="s">
        <v>274</v>
      </c>
      <c r="AT262" t="s">
        <v>274</v>
      </c>
      <c r="AU262" t="s">
        <v>274</v>
      </c>
      <c r="AV262" t="s">
        <v>16402</v>
      </c>
      <c r="AW262" t="s">
        <v>16403</v>
      </c>
      <c r="AX262" t="s">
        <v>16404</v>
      </c>
      <c r="AY262" t="s">
        <v>16405</v>
      </c>
      <c r="AZ262" t="s">
        <v>16406</v>
      </c>
      <c r="BA262" t="s">
        <v>16407</v>
      </c>
      <c r="BB262" t="s">
        <v>16408</v>
      </c>
      <c r="BC262" t="s">
        <v>16409</v>
      </c>
      <c r="BD262" t="s">
        <v>16410</v>
      </c>
      <c r="BE262" t="s">
        <v>16411</v>
      </c>
      <c r="BF262" t="s">
        <v>16412</v>
      </c>
      <c r="BG262" t="s">
        <v>16413</v>
      </c>
      <c r="BH262" t="s">
        <v>16414</v>
      </c>
      <c r="BI262" t="s">
        <v>16415</v>
      </c>
      <c r="BJ262" t="s">
        <v>16416</v>
      </c>
      <c r="BK262" t="s">
        <v>16417</v>
      </c>
      <c r="BL262" t="s">
        <v>16418</v>
      </c>
      <c r="BM262" t="s">
        <v>16419</v>
      </c>
      <c r="BN262" t="s">
        <v>16420</v>
      </c>
      <c r="BO262" t="s">
        <v>16421</v>
      </c>
      <c r="BP262" t="s">
        <v>274</v>
      </c>
      <c r="BR262" t="s">
        <v>274</v>
      </c>
    </row>
    <row r="263" spans="1:70" x14ac:dyDescent="0.3">
      <c r="A263" t="s">
        <v>4417</v>
      </c>
      <c r="B263" t="s">
        <v>4418</v>
      </c>
      <c r="C263" t="s">
        <v>4632</v>
      </c>
      <c r="D263" t="s">
        <v>4633</v>
      </c>
      <c r="F263" t="s">
        <v>274</v>
      </c>
      <c r="G263" t="s">
        <v>274</v>
      </c>
      <c r="H263" t="s">
        <v>274</v>
      </c>
      <c r="I263" t="s">
        <v>274</v>
      </c>
      <c r="J263" t="s">
        <v>274</v>
      </c>
      <c r="K263" t="s">
        <v>274</v>
      </c>
      <c r="L263" t="s">
        <v>274</v>
      </c>
      <c r="M263" t="s">
        <v>274</v>
      </c>
      <c r="N263" t="s">
        <v>274</v>
      </c>
      <c r="O263" t="s">
        <v>274</v>
      </c>
      <c r="P263" t="s">
        <v>274</v>
      </c>
      <c r="Q263" t="s">
        <v>274</v>
      </c>
      <c r="R263" t="s">
        <v>274</v>
      </c>
      <c r="S263" t="s">
        <v>274</v>
      </c>
      <c r="T263" t="s">
        <v>274</v>
      </c>
      <c r="U263" t="s">
        <v>274</v>
      </c>
      <c r="V263" t="s">
        <v>274</v>
      </c>
      <c r="W263" t="s">
        <v>274</v>
      </c>
      <c r="X263" t="s">
        <v>274</v>
      </c>
      <c r="Y263" t="s">
        <v>274</v>
      </c>
      <c r="Z263" t="s">
        <v>274</v>
      </c>
      <c r="AA263" t="s">
        <v>274</v>
      </c>
      <c r="AB263" t="s">
        <v>274</v>
      </c>
      <c r="AC263" t="s">
        <v>274</v>
      </c>
      <c r="AD263" t="s">
        <v>274</v>
      </c>
      <c r="AE263" t="s">
        <v>16422</v>
      </c>
      <c r="AF263" t="s">
        <v>16423</v>
      </c>
      <c r="AG263" t="s">
        <v>16424</v>
      </c>
      <c r="AH263" t="s">
        <v>16425</v>
      </c>
      <c r="AI263" t="s">
        <v>16426</v>
      </c>
      <c r="AJ263" t="s">
        <v>16427</v>
      </c>
      <c r="AK263" t="s">
        <v>16428</v>
      </c>
      <c r="AL263" t="s">
        <v>16429</v>
      </c>
      <c r="AM263" t="s">
        <v>9789</v>
      </c>
      <c r="AN263" t="s">
        <v>16430</v>
      </c>
      <c r="AO263" t="s">
        <v>16431</v>
      </c>
      <c r="AP263" t="s">
        <v>16432</v>
      </c>
      <c r="AQ263" t="s">
        <v>16433</v>
      </c>
      <c r="AR263" t="s">
        <v>11701</v>
      </c>
      <c r="AS263" t="s">
        <v>16434</v>
      </c>
      <c r="AT263" t="s">
        <v>16435</v>
      </c>
      <c r="AU263" t="s">
        <v>12285</v>
      </c>
      <c r="AV263" t="s">
        <v>16436</v>
      </c>
      <c r="AW263" t="s">
        <v>16437</v>
      </c>
      <c r="AX263" t="s">
        <v>16438</v>
      </c>
      <c r="AY263" t="s">
        <v>16439</v>
      </c>
      <c r="AZ263" t="s">
        <v>16440</v>
      </c>
      <c r="BA263" t="s">
        <v>16441</v>
      </c>
      <c r="BB263" t="s">
        <v>16442</v>
      </c>
      <c r="BC263" t="s">
        <v>16443</v>
      </c>
      <c r="BD263" t="s">
        <v>16444</v>
      </c>
      <c r="BE263" t="s">
        <v>16445</v>
      </c>
      <c r="BF263" t="s">
        <v>16446</v>
      </c>
      <c r="BG263" t="s">
        <v>16447</v>
      </c>
      <c r="BH263" t="s">
        <v>16448</v>
      </c>
      <c r="BI263" t="s">
        <v>16449</v>
      </c>
      <c r="BJ263" t="s">
        <v>16450</v>
      </c>
      <c r="BK263" t="s">
        <v>16451</v>
      </c>
      <c r="BL263" t="s">
        <v>11721</v>
      </c>
      <c r="BM263" t="s">
        <v>11722</v>
      </c>
      <c r="BN263" t="s">
        <v>16452</v>
      </c>
      <c r="BO263" t="s">
        <v>16453</v>
      </c>
      <c r="BP263" t="s">
        <v>16454</v>
      </c>
      <c r="BR263" t="s">
        <v>274</v>
      </c>
    </row>
    <row r="264" spans="1:70" x14ac:dyDescent="0.3">
      <c r="A264" t="s">
        <v>183</v>
      </c>
      <c r="B264" t="s">
        <v>4445</v>
      </c>
      <c r="C264" t="s">
        <v>4632</v>
      </c>
      <c r="D264" t="s">
        <v>4633</v>
      </c>
      <c r="F264" t="s">
        <v>274</v>
      </c>
      <c r="G264" t="s">
        <v>274</v>
      </c>
      <c r="H264" t="s">
        <v>274</v>
      </c>
      <c r="I264" t="s">
        <v>274</v>
      </c>
      <c r="J264" t="s">
        <v>274</v>
      </c>
      <c r="K264" t="s">
        <v>274</v>
      </c>
      <c r="L264" t="s">
        <v>274</v>
      </c>
      <c r="M264" t="s">
        <v>274</v>
      </c>
      <c r="N264" t="s">
        <v>274</v>
      </c>
      <c r="O264" t="s">
        <v>274</v>
      </c>
      <c r="P264" t="s">
        <v>274</v>
      </c>
      <c r="Q264" t="s">
        <v>274</v>
      </c>
      <c r="R264" t="s">
        <v>274</v>
      </c>
      <c r="S264" t="s">
        <v>274</v>
      </c>
      <c r="T264" t="s">
        <v>274</v>
      </c>
      <c r="U264" t="s">
        <v>274</v>
      </c>
      <c r="V264" t="s">
        <v>274</v>
      </c>
      <c r="W264" t="s">
        <v>274</v>
      </c>
      <c r="X264" t="s">
        <v>274</v>
      </c>
      <c r="Y264" t="s">
        <v>9823</v>
      </c>
      <c r="Z264" t="s">
        <v>16455</v>
      </c>
      <c r="AA264" t="s">
        <v>16456</v>
      </c>
      <c r="AB264" t="s">
        <v>16457</v>
      </c>
      <c r="AC264" t="s">
        <v>16458</v>
      </c>
      <c r="AD264" t="s">
        <v>16459</v>
      </c>
      <c r="AE264" t="s">
        <v>16460</v>
      </c>
      <c r="AF264" t="s">
        <v>16461</v>
      </c>
      <c r="AG264" t="s">
        <v>7815</v>
      </c>
      <c r="AH264" t="s">
        <v>7860</v>
      </c>
      <c r="AI264" t="s">
        <v>16462</v>
      </c>
      <c r="AJ264" t="s">
        <v>16463</v>
      </c>
      <c r="AK264" t="s">
        <v>16464</v>
      </c>
      <c r="AL264" t="s">
        <v>16465</v>
      </c>
      <c r="AM264" t="s">
        <v>16466</v>
      </c>
      <c r="AN264" t="s">
        <v>16467</v>
      </c>
      <c r="AO264" t="s">
        <v>16468</v>
      </c>
      <c r="AP264" t="s">
        <v>14133</v>
      </c>
      <c r="AQ264" t="s">
        <v>16469</v>
      </c>
      <c r="AR264" t="s">
        <v>16470</v>
      </c>
      <c r="AS264" t="s">
        <v>14135</v>
      </c>
      <c r="AT264" t="s">
        <v>16471</v>
      </c>
      <c r="AU264" t="s">
        <v>16472</v>
      </c>
      <c r="AV264" t="s">
        <v>16473</v>
      </c>
      <c r="AW264" t="s">
        <v>16474</v>
      </c>
      <c r="AX264" t="s">
        <v>16475</v>
      </c>
      <c r="AY264" t="s">
        <v>16476</v>
      </c>
      <c r="AZ264" t="s">
        <v>15488</v>
      </c>
      <c r="BA264" t="s">
        <v>16477</v>
      </c>
      <c r="BB264" t="s">
        <v>16478</v>
      </c>
      <c r="BC264" t="s">
        <v>14139</v>
      </c>
      <c r="BD264" t="s">
        <v>15011</v>
      </c>
      <c r="BE264" t="s">
        <v>16479</v>
      </c>
      <c r="BF264" t="s">
        <v>16480</v>
      </c>
      <c r="BG264" t="s">
        <v>16481</v>
      </c>
      <c r="BH264" t="s">
        <v>16482</v>
      </c>
      <c r="BI264" t="s">
        <v>16483</v>
      </c>
      <c r="BJ264" t="s">
        <v>16484</v>
      </c>
      <c r="BK264" t="s">
        <v>16485</v>
      </c>
      <c r="BL264" t="s">
        <v>16486</v>
      </c>
      <c r="BM264" t="s">
        <v>16487</v>
      </c>
      <c r="BN264" t="s">
        <v>16488</v>
      </c>
      <c r="BO264" t="s">
        <v>16489</v>
      </c>
      <c r="BP264" t="s">
        <v>16490</v>
      </c>
      <c r="BR264" t="s">
        <v>274</v>
      </c>
    </row>
    <row r="265" spans="1:70" x14ac:dyDescent="0.3">
      <c r="A265" t="s">
        <v>4457</v>
      </c>
      <c r="B265" t="s">
        <v>4458</v>
      </c>
      <c r="C265" t="s">
        <v>4632</v>
      </c>
      <c r="D265" t="s">
        <v>4633</v>
      </c>
      <c r="F265" t="s">
        <v>274</v>
      </c>
      <c r="G265" t="s">
        <v>16491</v>
      </c>
      <c r="H265" t="s">
        <v>16492</v>
      </c>
      <c r="I265" t="s">
        <v>16493</v>
      </c>
      <c r="J265" t="s">
        <v>16494</v>
      </c>
      <c r="K265" t="s">
        <v>10025</v>
      </c>
      <c r="L265" t="s">
        <v>16495</v>
      </c>
      <c r="M265" t="s">
        <v>16307</v>
      </c>
      <c r="N265" t="s">
        <v>10527</v>
      </c>
      <c r="O265" t="s">
        <v>6474</v>
      </c>
      <c r="P265" t="s">
        <v>16496</v>
      </c>
      <c r="Q265" t="s">
        <v>16497</v>
      </c>
      <c r="R265" t="s">
        <v>16498</v>
      </c>
      <c r="S265" t="s">
        <v>16499</v>
      </c>
      <c r="T265" t="s">
        <v>7805</v>
      </c>
      <c r="U265" t="s">
        <v>7569</v>
      </c>
      <c r="V265" t="s">
        <v>16500</v>
      </c>
      <c r="W265" t="s">
        <v>16501</v>
      </c>
      <c r="X265" t="s">
        <v>16502</v>
      </c>
      <c r="Y265" t="s">
        <v>16318</v>
      </c>
      <c r="Z265" t="s">
        <v>9983</v>
      </c>
      <c r="AA265" t="s">
        <v>9824</v>
      </c>
      <c r="AB265" t="s">
        <v>13385</v>
      </c>
      <c r="AC265" t="s">
        <v>10123</v>
      </c>
      <c r="AD265" t="s">
        <v>11955</v>
      </c>
      <c r="AE265" t="s">
        <v>8555</v>
      </c>
      <c r="AF265" t="s">
        <v>16503</v>
      </c>
      <c r="AG265" t="s">
        <v>16504</v>
      </c>
      <c r="AH265" t="s">
        <v>12555</v>
      </c>
      <c r="AI265" t="s">
        <v>16505</v>
      </c>
      <c r="AJ265" t="s">
        <v>16506</v>
      </c>
      <c r="AK265" t="s">
        <v>14131</v>
      </c>
      <c r="AL265" t="s">
        <v>16507</v>
      </c>
      <c r="AM265" t="s">
        <v>16508</v>
      </c>
      <c r="AN265" t="s">
        <v>8340</v>
      </c>
      <c r="AO265" t="s">
        <v>16509</v>
      </c>
      <c r="AP265" t="s">
        <v>16510</v>
      </c>
      <c r="AQ265" t="s">
        <v>16511</v>
      </c>
      <c r="AR265" t="s">
        <v>16512</v>
      </c>
      <c r="AS265" t="s">
        <v>16513</v>
      </c>
      <c r="AT265" t="s">
        <v>10080</v>
      </c>
      <c r="AU265" t="s">
        <v>5555</v>
      </c>
      <c r="AV265" t="s">
        <v>10797</v>
      </c>
      <c r="AW265" t="s">
        <v>13343</v>
      </c>
      <c r="AX265" t="s">
        <v>7661</v>
      </c>
      <c r="AY265" t="s">
        <v>7057</v>
      </c>
      <c r="AZ265" t="s">
        <v>16514</v>
      </c>
      <c r="BA265" t="s">
        <v>16515</v>
      </c>
      <c r="BB265" t="s">
        <v>12011</v>
      </c>
      <c r="BC265" t="s">
        <v>16516</v>
      </c>
      <c r="BD265" t="s">
        <v>16517</v>
      </c>
      <c r="BE265" t="s">
        <v>13508</v>
      </c>
      <c r="BF265" t="s">
        <v>12418</v>
      </c>
      <c r="BG265" t="s">
        <v>16518</v>
      </c>
      <c r="BH265" t="s">
        <v>5347</v>
      </c>
      <c r="BI265" t="s">
        <v>14029</v>
      </c>
      <c r="BJ265" t="s">
        <v>12604</v>
      </c>
      <c r="BK265" t="s">
        <v>16519</v>
      </c>
      <c r="BL265" t="s">
        <v>16520</v>
      </c>
      <c r="BM265" t="s">
        <v>16521</v>
      </c>
      <c r="BN265" t="s">
        <v>16522</v>
      </c>
      <c r="BO265" t="s">
        <v>16523</v>
      </c>
      <c r="BP265" t="s">
        <v>9447</v>
      </c>
      <c r="BR265" t="s">
        <v>274</v>
      </c>
    </row>
    <row r="266" spans="1:70" x14ac:dyDescent="0.3">
      <c r="A266" t="s">
        <v>4459</v>
      </c>
      <c r="B266" t="s">
        <v>4460</v>
      </c>
      <c r="C266" t="s">
        <v>4632</v>
      </c>
      <c r="D266" t="s">
        <v>4633</v>
      </c>
      <c r="F266" t="s">
        <v>274</v>
      </c>
      <c r="G266" t="s">
        <v>274</v>
      </c>
      <c r="H266" t="s">
        <v>274</v>
      </c>
      <c r="I266" t="s">
        <v>274</v>
      </c>
      <c r="J266" t="s">
        <v>274</v>
      </c>
      <c r="K266" t="s">
        <v>274</v>
      </c>
      <c r="L266" t="s">
        <v>274</v>
      </c>
      <c r="M266" t="s">
        <v>274</v>
      </c>
      <c r="N266" t="s">
        <v>274</v>
      </c>
      <c r="O266" t="s">
        <v>274</v>
      </c>
      <c r="P266" t="s">
        <v>15476</v>
      </c>
      <c r="Q266" t="s">
        <v>16524</v>
      </c>
      <c r="R266" t="s">
        <v>15477</v>
      </c>
      <c r="S266" t="s">
        <v>16525</v>
      </c>
      <c r="T266" t="s">
        <v>7745</v>
      </c>
      <c r="U266" t="s">
        <v>16526</v>
      </c>
      <c r="V266" t="s">
        <v>16527</v>
      </c>
      <c r="W266" t="s">
        <v>16528</v>
      </c>
      <c r="X266" t="s">
        <v>16529</v>
      </c>
      <c r="Y266" t="s">
        <v>16530</v>
      </c>
      <c r="Z266" t="s">
        <v>16531</v>
      </c>
      <c r="AA266" t="s">
        <v>16532</v>
      </c>
      <c r="AB266" t="s">
        <v>16533</v>
      </c>
      <c r="AC266" t="s">
        <v>16534</v>
      </c>
      <c r="AD266" t="s">
        <v>16535</v>
      </c>
      <c r="AE266" t="s">
        <v>16536</v>
      </c>
      <c r="AF266" t="s">
        <v>16537</v>
      </c>
      <c r="AG266" t="s">
        <v>16538</v>
      </c>
      <c r="AH266" t="s">
        <v>16539</v>
      </c>
      <c r="AI266" t="s">
        <v>16540</v>
      </c>
      <c r="AJ266" t="s">
        <v>14130</v>
      </c>
      <c r="AK266" t="s">
        <v>16541</v>
      </c>
      <c r="AL266" t="s">
        <v>16542</v>
      </c>
      <c r="AM266" t="s">
        <v>16543</v>
      </c>
      <c r="AN266" t="s">
        <v>16544</v>
      </c>
      <c r="AO266" t="s">
        <v>15487</v>
      </c>
      <c r="AP266" t="s">
        <v>16545</v>
      </c>
      <c r="AQ266" t="s">
        <v>14134</v>
      </c>
      <c r="AR266" t="s">
        <v>16546</v>
      </c>
      <c r="AS266" t="s">
        <v>16547</v>
      </c>
      <c r="AT266" t="s">
        <v>7872</v>
      </c>
      <c r="AU266" t="s">
        <v>16548</v>
      </c>
      <c r="AV266" t="s">
        <v>16549</v>
      </c>
      <c r="AW266" t="s">
        <v>10053</v>
      </c>
      <c r="AX266" t="s">
        <v>14138</v>
      </c>
      <c r="AY266" t="s">
        <v>7775</v>
      </c>
      <c r="AZ266" t="s">
        <v>16550</v>
      </c>
      <c r="BA266" t="s">
        <v>9894</v>
      </c>
      <c r="BB266" t="s">
        <v>16551</v>
      </c>
      <c r="BC266" t="s">
        <v>16552</v>
      </c>
      <c r="BD266" t="s">
        <v>16553</v>
      </c>
      <c r="BE266" t="s">
        <v>16554</v>
      </c>
      <c r="BF266" t="s">
        <v>14141</v>
      </c>
      <c r="BG266" t="s">
        <v>16555</v>
      </c>
      <c r="BH266" t="s">
        <v>16556</v>
      </c>
      <c r="BI266" t="s">
        <v>7784</v>
      </c>
      <c r="BJ266" t="s">
        <v>16557</v>
      </c>
      <c r="BK266" t="s">
        <v>16558</v>
      </c>
      <c r="BL266" t="s">
        <v>7787</v>
      </c>
      <c r="BM266" t="s">
        <v>7788</v>
      </c>
      <c r="BN266" t="s">
        <v>16559</v>
      </c>
      <c r="BO266" t="s">
        <v>7790</v>
      </c>
      <c r="BP266" t="s">
        <v>16560</v>
      </c>
      <c r="BR266" t="s">
        <v>274</v>
      </c>
    </row>
    <row r="267" spans="1:70" x14ac:dyDescent="0.3">
      <c r="A267" t="s">
        <v>4482</v>
      </c>
      <c r="B267" t="s">
        <v>4483</v>
      </c>
      <c r="C267" t="s">
        <v>4632</v>
      </c>
      <c r="D267" t="s">
        <v>4633</v>
      </c>
      <c r="F267" t="s">
        <v>274</v>
      </c>
      <c r="G267" t="s">
        <v>274</v>
      </c>
      <c r="H267" t="s">
        <v>274</v>
      </c>
      <c r="I267" t="s">
        <v>274</v>
      </c>
      <c r="J267" t="s">
        <v>274</v>
      </c>
      <c r="K267" t="s">
        <v>274</v>
      </c>
      <c r="L267" t="s">
        <v>274</v>
      </c>
      <c r="M267" t="s">
        <v>274</v>
      </c>
      <c r="N267" t="s">
        <v>274</v>
      </c>
      <c r="O267" t="s">
        <v>274</v>
      </c>
      <c r="P267" t="s">
        <v>274</v>
      </c>
      <c r="Q267" t="s">
        <v>274</v>
      </c>
      <c r="R267" t="s">
        <v>274</v>
      </c>
      <c r="S267" t="s">
        <v>274</v>
      </c>
      <c r="T267" t="s">
        <v>274</v>
      </c>
      <c r="U267" t="s">
        <v>274</v>
      </c>
      <c r="V267" t="s">
        <v>274</v>
      </c>
      <c r="W267" t="s">
        <v>274</v>
      </c>
      <c r="X267" t="s">
        <v>274</v>
      </c>
      <c r="Y267" t="s">
        <v>274</v>
      </c>
      <c r="Z267" t="s">
        <v>274</v>
      </c>
      <c r="AA267" t="s">
        <v>274</v>
      </c>
      <c r="AB267" t="s">
        <v>274</v>
      </c>
      <c r="AC267" t="s">
        <v>274</v>
      </c>
      <c r="AD267" t="s">
        <v>274</v>
      </c>
      <c r="AE267" t="s">
        <v>274</v>
      </c>
      <c r="AF267" t="s">
        <v>274</v>
      </c>
      <c r="AG267" t="s">
        <v>274</v>
      </c>
      <c r="AH267" t="s">
        <v>274</v>
      </c>
      <c r="AI267" t="s">
        <v>274</v>
      </c>
      <c r="AJ267" t="s">
        <v>274</v>
      </c>
      <c r="AK267" t="s">
        <v>274</v>
      </c>
      <c r="AL267" t="s">
        <v>274</v>
      </c>
      <c r="AM267" t="s">
        <v>274</v>
      </c>
      <c r="AN267" t="s">
        <v>274</v>
      </c>
      <c r="AO267" t="s">
        <v>274</v>
      </c>
      <c r="AP267" t="s">
        <v>274</v>
      </c>
      <c r="AQ267" t="s">
        <v>274</v>
      </c>
      <c r="AR267" t="s">
        <v>274</v>
      </c>
      <c r="AS267" t="s">
        <v>274</v>
      </c>
      <c r="AT267" t="s">
        <v>274</v>
      </c>
      <c r="AU267" t="s">
        <v>274</v>
      </c>
      <c r="AV267" t="s">
        <v>274</v>
      </c>
      <c r="AW267" t="s">
        <v>274</v>
      </c>
      <c r="AX267" t="s">
        <v>274</v>
      </c>
      <c r="AY267" t="s">
        <v>274</v>
      </c>
      <c r="AZ267" t="s">
        <v>274</v>
      </c>
      <c r="BA267" t="s">
        <v>274</v>
      </c>
      <c r="BB267" t="s">
        <v>16561</v>
      </c>
      <c r="BC267" t="s">
        <v>8406</v>
      </c>
      <c r="BD267" t="s">
        <v>16562</v>
      </c>
      <c r="BE267" t="s">
        <v>16563</v>
      </c>
      <c r="BF267" t="s">
        <v>16564</v>
      </c>
      <c r="BG267" t="s">
        <v>16565</v>
      </c>
      <c r="BH267" t="s">
        <v>16566</v>
      </c>
      <c r="BI267" t="s">
        <v>16567</v>
      </c>
      <c r="BJ267" t="s">
        <v>16568</v>
      </c>
      <c r="BK267" t="s">
        <v>16569</v>
      </c>
      <c r="BL267" t="s">
        <v>16570</v>
      </c>
      <c r="BM267" t="s">
        <v>16571</v>
      </c>
      <c r="BN267" t="s">
        <v>16572</v>
      </c>
      <c r="BO267" t="s">
        <v>16573</v>
      </c>
      <c r="BP267" t="s">
        <v>16174</v>
      </c>
      <c r="BR267" t="s">
        <v>274</v>
      </c>
    </row>
    <row r="268" spans="1:70" x14ac:dyDescent="0.3">
      <c r="A268" t="s">
        <v>4497</v>
      </c>
      <c r="B268" t="s">
        <v>4498</v>
      </c>
      <c r="C268" t="s">
        <v>4632</v>
      </c>
      <c r="D268" t="s">
        <v>4633</v>
      </c>
      <c r="F268" t="s">
        <v>274</v>
      </c>
      <c r="G268" t="s">
        <v>274</v>
      </c>
      <c r="H268" t="s">
        <v>274</v>
      </c>
      <c r="I268" t="s">
        <v>274</v>
      </c>
      <c r="J268" t="s">
        <v>274</v>
      </c>
      <c r="K268" t="s">
        <v>274</v>
      </c>
      <c r="L268" t="s">
        <v>274</v>
      </c>
      <c r="M268" t="s">
        <v>274</v>
      </c>
      <c r="N268" t="s">
        <v>274</v>
      </c>
      <c r="O268" t="s">
        <v>274</v>
      </c>
      <c r="P268" t="s">
        <v>274</v>
      </c>
      <c r="Q268" t="s">
        <v>274</v>
      </c>
      <c r="R268" t="s">
        <v>274</v>
      </c>
      <c r="S268" t="s">
        <v>274</v>
      </c>
      <c r="T268" t="s">
        <v>274</v>
      </c>
      <c r="U268" t="s">
        <v>274</v>
      </c>
      <c r="V268" t="s">
        <v>274</v>
      </c>
      <c r="W268" t="s">
        <v>274</v>
      </c>
      <c r="X268" t="s">
        <v>274</v>
      </c>
      <c r="Y268" t="s">
        <v>274</v>
      </c>
      <c r="Z268" t="s">
        <v>274</v>
      </c>
      <c r="AA268" t="s">
        <v>274</v>
      </c>
      <c r="AB268" t="s">
        <v>274</v>
      </c>
      <c r="AC268" t="s">
        <v>274</v>
      </c>
      <c r="AD268" t="s">
        <v>274</v>
      </c>
      <c r="AE268" t="s">
        <v>274</v>
      </c>
      <c r="AF268" t="s">
        <v>274</v>
      </c>
      <c r="AG268" t="s">
        <v>274</v>
      </c>
      <c r="AH268" t="s">
        <v>274</v>
      </c>
      <c r="AI268" t="s">
        <v>274</v>
      </c>
      <c r="AJ268" t="s">
        <v>12500</v>
      </c>
      <c r="AK268" t="s">
        <v>12501</v>
      </c>
      <c r="AL268" t="s">
        <v>16574</v>
      </c>
      <c r="AM268" t="s">
        <v>16575</v>
      </c>
      <c r="AN268" t="s">
        <v>16576</v>
      </c>
      <c r="AO268" t="s">
        <v>16577</v>
      </c>
      <c r="AP268" t="s">
        <v>16578</v>
      </c>
      <c r="AQ268" t="s">
        <v>16579</v>
      </c>
      <c r="AR268" t="s">
        <v>16580</v>
      </c>
      <c r="AS268" t="s">
        <v>16581</v>
      </c>
      <c r="AT268" t="s">
        <v>15749</v>
      </c>
      <c r="AU268" t="s">
        <v>16582</v>
      </c>
      <c r="AV268" t="s">
        <v>16583</v>
      </c>
      <c r="AW268" t="s">
        <v>16584</v>
      </c>
      <c r="AX268" t="s">
        <v>16585</v>
      </c>
      <c r="AY268" t="s">
        <v>16586</v>
      </c>
      <c r="AZ268" t="s">
        <v>16587</v>
      </c>
      <c r="BA268" t="s">
        <v>16588</v>
      </c>
      <c r="BB268" t="s">
        <v>16589</v>
      </c>
      <c r="BC268" t="s">
        <v>16590</v>
      </c>
      <c r="BD268" t="s">
        <v>16591</v>
      </c>
      <c r="BE268" t="s">
        <v>8408</v>
      </c>
      <c r="BF268" t="s">
        <v>16592</v>
      </c>
      <c r="BG268" t="s">
        <v>16593</v>
      </c>
      <c r="BH268" t="s">
        <v>16594</v>
      </c>
      <c r="BI268" t="s">
        <v>16595</v>
      </c>
      <c r="BJ268" t="s">
        <v>16596</v>
      </c>
      <c r="BK268" t="s">
        <v>16597</v>
      </c>
      <c r="BL268" t="s">
        <v>274</v>
      </c>
      <c r="BM268" t="s">
        <v>274</v>
      </c>
      <c r="BN268" t="s">
        <v>274</v>
      </c>
      <c r="BO268" t="s">
        <v>274</v>
      </c>
      <c r="BP268" t="s">
        <v>274</v>
      </c>
      <c r="BR268" t="s">
        <v>274</v>
      </c>
    </row>
    <row r="269" spans="1:70" x14ac:dyDescent="0.3">
      <c r="A269" t="s">
        <v>186</v>
      </c>
      <c r="B269" t="s">
        <v>4505</v>
      </c>
      <c r="C269" t="s">
        <v>4632</v>
      </c>
      <c r="D269" t="s">
        <v>4633</v>
      </c>
      <c r="F269" t="s">
        <v>16598</v>
      </c>
      <c r="G269" t="s">
        <v>16599</v>
      </c>
      <c r="H269" t="s">
        <v>16600</v>
      </c>
      <c r="I269" t="s">
        <v>16601</v>
      </c>
      <c r="J269" t="s">
        <v>16602</v>
      </c>
      <c r="K269" t="s">
        <v>14935</v>
      </c>
      <c r="L269" t="s">
        <v>16603</v>
      </c>
      <c r="M269" t="s">
        <v>16604</v>
      </c>
      <c r="N269" t="s">
        <v>16605</v>
      </c>
      <c r="O269" t="s">
        <v>16606</v>
      </c>
      <c r="P269" t="s">
        <v>9771</v>
      </c>
      <c r="Q269" t="s">
        <v>16607</v>
      </c>
      <c r="R269" t="s">
        <v>16608</v>
      </c>
      <c r="S269" t="s">
        <v>16609</v>
      </c>
      <c r="T269" t="s">
        <v>14938</v>
      </c>
      <c r="U269" t="s">
        <v>14939</v>
      </c>
      <c r="V269" t="s">
        <v>12272</v>
      </c>
      <c r="W269" t="s">
        <v>16610</v>
      </c>
      <c r="X269" t="s">
        <v>16611</v>
      </c>
      <c r="Y269" t="s">
        <v>16612</v>
      </c>
      <c r="Z269" t="s">
        <v>16613</v>
      </c>
      <c r="AA269" t="s">
        <v>16614</v>
      </c>
      <c r="AB269" t="s">
        <v>16615</v>
      </c>
      <c r="AC269" t="s">
        <v>16616</v>
      </c>
      <c r="AD269" t="s">
        <v>4695</v>
      </c>
      <c r="AE269" t="s">
        <v>16617</v>
      </c>
      <c r="AF269" t="s">
        <v>16618</v>
      </c>
      <c r="AG269" t="s">
        <v>16619</v>
      </c>
      <c r="AH269" t="s">
        <v>16620</v>
      </c>
      <c r="AI269" t="s">
        <v>9787</v>
      </c>
      <c r="AJ269" t="s">
        <v>16621</v>
      </c>
      <c r="AK269" t="s">
        <v>16622</v>
      </c>
      <c r="AL269" t="s">
        <v>16623</v>
      </c>
      <c r="AM269" t="s">
        <v>16624</v>
      </c>
      <c r="AN269" t="s">
        <v>16158</v>
      </c>
      <c r="AO269" t="s">
        <v>16625</v>
      </c>
      <c r="AP269" t="s">
        <v>16626</v>
      </c>
      <c r="AQ269" t="s">
        <v>16627</v>
      </c>
      <c r="AR269" t="s">
        <v>16628</v>
      </c>
      <c r="AS269" t="s">
        <v>16629</v>
      </c>
      <c r="AT269" t="s">
        <v>16630</v>
      </c>
      <c r="AU269" t="s">
        <v>16631</v>
      </c>
      <c r="AV269" t="s">
        <v>16632</v>
      </c>
      <c r="AW269" t="s">
        <v>16633</v>
      </c>
      <c r="AX269" t="s">
        <v>16634</v>
      </c>
      <c r="AY269" t="s">
        <v>16635</v>
      </c>
      <c r="AZ269" t="s">
        <v>4717</v>
      </c>
      <c r="BA269" t="s">
        <v>16636</v>
      </c>
      <c r="BB269" t="s">
        <v>16637</v>
      </c>
      <c r="BC269" t="s">
        <v>16638</v>
      </c>
      <c r="BD269" t="s">
        <v>16639</v>
      </c>
      <c r="BE269" t="s">
        <v>16640</v>
      </c>
      <c r="BF269" t="s">
        <v>16641</v>
      </c>
      <c r="BG269" t="s">
        <v>16642</v>
      </c>
      <c r="BH269" t="s">
        <v>16643</v>
      </c>
      <c r="BI269" t="s">
        <v>16644</v>
      </c>
      <c r="BJ269" t="s">
        <v>16645</v>
      </c>
      <c r="BK269" t="s">
        <v>16646</v>
      </c>
      <c r="BL269" t="s">
        <v>16647</v>
      </c>
      <c r="BM269" t="s">
        <v>16648</v>
      </c>
      <c r="BN269" t="s">
        <v>16649</v>
      </c>
      <c r="BO269" t="s">
        <v>16650</v>
      </c>
      <c r="BP269" t="s">
        <v>14963</v>
      </c>
      <c r="BR269" t="s">
        <v>274</v>
      </c>
    </row>
    <row r="270" spans="1:70" x14ac:dyDescent="0.3">
      <c r="A270" t="s">
        <v>188</v>
      </c>
      <c r="B270" t="s">
        <v>4523</v>
      </c>
      <c r="C270" t="s">
        <v>4632</v>
      </c>
      <c r="D270" t="s">
        <v>4633</v>
      </c>
      <c r="F270" t="s">
        <v>16651</v>
      </c>
      <c r="G270" t="s">
        <v>11551</v>
      </c>
      <c r="H270" t="s">
        <v>16652</v>
      </c>
      <c r="I270" t="s">
        <v>16653</v>
      </c>
      <c r="J270" t="s">
        <v>16654</v>
      </c>
      <c r="K270" t="s">
        <v>16655</v>
      </c>
      <c r="L270" t="s">
        <v>16656</v>
      </c>
      <c r="M270" t="s">
        <v>16657</v>
      </c>
      <c r="N270" t="s">
        <v>16658</v>
      </c>
      <c r="O270" t="s">
        <v>16659</v>
      </c>
      <c r="P270" t="s">
        <v>16660</v>
      </c>
      <c r="Q270" t="s">
        <v>16661</v>
      </c>
      <c r="R270" t="s">
        <v>16662</v>
      </c>
      <c r="S270" t="s">
        <v>16663</v>
      </c>
      <c r="T270" t="s">
        <v>16664</v>
      </c>
      <c r="U270" t="s">
        <v>16665</v>
      </c>
      <c r="V270" t="s">
        <v>16666</v>
      </c>
      <c r="W270" t="s">
        <v>16667</v>
      </c>
      <c r="X270" t="s">
        <v>16668</v>
      </c>
      <c r="Y270" t="s">
        <v>16669</v>
      </c>
      <c r="Z270" t="s">
        <v>16670</v>
      </c>
      <c r="AA270" t="s">
        <v>16671</v>
      </c>
      <c r="AB270" t="s">
        <v>16672</v>
      </c>
      <c r="AC270" t="s">
        <v>16673</v>
      </c>
      <c r="AD270" t="s">
        <v>16674</v>
      </c>
      <c r="AE270" t="s">
        <v>16675</v>
      </c>
      <c r="AF270" t="s">
        <v>16676</v>
      </c>
      <c r="AG270" t="s">
        <v>16677</v>
      </c>
      <c r="AH270" t="s">
        <v>16678</v>
      </c>
      <c r="AI270" t="s">
        <v>16679</v>
      </c>
      <c r="AJ270" t="s">
        <v>16680</v>
      </c>
      <c r="AK270" t="s">
        <v>16681</v>
      </c>
      <c r="AL270" t="s">
        <v>16682</v>
      </c>
      <c r="AM270" t="s">
        <v>16683</v>
      </c>
      <c r="AN270" t="s">
        <v>16684</v>
      </c>
      <c r="AO270" t="s">
        <v>16685</v>
      </c>
      <c r="AP270" t="s">
        <v>16686</v>
      </c>
      <c r="AQ270" t="s">
        <v>16687</v>
      </c>
      <c r="AR270" t="s">
        <v>16688</v>
      </c>
      <c r="AS270" t="s">
        <v>16689</v>
      </c>
      <c r="AT270" t="s">
        <v>16690</v>
      </c>
      <c r="AU270" t="s">
        <v>16691</v>
      </c>
      <c r="AV270" t="s">
        <v>16692</v>
      </c>
      <c r="AW270" t="s">
        <v>16693</v>
      </c>
      <c r="AX270" t="s">
        <v>16694</v>
      </c>
      <c r="AY270" t="s">
        <v>16695</v>
      </c>
      <c r="AZ270" t="s">
        <v>16696</v>
      </c>
      <c r="BA270" t="s">
        <v>16697</v>
      </c>
      <c r="BB270" t="s">
        <v>16698</v>
      </c>
      <c r="BC270" t="s">
        <v>16699</v>
      </c>
      <c r="BD270" t="s">
        <v>16700</v>
      </c>
      <c r="BE270" t="s">
        <v>16701</v>
      </c>
      <c r="BF270" t="s">
        <v>16702</v>
      </c>
      <c r="BG270" t="s">
        <v>16703</v>
      </c>
      <c r="BH270" t="s">
        <v>16704</v>
      </c>
      <c r="BI270" t="s">
        <v>16705</v>
      </c>
      <c r="BJ270" t="s">
        <v>16706</v>
      </c>
      <c r="BK270" t="s">
        <v>16707</v>
      </c>
      <c r="BL270" t="s">
        <v>16708</v>
      </c>
      <c r="BM270" t="s">
        <v>16709</v>
      </c>
      <c r="BN270" t="s">
        <v>16710</v>
      </c>
      <c r="BO270" t="s">
        <v>16711</v>
      </c>
      <c r="BP270" t="s">
        <v>16712</v>
      </c>
      <c r="BR270" t="s">
        <v>274</v>
      </c>
    </row>
    <row r="271" spans="1:70" x14ac:dyDescent="0.3">
      <c r="A271" t="s">
        <v>189</v>
      </c>
      <c r="B271" t="s">
        <v>4552</v>
      </c>
      <c r="C271" t="s">
        <v>4632</v>
      </c>
      <c r="D271" t="s">
        <v>4633</v>
      </c>
      <c r="F271" t="s">
        <v>16713</v>
      </c>
      <c r="G271" t="s">
        <v>16714</v>
      </c>
      <c r="H271" t="s">
        <v>16715</v>
      </c>
      <c r="I271" t="s">
        <v>16716</v>
      </c>
      <c r="J271" t="s">
        <v>9907</v>
      </c>
      <c r="K271" t="s">
        <v>16717</v>
      </c>
      <c r="L271" t="s">
        <v>16718</v>
      </c>
      <c r="M271" t="s">
        <v>16719</v>
      </c>
      <c r="N271" t="s">
        <v>16720</v>
      </c>
      <c r="O271" t="s">
        <v>16721</v>
      </c>
      <c r="P271" t="s">
        <v>16722</v>
      </c>
      <c r="Q271" t="s">
        <v>16723</v>
      </c>
      <c r="R271" t="s">
        <v>16724</v>
      </c>
      <c r="S271" t="s">
        <v>8373</v>
      </c>
      <c r="T271" t="s">
        <v>16725</v>
      </c>
      <c r="U271" t="s">
        <v>16726</v>
      </c>
      <c r="V271" t="s">
        <v>16727</v>
      </c>
      <c r="W271" t="s">
        <v>16728</v>
      </c>
      <c r="X271" t="s">
        <v>16729</v>
      </c>
      <c r="Y271" t="s">
        <v>14941</v>
      </c>
      <c r="Z271" t="s">
        <v>16730</v>
      </c>
      <c r="AA271" t="s">
        <v>16731</v>
      </c>
      <c r="AB271" t="s">
        <v>16732</v>
      </c>
      <c r="AC271" t="s">
        <v>16733</v>
      </c>
      <c r="AD271" t="s">
        <v>16734</v>
      </c>
      <c r="AE271" t="s">
        <v>16735</v>
      </c>
      <c r="AF271" t="s">
        <v>8385</v>
      </c>
      <c r="AG271" t="s">
        <v>16736</v>
      </c>
      <c r="AH271" t="s">
        <v>16737</v>
      </c>
      <c r="AI271" t="s">
        <v>16738</v>
      </c>
      <c r="AJ271" t="s">
        <v>16739</v>
      </c>
      <c r="AK271" t="s">
        <v>16740</v>
      </c>
      <c r="AL271" t="s">
        <v>16741</v>
      </c>
      <c r="AM271" t="s">
        <v>16742</v>
      </c>
      <c r="AN271" t="s">
        <v>16743</v>
      </c>
      <c r="AO271" t="s">
        <v>16744</v>
      </c>
      <c r="AP271" t="s">
        <v>16745</v>
      </c>
      <c r="AQ271" t="s">
        <v>16746</v>
      </c>
      <c r="AR271" t="s">
        <v>4709</v>
      </c>
      <c r="AS271" t="s">
        <v>16747</v>
      </c>
      <c r="AT271" t="s">
        <v>16748</v>
      </c>
      <c r="AU271" t="s">
        <v>16749</v>
      </c>
      <c r="AV271" t="s">
        <v>16750</v>
      </c>
      <c r="AW271" t="s">
        <v>7829</v>
      </c>
      <c r="AX271" t="s">
        <v>16751</v>
      </c>
      <c r="AY271" t="s">
        <v>16752</v>
      </c>
      <c r="AZ271" t="s">
        <v>16753</v>
      </c>
      <c r="BA271" t="s">
        <v>16754</v>
      </c>
      <c r="BB271" t="s">
        <v>16755</v>
      </c>
      <c r="BC271" t="s">
        <v>16756</v>
      </c>
      <c r="BD271" t="s">
        <v>16757</v>
      </c>
      <c r="BE271" t="s">
        <v>16758</v>
      </c>
      <c r="BF271" t="s">
        <v>16759</v>
      </c>
      <c r="BG271" t="s">
        <v>16760</v>
      </c>
      <c r="BH271" t="s">
        <v>16761</v>
      </c>
      <c r="BI271" t="s">
        <v>16762</v>
      </c>
      <c r="BJ271" t="s">
        <v>16763</v>
      </c>
      <c r="BK271" t="s">
        <v>16764</v>
      </c>
      <c r="BL271" t="s">
        <v>16765</v>
      </c>
      <c r="BM271" t="s">
        <v>16766</v>
      </c>
      <c r="BN271" t="s">
        <v>16767</v>
      </c>
      <c r="BO271" t="s">
        <v>16768</v>
      </c>
      <c r="BP271" t="s">
        <v>16769</v>
      </c>
      <c r="BR271" t="s">
        <v>274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02C64-2E93-4FDB-96CC-D483FA90A659}">
  <dimension ref="A1:E39"/>
  <sheetViews>
    <sheetView workbookViewId="0">
      <selection activeCell="G18" sqref="G18"/>
    </sheetView>
  </sheetViews>
  <sheetFormatPr defaultRowHeight="14.4" x14ac:dyDescent="0.3"/>
  <cols>
    <col min="5" max="5" width="21" customWidth="1"/>
  </cols>
  <sheetData>
    <row r="1" spans="1:5" x14ac:dyDescent="0.3">
      <c r="B1" t="s">
        <v>38</v>
      </c>
      <c r="C1" t="s">
        <v>104</v>
      </c>
      <c r="D1" t="s">
        <v>16998</v>
      </c>
      <c r="E1" t="s">
        <v>17000</v>
      </c>
    </row>
    <row r="2" spans="1:5" x14ac:dyDescent="0.3">
      <c r="A2">
        <v>1988</v>
      </c>
      <c r="B2" s="12">
        <v>17.733333333333299</v>
      </c>
      <c r="D2" s="17">
        <v>9.3149999999999995</v>
      </c>
      <c r="E2" s="17">
        <v>10.095708333333301</v>
      </c>
    </row>
    <row r="3" spans="1:5" x14ac:dyDescent="0.3">
      <c r="A3">
        <v>1989</v>
      </c>
      <c r="B3" s="12">
        <v>20.3333333333333</v>
      </c>
      <c r="C3" s="13">
        <v>15.0025833333333</v>
      </c>
      <c r="D3" s="12">
        <v>10.873333333333299</v>
      </c>
      <c r="E3" s="12">
        <v>13.841808333333301</v>
      </c>
    </row>
    <row r="4" spans="1:5" x14ac:dyDescent="0.3">
      <c r="A4">
        <v>1990</v>
      </c>
      <c r="B4" s="12">
        <v>28.774999999999999</v>
      </c>
      <c r="C4" s="13">
        <v>14.85225</v>
      </c>
      <c r="D4" s="12">
        <v>10.009166666666699</v>
      </c>
      <c r="E4" s="12">
        <v>14.7681166666667</v>
      </c>
    </row>
    <row r="5" spans="1:5" x14ac:dyDescent="0.3">
      <c r="A5">
        <v>1991</v>
      </c>
      <c r="B5" s="12">
        <v>35.152616638317802</v>
      </c>
      <c r="C5" s="13">
        <v>14.6664166666667</v>
      </c>
      <c r="D5" s="12">
        <v>8.4633333333333294</v>
      </c>
      <c r="E5" s="12">
        <v>11.694983333333299</v>
      </c>
    </row>
    <row r="6" spans="1:5" x14ac:dyDescent="0.3">
      <c r="A6">
        <v>1992</v>
      </c>
      <c r="B6" s="12">
        <v>33.049999999999997</v>
      </c>
      <c r="C6" s="13">
        <v>16.5239166666667</v>
      </c>
      <c r="D6" s="12">
        <v>6.2516666666666696</v>
      </c>
      <c r="E6" s="12">
        <v>9.5634833333333304</v>
      </c>
    </row>
    <row r="7" spans="1:5" x14ac:dyDescent="0.3">
      <c r="A7">
        <v>1993</v>
      </c>
      <c r="B7" s="12">
        <v>25.425000000000001</v>
      </c>
      <c r="C7" s="13">
        <v>14.627833333333299</v>
      </c>
      <c r="D7" s="12" t="s">
        <v>604</v>
      </c>
      <c r="E7" s="12">
        <v>6.0136333333333303</v>
      </c>
    </row>
    <row r="8" spans="1:5" x14ac:dyDescent="0.3">
      <c r="A8">
        <v>1994</v>
      </c>
      <c r="B8" s="12">
        <v>27.4</v>
      </c>
      <c r="C8" s="13">
        <v>11.983833333333299</v>
      </c>
      <c r="D8" s="12">
        <v>7.1383333333333301</v>
      </c>
      <c r="E8" s="12">
        <v>5.4627833333333298</v>
      </c>
    </row>
    <row r="9" spans="1:5" x14ac:dyDescent="0.3">
      <c r="A9">
        <v>1995</v>
      </c>
      <c r="B9" s="12">
        <v>32.608333333333299</v>
      </c>
      <c r="C9" s="13">
        <v>13.236000000000001</v>
      </c>
      <c r="D9" s="12">
        <v>8.8291666666666693</v>
      </c>
      <c r="E9" s="12">
        <v>6.6936749999999998</v>
      </c>
    </row>
    <row r="10" spans="1:5" x14ac:dyDescent="0.3">
      <c r="A10">
        <v>1996</v>
      </c>
      <c r="B10" s="12">
        <v>27.308333333333302</v>
      </c>
      <c r="C10" s="13">
        <v>12.8183333333333</v>
      </c>
      <c r="D10" s="12">
        <v>8.2708333333333304</v>
      </c>
      <c r="E10" s="12">
        <v>5.9585333333333299</v>
      </c>
    </row>
    <row r="11" spans="1:5" x14ac:dyDescent="0.3">
      <c r="A11">
        <v>1997</v>
      </c>
      <c r="B11" s="12">
        <v>21.766666666666701</v>
      </c>
      <c r="C11" s="13">
        <v>10.5094833333333</v>
      </c>
      <c r="D11" s="12">
        <v>8.44166666666667</v>
      </c>
      <c r="E11" s="12">
        <v>6.5633999999999997</v>
      </c>
    </row>
    <row r="12" spans="1:5" x14ac:dyDescent="0.3">
      <c r="A12">
        <v>1998</v>
      </c>
      <c r="B12" s="12">
        <v>19.274999999999999</v>
      </c>
      <c r="C12" s="13">
        <v>8.6431083333333305</v>
      </c>
      <c r="D12" s="12">
        <v>8.3541666666666696</v>
      </c>
      <c r="E12" s="12">
        <v>7.2320500000000001</v>
      </c>
    </row>
    <row r="13" spans="1:5" x14ac:dyDescent="0.3">
      <c r="A13">
        <v>1999</v>
      </c>
      <c r="B13" s="12">
        <v>16.341666666666701</v>
      </c>
      <c r="C13" s="13">
        <v>6.3455250000000003</v>
      </c>
      <c r="D13" s="12">
        <v>7.9941666666666702</v>
      </c>
      <c r="E13" s="12">
        <v>5.3444083333333303</v>
      </c>
    </row>
    <row r="14" spans="1:5" x14ac:dyDescent="0.3">
      <c r="A14">
        <v>2000</v>
      </c>
      <c r="B14" s="12">
        <v>12.6</v>
      </c>
      <c r="C14" s="13">
        <v>7.0227416666666702</v>
      </c>
      <c r="D14" s="12">
        <v>9.2333333333333307</v>
      </c>
      <c r="E14" s="12">
        <v>5.9638916666666697</v>
      </c>
    </row>
    <row r="15" spans="1:5" x14ac:dyDescent="0.3">
      <c r="A15">
        <v>2001</v>
      </c>
      <c r="B15" s="12">
        <v>12.116666666666699</v>
      </c>
      <c r="C15" s="13">
        <v>7.28775</v>
      </c>
      <c r="D15" s="12">
        <v>6.9216666666666704</v>
      </c>
      <c r="E15" s="12">
        <v>5.1223749999999999</v>
      </c>
    </row>
    <row r="16" spans="1:5" x14ac:dyDescent="0.3">
      <c r="A16">
        <v>2002</v>
      </c>
      <c r="B16" s="12">
        <v>10.168876503531701</v>
      </c>
      <c r="C16" s="13">
        <v>6.5365083333333303</v>
      </c>
      <c r="D16" s="12">
        <v>4.6749999999999998</v>
      </c>
      <c r="E16" s="12" t="s">
        <v>1312</v>
      </c>
    </row>
    <row r="17" spans="1:5" x14ac:dyDescent="0.3">
      <c r="A17">
        <v>2003</v>
      </c>
      <c r="B17" s="12">
        <v>9.6034239154624608</v>
      </c>
      <c r="C17" s="13">
        <v>5.8303500000000001</v>
      </c>
      <c r="D17" s="12">
        <v>4.1224999999999996</v>
      </c>
      <c r="E17" s="12">
        <v>3.6957916666666701</v>
      </c>
    </row>
    <row r="18" spans="1:5" x14ac:dyDescent="0.3">
      <c r="A18">
        <v>2004</v>
      </c>
      <c r="B18" s="12">
        <v>12.824526015779099</v>
      </c>
      <c r="C18" s="13">
        <v>5.5061666666666698</v>
      </c>
      <c r="D18" s="12">
        <v>4.34</v>
      </c>
      <c r="E18" s="12">
        <v>4.3798166666666702</v>
      </c>
    </row>
    <row r="19" spans="1:5" x14ac:dyDescent="0.3">
      <c r="A19">
        <v>2005</v>
      </c>
      <c r="B19" s="12">
        <v>8.54094532697993</v>
      </c>
      <c r="C19" s="13">
        <v>5.3139349999999999</v>
      </c>
      <c r="D19" s="12">
        <v>6.1891666666666696</v>
      </c>
      <c r="E19" s="12">
        <v>4.6486749999999999</v>
      </c>
    </row>
    <row r="20" spans="1:5" x14ac:dyDescent="0.3">
      <c r="A20">
        <v>2006</v>
      </c>
      <c r="B20" s="12">
        <v>8.0794149879932409</v>
      </c>
      <c r="C20" s="13">
        <v>5.6217791666666699</v>
      </c>
      <c r="D20" s="12">
        <v>7.9574999999999996</v>
      </c>
      <c r="E20" s="12">
        <v>4.6382583333333303</v>
      </c>
    </row>
    <row r="21" spans="1:5" x14ac:dyDescent="0.3">
      <c r="A21">
        <v>2007</v>
      </c>
      <c r="B21" s="12">
        <v>9.0859474957309097</v>
      </c>
      <c r="C21" s="13">
        <v>6.3346999999999998</v>
      </c>
      <c r="D21" s="12">
        <v>8.0500000000000007</v>
      </c>
      <c r="E21" s="12">
        <v>5.5087083333333302</v>
      </c>
    </row>
    <row r="22" spans="1:5" x14ac:dyDescent="0.3">
      <c r="A22">
        <v>2008</v>
      </c>
      <c r="B22" s="12">
        <v>10.1816677384355</v>
      </c>
      <c r="C22" s="13">
        <v>6.8373100000000004</v>
      </c>
      <c r="D22" s="12">
        <v>5.0875000000000004</v>
      </c>
      <c r="E22" s="12">
        <v>4.6753083333333301</v>
      </c>
    </row>
    <row r="23" spans="1:5" x14ac:dyDescent="0.3">
      <c r="A23">
        <v>2009</v>
      </c>
      <c r="B23" s="12">
        <v>11.036862215740999</v>
      </c>
      <c r="C23" s="13">
        <v>4.7566666666666704</v>
      </c>
      <c r="D23" s="12">
        <v>3.25</v>
      </c>
      <c r="E23" s="12">
        <v>0.64486666666666703</v>
      </c>
    </row>
    <row r="24" spans="1:5" x14ac:dyDescent="0.3">
      <c r="A24">
        <v>2010</v>
      </c>
      <c r="B24" s="12">
        <v>7.5869251134784097</v>
      </c>
      <c r="C24" s="13">
        <v>4.0316666666666698</v>
      </c>
      <c r="D24" s="12">
        <v>3.25</v>
      </c>
      <c r="E24" s="12">
        <v>0.5</v>
      </c>
    </row>
    <row r="25" spans="1:5" x14ac:dyDescent="0.3">
      <c r="A25">
        <v>2011</v>
      </c>
      <c r="B25" s="12">
        <v>8.3203816663583297</v>
      </c>
      <c r="C25" s="13">
        <v>4.5991666666666697</v>
      </c>
      <c r="D25" s="12">
        <v>3.25</v>
      </c>
      <c r="E25" s="12">
        <v>0.5</v>
      </c>
    </row>
    <row r="26" spans="1:5" x14ac:dyDescent="0.3">
      <c r="A26">
        <v>2012</v>
      </c>
      <c r="B26" s="12">
        <v>9.0015445105916694</v>
      </c>
      <c r="C26" s="13">
        <v>5.2225000000000001</v>
      </c>
      <c r="D26" s="12">
        <v>3.25</v>
      </c>
      <c r="E26" s="12">
        <v>0.5</v>
      </c>
    </row>
    <row r="27" spans="1:5" x14ac:dyDescent="0.3">
      <c r="A27">
        <v>2013</v>
      </c>
      <c r="B27" s="12">
        <v>6.3039123539083297</v>
      </c>
      <c r="C27" s="13">
        <v>5.1441666666666697</v>
      </c>
      <c r="D27" s="12">
        <v>3.25</v>
      </c>
      <c r="E27" s="12">
        <v>0.5</v>
      </c>
    </row>
    <row r="28" spans="1:5" x14ac:dyDescent="0.3">
      <c r="A28">
        <v>2014</v>
      </c>
      <c r="B28" s="12">
        <v>4.4475343271583299</v>
      </c>
      <c r="C28" s="13">
        <v>4.8666666666666698</v>
      </c>
      <c r="D28" s="12">
        <v>3.25</v>
      </c>
      <c r="E28" s="12">
        <v>0.5</v>
      </c>
    </row>
    <row r="29" spans="1:5" x14ac:dyDescent="0.3">
      <c r="A29">
        <v>2015</v>
      </c>
      <c r="B29" s="12">
        <v>2.9024906904666699</v>
      </c>
      <c r="C29" s="13">
        <v>4.1292499999999999</v>
      </c>
      <c r="D29" s="12">
        <v>3.26</v>
      </c>
      <c r="E29" s="12" t="s">
        <v>274</v>
      </c>
    </row>
    <row r="30" spans="1:5" x14ac:dyDescent="0.3">
      <c r="A30">
        <v>2016</v>
      </c>
      <c r="B30" s="12">
        <v>2.0890711121333299</v>
      </c>
      <c r="C30" s="13">
        <v>3.49616666666667</v>
      </c>
      <c r="D30" s="12">
        <v>3.5116666666666698</v>
      </c>
      <c r="E30" s="12" t="s">
        <v>274</v>
      </c>
    </row>
    <row r="31" spans="1:5" x14ac:dyDescent="0.3">
      <c r="A31">
        <v>2017</v>
      </c>
      <c r="B31" s="12">
        <v>1.4811434216666699</v>
      </c>
      <c r="C31" s="13">
        <v>3.0008333333333299</v>
      </c>
      <c r="D31" s="12">
        <v>4.0966666666666702</v>
      </c>
      <c r="E31" s="12" t="s">
        <v>274</v>
      </c>
    </row>
    <row r="32" spans="1:5" x14ac:dyDescent="0.3">
      <c r="A32">
        <v>2018</v>
      </c>
      <c r="B32" s="12">
        <v>1.4709675930083299</v>
      </c>
      <c r="C32" s="13">
        <v>2.68</v>
      </c>
      <c r="D32" s="12">
        <v>4.9041666666666703</v>
      </c>
      <c r="E32" s="12" t="s">
        <v>274</v>
      </c>
    </row>
    <row r="33" spans="1:5" x14ac:dyDescent="0.3">
      <c r="A33">
        <v>2019</v>
      </c>
      <c r="B33" s="12">
        <v>1.7924337879083301</v>
      </c>
      <c r="C33" s="13">
        <v>2.6025</v>
      </c>
      <c r="D33" s="12">
        <v>5.2824999999999998</v>
      </c>
      <c r="E33" s="12" t="s">
        <v>274</v>
      </c>
    </row>
    <row r="34" spans="1:5" x14ac:dyDescent="0.3">
      <c r="A34">
        <v>2020</v>
      </c>
      <c r="B34" s="12">
        <v>1.9576891332416699</v>
      </c>
      <c r="C34" s="13">
        <v>2.32833333333333</v>
      </c>
      <c r="D34" s="12">
        <v>3.54416666666667</v>
      </c>
      <c r="E34" s="12" t="s">
        <v>274</v>
      </c>
    </row>
    <row r="35" spans="1:5" x14ac:dyDescent="0.3">
      <c r="A35">
        <v>2021</v>
      </c>
      <c r="B35" s="12">
        <v>2.9645376181</v>
      </c>
      <c r="C35" s="13">
        <v>2.0259166666666699</v>
      </c>
      <c r="D35" s="12">
        <v>3.25</v>
      </c>
      <c r="E35" s="12" t="s">
        <v>274</v>
      </c>
    </row>
    <row r="36" spans="1:5" x14ac:dyDescent="0.3">
      <c r="A36">
        <v>2022</v>
      </c>
      <c r="B36" s="12">
        <v>10.655431453591699</v>
      </c>
      <c r="C36" s="13">
        <v>2.2644549999999999</v>
      </c>
      <c r="D36" s="12" t="s">
        <v>274</v>
      </c>
      <c r="E36" s="12" t="s">
        <v>274</v>
      </c>
    </row>
    <row r="37" spans="1:5" x14ac:dyDescent="0.3">
      <c r="A37">
        <v>2023</v>
      </c>
      <c r="B37" s="12">
        <v>15.3020823180167</v>
      </c>
      <c r="C37" s="13">
        <v>4.8924812500000003</v>
      </c>
      <c r="D37" s="12" t="s">
        <v>274</v>
      </c>
      <c r="E37" s="12" t="s">
        <v>274</v>
      </c>
    </row>
    <row r="38" spans="1:5" x14ac:dyDescent="0.3">
      <c r="A38">
        <v>2024</v>
      </c>
      <c r="B38" s="12">
        <v>9.1267151564083306</v>
      </c>
      <c r="C38" s="13">
        <v>5.2524458333333301</v>
      </c>
      <c r="D38" s="12" t="s">
        <v>274</v>
      </c>
      <c r="E38" s="12" t="s">
        <v>274</v>
      </c>
    </row>
    <row r="39" spans="1:5" x14ac:dyDescent="0.3">
      <c r="B39" s="9" t="s">
        <v>274</v>
      </c>
      <c r="C39" s="10" t="s">
        <v>274</v>
      </c>
      <c r="D39" s="9" t="s">
        <v>274</v>
      </c>
      <c r="E39" s="9" t="s">
        <v>274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7E7F-D25A-47E6-B122-1A77B523C2EA}">
  <dimension ref="A1:E64"/>
  <sheetViews>
    <sheetView workbookViewId="0">
      <selection activeCell="H28" sqref="H28"/>
    </sheetView>
  </sheetViews>
  <sheetFormatPr defaultRowHeight="14.4" x14ac:dyDescent="0.3"/>
  <cols>
    <col min="5" max="5" width="27.44140625" customWidth="1"/>
  </cols>
  <sheetData>
    <row r="1" spans="1:5" x14ac:dyDescent="0.3">
      <c r="B1" t="s">
        <v>38</v>
      </c>
      <c r="C1" t="s">
        <v>16770</v>
      </c>
      <c r="D1" t="s">
        <v>16998</v>
      </c>
      <c r="E1" t="s">
        <v>17000</v>
      </c>
    </row>
    <row r="2" spans="1:5" x14ac:dyDescent="0.3">
      <c r="A2">
        <v>1961</v>
      </c>
      <c r="B2" s="13">
        <v>0.98085001753199197</v>
      </c>
      <c r="C2" s="12">
        <v>2.65304048912687</v>
      </c>
      <c r="D2" s="13">
        <v>1.35015389642182</v>
      </c>
      <c r="E2" s="13">
        <v>3.3634395853110801</v>
      </c>
    </row>
    <row r="3" spans="1:5" x14ac:dyDescent="0.3">
      <c r="A3">
        <v>1962</v>
      </c>
      <c r="B3" s="13">
        <v>-0.58648754682174298</v>
      </c>
      <c r="C3" s="12">
        <v>3.9656057354677499</v>
      </c>
      <c r="D3" s="13">
        <v>1.2446347120012899</v>
      </c>
      <c r="E3" s="13">
        <v>3.3735134568410499</v>
      </c>
    </row>
    <row r="4" spans="1:5" x14ac:dyDescent="0.3">
      <c r="A4">
        <v>1963</v>
      </c>
      <c r="B4" s="13">
        <v>-0.45035583322513201</v>
      </c>
      <c r="C4" s="12">
        <v>3.4203682692332902</v>
      </c>
      <c r="D4" s="13">
        <v>1.0883860113684301</v>
      </c>
      <c r="E4" s="13">
        <v>1.60352391125433</v>
      </c>
    </row>
    <row r="5" spans="1:5" x14ac:dyDescent="0.3">
      <c r="A5">
        <v>1964</v>
      </c>
      <c r="B5" s="13">
        <v>0.39905531320580701</v>
      </c>
      <c r="C5" s="12">
        <v>5.2383753626354199</v>
      </c>
      <c r="D5" s="13">
        <v>1.50393967901161</v>
      </c>
      <c r="E5" s="13">
        <v>3.2849628416683698</v>
      </c>
    </row>
    <row r="6" spans="1:5" x14ac:dyDescent="0.3">
      <c r="A6">
        <v>1965</v>
      </c>
      <c r="B6" s="13">
        <v>-30.187492798925099</v>
      </c>
      <c r="C6" s="12">
        <v>4.13762026884379</v>
      </c>
      <c r="D6" s="13">
        <v>1.9198258112473501</v>
      </c>
      <c r="E6" s="13">
        <v>5.6067945074954704</v>
      </c>
    </row>
    <row r="7" spans="1:5" x14ac:dyDescent="0.3">
      <c r="A7">
        <v>1966</v>
      </c>
      <c r="B7" s="13">
        <v>2.8801252006314799</v>
      </c>
      <c r="C7" s="12">
        <v>4.26410191645979</v>
      </c>
      <c r="D7" s="13">
        <v>2.8987785346833701</v>
      </c>
      <c r="E7" s="13">
        <v>4.98153640225516</v>
      </c>
    </row>
    <row r="8" spans="1:5" x14ac:dyDescent="0.3">
      <c r="A8">
        <v>1967</v>
      </c>
      <c r="B8" s="13">
        <v>0.58812948751978</v>
      </c>
      <c r="C8" s="12">
        <v>3.21766060934389</v>
      </c>
      <c r="D8" s="13">
        <v>3.1512793655544198</v>
      </c>
      <c r="E8" s="13">
        <v>2.7794616331816999</v>
      </c>
    </row>
    <row r="9" spans="1:5" x14ac:dyDescent="0.3">
      <c r="A9">
        <v>1968</v>
      </c>
      <c r="B9" s="13">
        <v>4.3583223881857398</v>
      </c>
      <c r="C9" s="12">
        <v>3.5173471976328701</v>
      </c>
      <c r="D9" s="13">
        <v>4.3671882405368203</v>
      </c>
      <c r="E9" s="13">
        <v>3.9312997722993801</v>
      </c>
    </row>
    <row r="10" spans="1:5" x14ac:dyDescent="0.3">
      <c r="A10">
        <v>1969</v>
      </c>
      <c r="B10" s="13">
        <v>3.9522453908444701</v>
      </c>
      <c r="C10" s="12">
        <v>4.6711192958794596</v>
      </c>
      <c r="D10" s="13">
        <v>4.9584884495747898</v>
      </c>
      <c r="E10" s="13">
        <v>6.0220375328617903</v>
      </c>
    </row>
    <row r="11" spans="1:5" x14ac:dyDescent="0.3">
      <c r="A11">
        <v>1970</v>
      </c>
      <c r="B11" s="13">
        <v>1.6871663144740601</v>
      </c>
      <c r="C11" s="12">
        <v>5.5191264760039598</v>
      </c>
      <c r="D11" s="13">
        <v>5.26272847566874</v>
      </c>
      <c r="E11" s="13">
        <v>9.2485509856936794</v>
      </c>
    </row>
    <row r="12" spans="1:5" x14ac:dyDescent="0.3">
      <c r="A12">
        <v>1971</v>
      </c>
      <c r="B12" s="13">
        <v>2.1749050530927301</v>
      </c>
      <c r="C12" s="12">
        <v>6.2043730725555699</v>
      </c>
      <c r="D12" s="13">
        <v>5.0698075072642297</v>
      </c>
      <c r="E12" s="13">
        <v>7.98562439791215</v>
      </c>
    </row>
    <row r="13" spans="1:5" x14ac:dyDescent="0.3">
      <c r="A13">
        <v>1972</v>
      </c>
      <c r="B13" s="13">
        <v>2.1160039378526498</v>
      </c>
      <c r="C13" s="12">
        <v>6.9088565734190901</v>
      </c>
      <c r="D13" s="13">
        <v>4.3261266602403499</v>
      </c>
      <c r="E13" s="13">
        <v>7.1882518840237397</v>
      </c>
    </row>
    <row r="14" spans="1:5" x14ac:dyDescent="0.3">
      <c r="A14">
        <v>1973</v>
      </c>
      <c r="B14" s="13">
        <v>2.6486739681028002</v>
      </c>
      <c r="C14" s="12">
        <v>9.4662780772373605</v>
      </c>
      <c r="D14" s="13">
        <v>5.4799234412211</v>
      </c>
      <c r="E14" s="13">
        <v>8.4148785304827491</v>
      </c>
    </row>
    <row r="15" spans="1:5" x14ac:dyDescent="0.3">
      <c r="A15">
        <v>1974</v>
      </c>
      <c r="B15" s="13">
        <v>-1.1818476208925099</v>
      </c>
      <c r="C15" s="12">
        <v>12.8956525051416</v>
      </c>
      <c r="D15" s="13">
        <v>8.9986930090182398</v>
      </c>
      <c r="E15" s="13">
        <v>15.0592126445052</v>
      </c>
    </row>
    <row r="16" spans="1:5" x14ac:dyDescent="0.3">
      <c r="A16">
        <v>1975</v>
      </c>
      <c r="B16" s="13">
        <v>0.98456019107631199</v>
      </c>
      <c r="C16" s="12">
        <v>13.120000942622299</v>
      </c>
      <c r="D16" s="13">
        <v>9.2627906631527104</v>
      </c>
      <c r="E16" s="13">
        <v>25.7707279671042</v>
      </c>
    </row>
    <row r="17" spans="1:5" x14ac:dyDescent="0.3">
      <c r="A17">
        <v>1976</v>
      </c>
      <c r="B17" s="13">
        <v>5.7660884324513697</v>
      </c>
      <c r="C17" s="12">
        <v>11.5195546106285</v>
      </c>
      <c r="D17" s="13">
        <v>5.5034919127959396</v>
      </c>
      <c r="E17" s="13">
        <v>15.1135672667405</v>
      </c>
    </row>
    <row r="18" spans="1:5" x14ac:dyDescent="0.3">
      <c r="A18">
        <v>1977</v>
      </c>
      <c r="B18" s="13">
        <v>2.27554257391989</v>
      </c>
      <c r="C18" s="12">
        <v>8.8698840558510597</v>
      </c>
      <c r="D18" s="13">
        <v>6.2133327164257697</v>
      </c>
      <c r="E18" s="13">
        <v>13.7104941413511</v>
      </c>
    </row>
    <row r="19" spans="1:5" x14ac:dyDescent="0.3">
      <c r="A19">
        <v>1978</v>
      </c>
      <c r="B19" s="13">
        <v>3.6634392853804099</v>
      </c>
      <c r="C19" s="12">
        <v>8.3444374126075598</v>
      </c>
      <c r="D19" s="13">
        <v>7.0339306556200096</v>
      </c>
      <c r="E19" s="13">
        <v>11.457547033558299</v>
      </c>
    </row>
    <row r="20" spans="1:5" x14ac:dyDescent="0.3">
      <c r="A20">
        <v>1979</v>
      </c>
      <c r="B20" s="13">
        <v>5.5124549041825803</v>
      </c>
      <c r="C20" s="12">
        <v>9.2578529356657508</v>
      </c>
      <c r="D20" s="13">
        <v>8.2967219817240192</v>
      </c>
      <c r="E20" s="13">
        <v>14.066541267377</v>
      </c>
    </row>
    <row r="21" spans="1:5" x14ac:dyDescent="0.3">
      <c r="A21">
        <v>1980</v>
      </c>
      <c r="B21" s="13">
        <v>5.6866484844849197</v>
      </c>
      <c r="C21" s="12">
        <v>11.9693278481543</v>
      </c>
      <c r="D21" s="13">
        <v>9.0331053879224807</v>
      </c>
      <c r="E21" s="13">
        <v>19.703794651774</v>
      </c>
    </row>
    <row r="22" spans="1:5" x14ac:dyDescent="0.3">
      <c r="A22">
        <v>1981</v>
      </c>
      <c r="B22" s="13">
        <v>5.1517915500337104</v>
      </c>
      <c r="C22" s="12">
        <v>11.5581160860631</v>
      </c>
      <c r="D22" s="13">
        <v>9.4621640874920097</v>
      </c>
      <c r="E22" s="13">
        <v>11.569262787204201</v>
      </c>
    </row>
    <row r="23" spans="1:5" x14ac:dyDescent="0.3">
      <c r="A23">
        <v>1982</v>
      </c>
      <c r="B23" s="13">
        <v>5.7103501343877001</v>
      </c>
      <c r="C23" s="12">
        <v>10.581986649062699</v>
      </c>
      <c r="D23" s="13">
        <v>6.1784041495417199</v>
      </c>
      <c r="E23" s="13">
        <v>7.4187749473635201</v>
      </c>
    </row>
    <row r="24" spans="1:5" x14ac:dyDescent="0.3">
      <c r="A24">
        <v>1983</v>
      </c>
      <c r="B24" s="13">
        <v>4.9609045812891299</v>
      </c>
      <c r="C24" s="12">
        <v>7.5070149256850396</v>
      </c>
      <c r="D24" s="13">
        <v>3.9169087850435602</v>
      </c>
      <c r="E24" s="13">
        <v>5.1228095146069297</v>
      </c>
    </row>
    <row r="25" spans="1:5" x14ac:dyDescent="0.3">
      <c r="A25">
        <v>1984</v>
      </c>
      <c r="B25" s="13">
        <v>6.3316243055853398</v>
      </c>
      <c r="C25" s="12">
        <v>6.7262730824278201</v>
      </c>
      <c r="D25" s="13">
        <v>3.6078793128998301</v>
      </c>
      <c r="E25" s="13">
        <v>5.03004753284901</v>
      </c>
    </row>
    <row r="26" spans="1:5" x14ac:dyDescent="0.3">
      <c r="A26">
        <v>1985</v>
      </c>
      <c r="B26" s="13">
        <v>5.9097643250137404</v>
      </c>
      <c r="C26" s="12">
        <v>5.2056006039599403</v>
      </c>
      <c r="D26" s="13">
        <v>3.1625252558363899</v>
      </c>
      <c r="E26" s="13">
        <v>5.5116979268546702</v>
      </c>
    </row>
    <row r="27" spans="1:5" x14ac:dyDescent="0.3">
      <c r="A27">
        <v>1986</v>
      </c>
      <c r="B27" s="13">
        <v>3.74226138866254</v>
      </c>
      <c r="C27" s="12">
        <v>4.45447826560775</v>
      </c>
      <c r="D27" s="13">
        <v>2.0138925356339601</v>
      </c>
      <c r="E27" s="13">
        <v>4.3353560120196901</v>
      </c>
    </row>
    <row r="28" spans="1:5" x14ac:dyDescent="0.3">
      <c r="A28">
        <v>1987</v>
      </c>
      <c r="B28" s="13">
        <v>8.2495742126290406</v>
      </c>
      <c r="C28" s="12">
        <v>2.7608762375194802</v>
      </c>
      <c r="D28" s="13">
        <v>2.4773884667957402</v>
      </c>
      <c r="E28" s="13">
        <v>5.4405490290076797</v>
      </c>
    </row>
    <row r="29" spans="1:5" x14ac:dyDescent="0.3">
      <c r="A29">
        <v>1988</v>
      </c>
      <c r="B29" s="13">
        <v>17.5260765685418</v>
      </c>
      <c r="C29" s="12">
        <v>3.1863614661542998</v>
      </c>
      <c r="D29" s="13">
        <v>3.5274998593788802</v>
      </c>
      <c r="E29" s="13">
        <v>6.13317335216676</v>
      </c>
    </row>
    <row r="30" spans="1:5" x14ac:dyDescent="0.3">
      <c r="A30">
        <v>1989</v>
      </c>
      <c r="B30" s="13">
        <v>18.7365456340886</v>
      </c>
      <c r="C30" s="12">
        <v>4.7746008780792399</v>
      </c>
      <c r="D30" s="13">
        <v>3.9207594808952302</v>
      </c>
      <c r="E30" s="13">
        <v>7.9358621675328997</v>
      </c>
    </row>
    <row r="31" spans="1:5" x14ac:dyDescent="0.3">
      <c r="A31">
        <v>1990</v>
      </c>
      <c r="B31" s="13">
        <v>25.666049673663998</v>
      </c>
      <c r="C31" s="12">
        <v>3.2738466680689098</v>
      </c>
      <c r="D31" s="13">
        <v>3.7433290993795798</v>
      </c>
      <c r="E31" s="13">
        <v>7.8862180864845497</v>
      </c>
    </row>
    <row r="32" spans="1:5" x14ac:dyDescent="0.3">
      <c r="A32">
        <v>1991</v>
      </c>
      <c r="B32" s="13">
        <v>35.715441236570001</v>
      </c>
      <c r="C32" s="12">
        <v>5.4115728261390403</v>
      </c>
      <c r="D32" s="13">
        <v>3.3818113361102999</v>
      </c>
      <c r="E32" s="13">
        <v>6.4190864309833398</v>
      </c>
    </row>
    <row r="33" spans="1:5" x14ac:dyDescent="0.3">
      <c r="A33">
        <v>1992</v>
      </c>
      <c r="B33" s="13">
        <v>21.509179649469601</v>
      </c>
      <c r="C33" s="12">
        <v>5.6758535298777204</v>
      </c>
      <c r="D33" s="13">
        <v>2.2788543459214701</v>
      </c>
      <c r="E33" s="13">
        <v>3.3209792698054801</v>
      </c>
    </row>
    <row r="34" spans="1:5" x14ac:dyDescent="0.3">
      <c r="A34">
        <v>1993</v>
      </c>
      <c r="B34" s="13">
        <v>21.2784550856639</v>
      </c>
      <c r="C34" s="12">
        <v>4.98944297526866</v>
      </c>
      <c r="D34" s="13">
        <v>2.37032483639894</v>
      </c>
      <c r="E34" s="13">
        <v>2.7330442819207401</v>
      </c>
    </row>
    <row r="35" spans="1:5" x14ac:dyDescent="0.3">
      <c r="A35">
        <v>1994</v>
      </c>
      <c r="B35" s="13">
        <v>19.4910605451918</v>
      </c>
      <c r="C35" s="12">
        <v>3.7207929493118899</v>
      </c>
      <c r="D35" s="13">
        <v>2.13519841812374</v>
      </c>
      <c r="E35" s="13">
        <v>1.3936236157555</v>
      </c>
    </row>
    <row r="36" spans="1:5" x14ac:dyDescent="0.3">
      <c r="A36">
        <v>1995</v>
      </c>
      <c r="B36" s="13">
        <v>26.7327889444513</v>
      </c>
      <c r="C36" s="12">
        <v>4.9291871613926297</v>
      </c>
      <c r="D36" s="13">
        <v>2.0966884865761402</v>
      </c>
      <c r="E36" s="13">
        <v>11.489003169982</v>
      </c>
    </row>
    <row r="37" spans="1:5" x14ac:dyDescent="0.3">
      <c r="A37">
        <v>1996</v>
      </c>
      <c r="B37" s="13">
        <v>21.930280736456002</v>
      </c>
      <c r="C37" s="12">
        <v>3.08709485738322</v>
      </c>
      <c r="D37" s="13">
        <v>1.8307645593345501</v>
      </c>
      <c r="E37" s="13">
        <v>4.1373055761813902</v>
      </c>
    </row>
    <row r="38" spans="1:5" x14ac:dyDescent="0.3">
      <c r="A38">
        <v>1997</v>
      </c>
      <c r="B38" s="13">
        <v>20.2607985778717</v>
      </c>
      <c r="C38" s="12">
        <v>2.65571731556199</v>
      </c>
      <c r="D38" s="13">
        <v>1.7244479535614801</v>
      </c>
      <c r="E38" s="13">
        <v>-0.14683124857698701</v>
      </c>
    </row>
    <row r="39" spans="1:5" x14ac:dyDescent="0.3">
      <c r="A39">
        <v>1998</v>
      </c>
      <c r="B39" s="13">
        <v>13.7672389258277</v>
      </c>
      <c r="C39" s="12">
        <v>2.8693873102629399</v>
      </c>
      <c r="D39" s="13">
        <v>1.12386562495534</v>
      </c>
      <c r="E39" s="13">
        <v>1.2836573899996</v>
      </c>
    </row>
    <row r="40" spans="1:5" x14ac:dyDescent="0.3">
      <c r="A40">
        <v>1999</v>
      </c>
      <c r="B40" s="13">
        <v>8.1202643205415708</v>
      </c>
      <c r="C40" s="12">
        <v>1.88963572921737</v>
      </c>
      <c r="D40" s="13">
        <v>1.41509811709537</v>
      </c>
      <c r="E40" s="13">
        <v>1.38086312770589</v>
      </c>
    </row>
    <row r="41" spans="1:5" x14ac:dyDescent="0.3">
      <c r="A41">
        <v>2000</v>
      </c>
      <c r="B41" s="13">
        <v>9.5834809163727499</v>
      </c>
      <c r="C41" s="12">
        <v>3.00678969554613</v>
      </c>
      <c r="D41" s="13">
        <v>2.2651951766986098</v>
      </c>
      <c r="E41" s="13">
        <v>1.12168277632433</v>
      </c>
    </row>
    <row r="42" spans="1:5" x14ac:dyDescent="0.3">
      <c r="A42">
        <v>2001</v>
      </c>
      <c r="B42" s="13">
        <v>11.0465639891595</v>
      </c>
      <c r="C42" s="12">
        <v>3.5654905179102698</v>
      </c>
      <c r="D42" s="13">
        <v>2.2516899159740298</v>
      </c>
      <c r="E42" s="13">
        <v>1.5112472436040501</v>
      </c>
    </row>
    <row r="43" spans="1:5" x14ac:dyDescent="0.3">
      <c r="A43">
        <v>2002</v>
      </c>
      <c r="B43" s="13">
        <v>8.0915058309524408</v>
      </c>
      <c r="C43" s="12">
        <v>3.10632960896287</v>
      </c>
      <c r="D43" s="13">
        <v>1.55399465961345</v>
      </c>
      <c r="E43" s="13">
        <v>2.1190512396099299</v>
      </c>
    </row>
    <row r="44" spans="1:5" x14ac:dyDescent="0.3">
      <c r="A44">
        <v>2003</v>
      </c>
      <c r="B44" s="13">
        <v>5.4334461064052801</v>
      </c>
      <c r="C44" s="12">
        <v>3.29720896814655</v>
      </c>
      <c r="D44" s="13">
        <v>1.9743147047601</v>
      </c>
      <c r="E44" s="13">
        <v>2.3870446469097701</v>
      </c>
    </row>
    <row r="45" spans="1:5" x14ac:dyDescent="0.3">
      <c r="A45">
        <v>2004</v>
      </c>
      <c r="B45" s="13">
        <v>5.0910707251638598</v>
      </c>
      <c r="C45" s="12">
        <v>2.6694946269313999</v>
      </c>
      <c r="D45" s="13">
        <v>2.6890876032200501</v>
      </c>
      <c r="E45" s="13">
        <v>2.58863879949745</v>
      </c>
    </row>
    <row r="46" spans="1:5" x14ac:dyDescent="0.3">
      <c r="A46">
        <v>2005</v>
      </c>
      <c r="B46" s="13">
        <v>2.6270309465173498</v>
      </c>
      <c r="C46" s="12">
        <v>2.30808610474062</v>
      </c>
      <c r="D46" s="13">
        <v>3.1354545567465499</v>
      </c>
      <c r="E46" s="13">
        <v>2.9415219773418499</v>
      </c>
    </row>
    <row r="47" spans="1:5" x14ac:dyDescent="0.3">
      <c r="A47">
        <v>2006</v>
      </c>
      <c r="B47" s="13">
        <v>3.6566864397030501</v>
      </c>
      <c r="C47" s="12">
        <v>2.9908007918258499</v>
      </c>
      <c r="D47" s="13">
        <v>3.0838367335286598</v>
      </c>
      <c r="E47" s="13">
        <v>2.79243712895396</v>
      </c>
    </row>
    <row r="48" spans="1:5" x14ac:dyDescent="0.3">
      <c r="A48">
        <v>2007</v>
      </c>
      <c r="B48" s="13">
        <v>5.4436772166658303</v>
      </c>
      <c r="C48" s="12">
        <v>2.6105715895866499</v>
      </c>
      <c r="D48" s="13">
        <v>2.70925848658695</v>
      </c>
      <c r="E48" s="13">
        <v>2.2479830867112902</v>
      </c>
    </row>
    <row r="49" spans="1:5" x14ac:dyDescent="0.3">
      <c r="A49">
        <v>2008</v>
      </c>
      <c r="B49" s="13">
        <v>4.8061386675782396</v>
      </c>
      <c r="C49" s="12">
        <v>3.01147459583804</v>
      </c>
      <c r="D49" s="13">
        <v>1.92670969899538</v>
      </c>
      <c r="E49" s="13">
        <v>3.4271950462040999</v>
      </c>
    </row>
    <row r="50" spans="1:5" x14ac:dyDescent="0.3">
      <c r="A50">
        <v>2009</v>
      </c>
      <c r="B50" s="13">
        <v>4.1990645514698999</v>
      </c>
      <c r="C50" s="12">
        <v>0.82625445599147396</v>
      </c>
      <c r="D50" s="13">
        <v>0.61678071512577004</v>
      </c>
      <c r="E50" s="13">
        <v>1.89709031895291</v>
      </c>
    </row>
    <row r="51" spans="1:5" x14ac:dyDescent="0.3">
      <c r="A51">
        <v>2010</v>
      </c>
      <c r="B51" s="13">
        <v>2.5325704530004902</v>
      </c>
      <c r="C51" s="12">
        <v>0.83673716406662602</v>
      </c>
      <c r="D51" s="13">
        <v>1.2152866818694601</v>
      </c>
      <c r="E51" s="13">
        <v>1.5890806917959099</v>
      </c>
    </row>
    <row r="52" spans="1:5" x14ac:dyDescent="0.3">
      <c r="A52">
        <v>2011</v>
      </c>
      <c r="B52" s="13">
        <v>1.9287207028937601</v>
      </c>
      <c r="C52" s="12">
        <v>1.64455786724509</v>
      </c>
      <c r="D52" s="13">
        <v>2.06310947543149</v>
      </c>
      <c r="E52" s="13">
        <v>2.1959939342514501</v>
      </c>
    </row>
    <row r="53" spans="1:5" x14ac:dyDescent="0.3">
      <c r="A53">
        <v>2012</v>
      </c>
      <c r="B53" s="13">
        <v>2.8927616781615799</v>
      </c>
      <c r="C53" s="12">
        <v>1.6905795312121299</v>
      </c>
      <c r="D53" s="13">
        <v>1.8621649281277</v>
      </c>
      <c r="E53" s="13">
        <v>1.5427431589946501</v>
      </c>
    </row>
    <row r="54" spans="1:5" x14ac:dyDescent="0.3">
      <c r="A54">
        <v>2013</v>
      </c>
      <c r="B54" s="13">
        <v>2.8205318902618601</v>
      </c>
      <c r="C54" s="12">
        <v>1.2421706384059401</v>
      </c>
      <c r="D54" s="13">
        <v>1.7018803606723301</v>
      </c>
      <c r="E54" s="13">
        <v>2.1094410228855298</v>
      </c>
    </row>
    <row r="55" spans="1:5" x14ac:dyDescent="0.3">
      <c r="A55">
        <v>2014</v>
      </c>
      <c r="B55" s="13">
        <v>3.6927260947231999</v>
      </c>
      <c r="C55" s="12">
        <v>0.67800488370044598</v>
      </c>
      <c r="D55" s="13">
        <v>1.7416180525884499</v>
      </c>
      <c r="E55" s="13">
        <v>1.3189025388858699</v>
      </c>
    </row>
    <row r="56" spans="1:5" x14ac:dyDescent="0.3">
      <c r="A56">
        <v>2015</v>
      </c>
      <c r="B56" s="13">
        <v>2.7757419080134</v>
      </c>
      <c r="C56" s="12">
        <v>1.00513571955375</v>
      </c>
      <c r="D56" s="13">
        <v>0.92804279475772899</v>
      </c>
      <c r="E56" s="13">
        <v>0.658400581149991</v>
      </c>
    </row>
    <row r="57" spans="1:5" x14ac:dyDescent="0.3">
      <c r="A57">
        <v>2016</v>
      </c>
      <c r="B57" s="13">
        <v>1.3204719948326</v>
      </c>
      <c r="C57" s="12">
        <v>0.58673723563351399</v>
      </c>
      <c r="D57" s="13">
        <v>0.95032247921247404</v>
      </c>
      <c r="E57" s="13">
        <v>1.9641513366274701</v>
      </c>
    </row>
    <row r="58" spans="1:5" x14ac:dyDescent="0.3">
      <c r="A58">
        <v>2017</v>
      </c>
      <c r="B58" s="13">
        <v>4.0297050514442203</v>
      </c>
      <c r="C58" s="12">
        <v>1.36347794376776</v>
      </c>
      <c r="D58" s="13">
        <v>1.7908032848922799</v>
      </c>
      <c r="E58" s="13">
        <v>1.85511700587182</v>
      </c>
    </row>
    <row r="59" spans="1:5" x14ac:dyDescent="0.3">
      <c r="A59">
        <v>2018</v>
      </c>
      <c r="B59" s="13">
        <v>4.8474253919460004</v>
      </c>
      <c r="C59" s="12">
        <v>1.8588533464483099</v>
      </c>
      <c r="D59" s="13">
        <v>2.2908902769427599</v>
      </c>
      <c r="E59" s="13">
        <v>1.9206470868538199</v>
      </c>
    </row>
    <row r="60" spans="1:5" x14ac:dyDescent="0.3">
      <c r="A60">
        <v>2019</v>
      </c>
      <c r="B60" s="13">
        <v>4.7850251807938902</v>
      </c>
      <c r="C60" s="12">
        <v>1.9213112885002901</v>
      </c>
      <c r="D60" s="13">
        <v>1.65046566913496</v>
      </c>
      <c r="E60" s="13">
        <v>2.1329514152085101</v>
      </c>
    </row>
    <row r="61" spans="1:5" x14ac:dyDescent="0.3">
      <c r="A61">
        <v>2020</v>
      </c>
      <c r="B61" s="13">
        <v>6.3894766056772303</v>
      </c>
      <c r="C61" s="12">
        <v>1.69673105025914</v>
      </c>
      <c r="D61" s="13">
        <v>1.3288327382145899</v>
      </c>
      <c r="E61" s="13">
        <v>4.9698205254925103</v>
      </c>
    </row>
    <row r="62" spans="1:5" x14ac:dyDescent="0.3">
      <c r="A62">
        <v>2021</v>
      </c>
      <c r="B62" s="13">
        <v>6.4392481051508703</v>
      </c>
      <c r="C62" s="12">
        <v>2.4953623765485098</v>
      </c>
      <c r="D62" s="13">
        <v>4.5659855026197098</v>
      </c>
      <c r="E62" s="13">
        <v>6.6556622865007894E-2</v>
      </c>
    </row>
    <row r="63" spans="1:5" x14ac:dyDescent="0.3">
      <c r="A63">
        <v>2022</v>
      </c>
      <c r="B63" s="13">
        <v>14.231341158132199</v>
      </c>
      <c r="C63" s="12">
        <v>6.3256995352732099</v>
      </c>
      <c r="D63" s="13">
        <v>7.1294808542104402</v>
      </c>
      <c r="E63" s="13">
        <v>5.4439047978160202</v>
      </c>
    </row>
    <row r="64" spans="1:5" x14ac:dyDescent="0.3">
      <c r="A64">
        <v>2023</v>
      </c>
      <c r="B64" s="13">
        <v>14.749005135155601</v>
      </c>
      <c r="C64" s="12">
        <v>6.1890982846439</v>
      </c>
      <c r="D64" s="13">
        <v>3.5983913537805301</v>
      </c>
      <c r="E64" s="13">
        <v>7.2982547958699397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43E34-38F4-46AF-A94D-9C676B9D79B7}">
  <dimension ref="A1:T47"/>
  <sheetViews>
    <sheetView workbookViewId="0">
      <selection activeCell="C40" sqref="C40"/>
    </sheetView>
  </sheetViews>
  <sheetFormatPr defaultRowHeight="14.4" x14ac:dyDescent="0.3"/>
  <cols>
    <col min="5" max="5" width="25.5546875" customWidth="1"/>
    <col min="6" max="6" width="27.44140625" customWidth="1"/>
    <col min="7" max="7" width="32.44140625" customWidth="1"/>
    <col min="8" max="8" width="44.5546875" customWidth="1"/>
    <col min="9" max="9" width="25.44140625" customWidth="1"/>
    <col min="10" max="10" width="23.6640625" customWidth="1"/>
    <col min="11" max="11" width="28.6640625" customWidth="1"/>
  </cols>
  <sheetData>
    <row r="1" spans="1:20" x14ac:dyDescent="0.3">
      <c r="B1" t="s">
        <v>38</v>
      </c>
      <c r="C1" t="s">
        <v>16770</v>
      </c>
      <c r="D1" t="s">
        <v>16998</v>
      </c>
      <c r="E1" t="s">
        <v>17000</v>
      </c>
      <c r="F1" t="s">
        <v>16999</v>
      </c>
      <c r="G1" t="s">
        <v>17001</v>
      </c>
      <c r="H1" t="s">
        <v>17002</v>
      </c>
      <c r="I1" t="s">
        <v>17003</v>
      </c>
      <c r="J1" t="s">
        <v>17004</v>
      </c>
      <c r="K1" t="s">
        <v>17005</v>
      </c>
    </row>
    <row r="2" spans="1:20" x14ac:dyDescent="0.3">
      <c r="A2">
        <v>1991</v>
      </c>
      <c r="B2">
        <f>' Lending rate'!B5-Inflation!B31</f>
        <v>9.4865669646538038</v>
      </c>
      <c r="C2">
        <f>' Lending rate'!C5-Inflation!C31</f>
        <v>11.392569998597791</v>
      </c>
      <c r="D2">
        <f>' Lending rate'!D5-Inflation!D31</f>
        <v>4.72000423395375</v>
      </c>
      <c r="E2">
        <f>' Lending rate'!E5-Inflation!E31</f>
        <v>3.8087652468487496</v>
      </c>
      <c r="F2">
        <f>' Lending rate'!B5-' Lending rate'!C5</f>
        <v>20.486199971651104</v>
      </c>
      <c r="G2">
        <f>' Lending rate'!B5-' Lending rate'!D5</f>
        <v>26.689283304984471</v>
      </c>
      <c r="H2">
        <f>' Lending rate'!B5-' Lending rate'!E5</f>
        <v>23.457633304984505</v>
      </c>
      <c r="I2">
        <f>$B2-C2</f>
        <v>-1.9060030339439873</v>
      </c>
      <c r="J2">
        <f t="shared" ref="J2:K2" si="0">$B2-D2</f>
        <v>4.7665627307000538</v>
      </c>
      <c r="K2">
        <f t="shared" si="0"/>
        <v>5.6778017178050542</v>
      </c>
    </row>
    <row r="3" spans="1:20" x14ac:dyDescent="0.3">
      <c r="A3">
        <v>1992</v>
      </c>
      <c r="B3">
        <f>' Lending rate'!B6-Inflation!B33</f>
        <v>11.540820350530396</v>
      </c>
      <c r="C3">
        <f>' Lending rate'!C6-Inflation!C33</f>
        <v>10.84806313678898</v>
      </c>
      <c r="D3">
        <f>' Lending rate'!D6-Inflation!D33</f>
        <v>3.9728123207451995</v>
      </c>
      <c r="E3">
        <f>' Lending rate'!E6-Inflation!E33</f>
        <v>6.2425040635278499</v>
      </c>
      <c r="F3">
        <f>' Lending rate'!B6-' Lending rate'!C6</f>
        <v>16.526083333333297</v>
      </c>
      <c r="G3">
        <f>' Lending rate'!B6-' Lending rate'!D6</f>
        <v>26.798333333333328</v>
      </c>
      <c r="H3">
        <f>' Lending rate'!B6-' Lending rate'!E6</f>
        <v>23.486516666666667</v>
      </c>
      <c r="I3">
        <f t="shared" ref="I3:I19" si="1">$B3-C3</f>
        <v>0.69275721374141597</v>
      </c>
      <c r="J3">
        <f t="shared" ref="J3:J19" si="2">$B3-D3</f>
        <v>7.5680080297851964</v>
      </c>
      <c r="K3">
        <f t="shared" ref="K3:K19" si="3">$B3-E3</f>
        <v>5.298316287002546</v>
      </c>
    </row>
    <row r="4" spans="1:20" x14ac:dyDescent="0.3">
      <c r="A4">
        <v>1993</v>
      </c>
      <c r="B4">
        <f>' Lending rate'!B7-Inflation!B34</f>
        <v>4.1465449143361006</v>
      </c>
      <c r="C4">
        <f>' Lending rate'!C7-Inflation!C34</f>
        <v>9.6383903580646404</v>
      </c>
      <c r="D4">
        <f>' Lending rate'!D7-Inflation!D34</f>
        <v>3.62967516360106</v>
      </c>
      <c r="E4">
        <f>' Lending rate'!E7-Inflation!E34</f>
        <v>3.2805890514125902</v>
      </c>
      <c r="F4">
        <f>' Lending rate'!B7-' Lending rate'!C7</f>
        <v>10.797166666666701</v>
      </c>
      <c r="G4">
        <f>' Lending rate'!B7-' Lending rate'!D7</f>
        <v>19.425000000000001</v>
      </c>
      <c r="H4">
        <f>' Lending rate'!B7-' Lending rate'!E7</f>
        <v>19.41136666666667</v>
      </c>
      <c r="I4">
        <f t="shared" si="1"/>
        <v>-5.4918454437285398</v>
      </c>
      <c r="J4">
        <f t="shared" si="2"/>
        <v>0.5168697507350406</v>
      </c>
      <c r="K4">
        <f t="shared" si="3"/>
        <v>0.86595586292351046</v>
      </c>
    </row>
    <row r="5" spans="1:20" x14ac:dyDescent="0.3">
      <c r="A5">
        <v>1994</v>
      </c>
      <c r="B5">
        <f>' Lending rate'!B8-Inflation!B35</f>
        <v>7.9089394548081984</v>
      </c>
      <c r="C5">
        <f>' Lending rate'!C8-Inflation!C35</f>
        <v>8.2630403840214086</v>
      </c>
      <c r="D5">
        <f>' Lending rate'!D8-Inflation!D35</f>
        <v>5.0031349152095901</v>
      </c>
      <c r="E5">
        <f>' Lending rate'!E8-Inflation!E35</f>
        <v>4.06915971757783</v>
      </c>
      <c r="F5">
        <f>' Lending rate'!B8-' Lending rate'!C8</f>
        <v>15.416166666666699</v>
      </c>
      <c r="G5">
        <f>' Lending rate'!B8-' Lending rate'!D8</f>
        <v>20.26166666666667</v>
      </c>
      <c r="H5">
        <f>' Lending rate'!B8-' Lending rate'!E8</f>
        <v>21.937216666666668</v>
      </c>
      <c r="I5">
        <f t="shared" si="1"/>
        <v>-0.35410092921321024</v>
      </c>
      <c r="J5">
        <f t="shared" si="2"/>
        <v>2.9058045395986083</v>
      </c>
      <c r="K5">
        <f t="shared" si="3"/>
        <v>3.8397797372303684</v>
      </c>
    </row>
    <row r="6" spans="1:20" x14ac:dyDescent="0.3">
      <c r="A6">
        <v>1995</v>
      </c>
      <c r="B6">
        <f>' Lending rate'!B9-Inflation!B36</f>
        <v>5.8755443888819983</v>
      </c>
      <c r="C6">
        <f>' Lending rate'!C9-Inflation!C36</f>
        <v>8.306812838607371</v>
      </c>
      <c r="D6">
        <f>' Lending rate'!D9-Inflation!D36</f>
        <v>6.7324781800905296</v>
      </c>
      <c r="E6">
        <f>' Lending rate'!E9-Inflation!E36</f>
        <v>-4.7953281699820005</v>
      </c>
      <c r="F6">
        <f>' Lending rate'!B9-' Lending rate'!C9</f>
        <v>19.372333333333298</v>
      </c>
      <c r="G6">
        <f>' Lending rate'!B9-' Lending rate'!D9</f>
        <v>23.779166666666629</v>
      </c>
      <c r="H6">
        <f>' Lending rate'!B9-' Lending rate'!E9</f>
        <v>25.9146583333333</v>
      </c>
      <c r="I6">
        <f t="shared" si="1"/>
        <v>-2.4312684497253727</v>
      </c>
      <c r="J6">
        <f t="shared" si="2"/>
        <v>-0.8569337912085313</v>
      </c>
      <c r="K6">
        <f t="shared" si="3"/>
        <v>10.670872558863998</v>
      </c>
    </row>
    <row r="7" spans="1:20" x14ac:dyDescent="0.3">
      <c r="A7">
        <v>1996</v>
      </c>
      <c r="B7">
        <f>' Lending rate'!B10-Inflation!B37</f>
        <v>5.3780525968772999</v>
      </c>
      <c r="C7">
        <f>' Lending rate'!C10-Inflation!C37</f>
        <v>9.7312384759500787</v>
      </c>
      <c r="D7">
        <f>' Lending rate'!D10-Inflation!D37</f>
        <v>6.4400687739987799</v>
      </c>
      <c r="E7">
        <f>' Lending rate'!E10-Inflation!E37</f>
        <v>1.8212277571519397</v>
      </c>
      <c r="F7">
        <f>' Lending rate'!B10-' Lending rate'!C10</f>
        <v>14.490000000000002</v>
      </c>
      <c r="G7">
        <f>' Lending rate'!B10-' Lending rate'!D10</f>
        <v>19.037499999999973</v>
      </c>
      <c r="H7">
        <f>' Lending rate'!B10-' Lending rate'!E10</f>
        <v>21.349799999999973</v>
      </c>
      <c r="I7">
        <f t="shared" si="1"/>
        <v>-4.3531858790727789</v>
      </c>
      <c r="J7">
        <f t="shared" si="2"/>
        <v>-1.06201617712148</v>
      </c>
      <c r="K7">
        <f t="shared" si="3"/>
        <v>3.5568248397253601</v>
      </c>
      <c r="T7" t="s">
        <v>16771</v>
      </c>
    </row>
    <row r="8" spans="1:20" x14ac:dyDescent="0.3">
      <c r="A8">
        <v>1997</v>
      </c>
      <c r="B8">
        <f>' Lending rate'!B11-Inflation!B38</f>
        <v>1.5058680887950011</v>
      </c>
      <c r="C8">
        <f>' Lending rate'!C11-Inflation!C38</f>
        <v>7.85376601777131</v>
      </c>
      <c r="D8">
        <f>' Lending rate'!D11-Inflation!D38</f>
        <v>6.7172187131051899</v>
      </c>
      <c r="E8">
        <f>' Lending rate'!E11-Inflation!E38</f>
        <v>6.7102312485769868</v>
      </c>
      <c r="F8">
        <f>' Lending rate'!B11-' Lending rate'!C11</f>
        <v>11.257183333333401</v>
      </c>
      <c r="G8">
        <f>' Lending rate'!B11-' Lending rate'!D11</f>
        <v>13.325000000000031</v>
      </c>
      <c r="H8">
        <f>' Lending rate'!B11-' Lending rate'!E11</f>
        <v>15.203266666666702</v>
      </c>
      <c r="I8">
        <f t="shared" si="1"/>
        <v>-6.3478979289763089</v>
      </c>
      <c r="J8">
        <f t="shared" si="2"/>
        <v>-5.2113506243101888</v>
      </c>
      <c r="K8">
        <f t="shared" si="3"/>
        <v>-5.2043631597819857</v>
      </c>
    </row>
    <row r="9" spans="1:20" x14ac:dyDescent="0.3">
      <c r="A9">
        <v>1998</v>
      </c>
      <c r="B9">
        <f>' Lending rate'!B12-Inflation!B39</f>
        <v>5.5077610741722989</v>
      </c>
      <c r="C9">
        <f>' Lending rate'!C12-Inflation!C39</f>
        <v>5.7737210230703901</v>
      </c>
      <c r="D9">
        <f>' Lending rate'!D12-Inflation!D39</f>
        <v>7.2303010417113294</v>
      </c>
      <c r="E9">
        <f>' Lending rate'!E12-Inflation!E39</f>
        <v>5.9483926100004005</v>
      </c>
      <c r="F9">
        <f>' Lending rate'!B12-' Lending rate'!C12</f>
        <v>10.631891666666668</v>
      </c>
      <c r="G9">
        <f>' Lending rate'!B12-' Lending rate'!D12</f>
        <v>10.920833333333329</v>
      </c>
      <c r="H9">
        <f>' Lending rate'!B12-' Lending rate'!E12</f>
        <v>12.042949999999998</v>
      </c>
      <c r="I9">
        <f t="shared" si="1"/>
        <v>-0.26595994889809127</v>
      </c>
      <c r="J9">
        <f t="shared" si="2"/>
        <v>-1.7225399675390305</v>
      </c>
      <c r="K9">
        <f t="shared" si="3"/>
        <v>-0.44063153582810166</v>
      </c>
    </row>
    <row r="10" spans="1:20" x14ac:dyDescent="0.3">
      <c r="A10">
        <v>1999</v>
      </c>
      <c r="B10">
        <f>' Lending rate'!B13-Inflation!B40</f>
        <v>8.2214023461251298</v>
      </c>
      <c r="C10">
        <f>' Lending rate'!C13-Inflation!C40</f>
        <v>4.4558892707826301</v>
      </c>
      <c r="D10">
        <f>' Lending rate'!D13-Inflation!D40</f>
        <v>6.5790685495712999</v>
      </c>
      <c r="E10">
        <f>' Lending rate'!E13-Inflation!E40</f>
        <v>3.9635452056274403</v>
      </c>
      <c r="F10">
        <f>' Lending rate'!B13-' Lending rate'!C13</f>
        <v>9.9961416666667002</v>
      </c>
      <c r="G10">
        <f>' Lending rate'!B13-' Lending rate'!D13</f>
        <v>8.3475000000000303</v>
      </c>
      <c r="H10">
        <f>' Lending rate'!B13-' Lending rate'!E13</f>
        <v>10.99725833333337</v>
      </c>
      <c r="I10">
        <f t="shared" si="1"/>
        <v>3.7655130753424997</v>
      </c>
      <c r="J10">
        <f t="shared" si="2"/>
        <v>1.6423337965538298</v>
      </c>
      <c r="K10">
        <f t="shared" si="3"/>
        <v>4.2578571404976895</v>
      </c>
    </row>
    <row r="11" spans="1:20" x14ac:dyDescent="0.3">
      <c r="A11">
        <v>2000</v>
      </c>
      <c r="B11">
        <f>' Lending rate'!B14-Inflation!B41</f>
        <v>3.0165190836272497</v>
      </c>
      <c r="C11">
        <f>' Lending rate'!C14-Inflation!C41</f>
        <v>4.0159519711205398</v>
      </c>
      <c r="D11">
        <f>' Lending rate'!D14-Inflation!D41</f>
        <v>6.9681381566347209</v>
      </c>
      <c r="E11">
        <f>' Lending rate'!E14-Inflation!E41</f>
        <v>4.8422088903423397</v>
      </c>
      <c r="F11">
        <f>' Lending rate'!B14-' Lending rate'!C14</f>
        <v>5.5772583333333294</v>
      </c>
      <c r="G11">
        <f>' Lending rate'!B14-' Lending rate'!D14</f>
        <v>3.3666666666666689</v>
      </c>
      <c r="H11">
        <f>' Lending rate'!B14-' Lending rate'!E14</f>
        <v>6.6361083333333299</v>
      </c>
      <c r="I11">
        <f t="shared" si="1"/>
        <v>-0.99943288749329007</v>
      </c>
      <c r="J11">
        <f t="shared" si="2"/>
        <v>-3.9516190730074712</v>
      </c>
      <c r="K11">
        <f t="shared" si="3"/>
        <v>-1.82568980671509</v>
      </c>
    </row>
    <row r="12" spans="1:20" x14ac:dyDescent="0.3">
      <c r="A12">
        <v>2001</v>
      </c>
      <c r="B12">
        <f>' Lending rate'!B15-Inflation!B42</f>
        <v>1.0701026775071991</v>
      </c>
      <c r="C12">
        <f>' Lending rate'!C15-Inflation!C42</f>
        <v>3.7222594820897301</v>
      </c>
      <c r="D12">
        <f>' Lending rate'!D15-Inflation!D42</f>
        <v>4.6699767506926406</v>
      </c>
      <c r="E12">
        <f>' Lending rate'!E15-Inflation!E42</f>
        <v>3.6111277563959501</v>
      </c>
      <c r="F12">
        <f>' Lending rate'!B15-' Lending rate'!C15</f>
        <v>4.8289166666666992</v>
      </c>
      <c r="G12">
        <f>' Lending rate'!B15-' Lending rate'!D15</f>
        <v>5.1950000000000287</v>
      </c>
      <c r="H12">
        <f>' Lending rate'!B15-' Lending rate'!E15</f>
        <v>6.9942916666666992</v>
      </c>
      <c r="I12">
        <f t="shared" si="1"/>
        <v>-2.652156804582531</v>
      </c>
      <c r="J12">
        <f t="shared" si="2"/>
        <v>-3.5998740731854415</v>
      </c>
      <c r="K12">
        <f t="shared" si="3"/>
        <v>-2.541025078888751</v>
      </c>
    </row>
    <row r="13" spans="1:20" x14ac:dyDescent="0.3">
      <c r="A13">
        <v>2002</v>
      </c>
      <c r="B13">
        <f>' Lending rate'!B16-Inflation!B43</f>
        <v>2.07737067257926</v>
      </c>
      <c r="C13">
        <f>' Lending rate'!C16-Inflation!C43</f>
        <v>3.4301787243704602</v>
      </c>
      <c r="D13">
        <f>' Lending rate'!D16-Inflation!D43</f>
        <v>3.1210053403865499</v>
      </c>
      <c r="E13">
        <f>' Lending rate'!E16-Inflation!E43</f>
        <v>1.8809487603900701</v>
      </c>
      <c r="F13">
        <f>' Lending rate'!B16-' Lending rate'!C16</f>
        <v>3.6323681701983705</v>
      </c>
      <c r="G13">
        <f>' Lending rate'!B16-' Lending rate'!D16</f>
        <v>5.493876503531701</v>
      </c>
      <c r="H13">
        <f>' Lending rate'!B16-' Lending rate'!E16</f>
        <v>6.1688765035317008</v>
      </c>
      <c r="I13">
        <f t="shared" si="1"/>
        <v>-1.3528080517912002</v>
      </c>
      <c r="J13">
        <f t="shared" si="2"/>
        <v>-1.0436346678072899</v>
      </c>
      <c r="K13">
        <f t="shared" si="3"/>
        <v>0.19642191218918992</v>
      </c>
    </row>
    <row r="14" spans="1:20" x14ac:dyDescent="0.3">
      <c r="A14">
        <v>2003</v>
      </c>
      <c r="B14">
        <f>' Lending rate'!B17-Inflation!B44</f>
        <v>4.1699778090571806</v>
      </c>
      <c r="C14">
        <f>' Lending rate'!C17-Inflation!C44</f>
        <v>2.5331410318534502</v>
      </c>
      <c r="D14">
        <f>' Lending rate'!D17-Inflation!D44</f>
        <v>2.1481852952398999</v>
      </c>
      <c r="E14">
        <f>' Lending rate'!E17-Inflation!E44</f>
        <v>1.3087470197569</v>
      </c>
      <c r="F14">
        <f>' Lending rate'!B17-' Lending rate'!C17</f>
        <v>3.7730739154624606</v>
      </c>
      <c r="G14">
        <f>' Lending rate'!B17-' Lending rate'!D17</f>
        <v>5.4809239154624612</v>
      </c>
      <c r="H14">
        <f>' Lending rate'!B17-' Lending rate'!E17</f>
        <v>5.9076322487957906</v>
      </c>
      <c r="I14">
        <f t="shared" si="1"/>
        <v>1.6368367772037304</v>
      </c>
      <c r="J14">
        <f t="shared" si="2"/>
        <v>2.0217925138172808</v>
      </c>
      <c r="K14">
        <f t="shared" si="3"/>
        <v>2.8612307893002806</v>
      </c>
    </row>
    <row r="15" spans="1:20" x14ac:dyDescent="0.3">
      <c r="A15">
        <v>2004</v>
      </c>
      <c r="B15">
        <f>' Lending rate'!B18-Inflation!B45</f>
        <v>7.7334552906152396</v>
      </c>
      <c r="C15">
        <f>' Lending rate'!C18-Inflation!C45</f>
        <v>2.8366720397352698</v>
      </c>
      <c r="D15">
        <f>' Lending rate'!D18-Inflation!D45</f>
        <v>1.6509123967799497</v>
      </c>
      <c r="E15">
        <f>' Lending rate'!E18-Inflation!E45</f>
        <v>1.7911778671692202</v>
      </c>
      <c r="F15">
        <f>' Lending rate'!B18-' Lending rate'!C18</f>
        <v>7.3183593491124297</v>
      </c>
      <c r="G15">
        <f>' Lending rate'!B18-' Lending rate'!D18</f>
        <v>8.4845260157790996</v>
      </c>
      <c r="H15">
        <f>' Lending rate'!B18-' Lending rate'!E18</f>
        <v>8.4447093491124292</v>
      </c>
      <c r="I15">
        <f t="shared" si="1"/>
        <v>4.8967832508799702</v>
      </c>
      <c r="J15">
        <f t="shared" si="2"/>
        <v>6.0825428938352903</v>
      </c>
      <c r="K15">
        <f t="shared" si="3"/>
        <v>5.9422774234460194</v>
      </c>
    </row>
    <row r="16" spans="1:20" x14ac:dyDescent="0.3">
      <c r="A16">
        <v>2005</v>
      </c>
      <c r="B16">
        <f>' Lending rate'!B19-Inflation!B46</f>
        <v>5.9139143804625807</v>
      </c>
      <c r="C16">
        <f>' Lending rate'!C19-Inflation!C46</f>
        <v>3.0058488952593798</v>
      </c>
      <c r="D16">
        <f>' Lending rate'!D19-Inflation!D46</f>
        <v>3.0537121099201197</v>
      </c>
      <c r="E16">
        <f>' Lending rate'!E19-Inflation!E46</f>
        <v>1.7071530226581499</v>
      </c>
      <c r="F16">
        <f>' Lending rate'!B19-' Lending rate'!C19</f>
        <v>3.2270103269799302</v>
      </c>
      <c r="G16">
        <f>' Lending rate'!B19-' Lending rate'!D19</f>
        <v>2.3517786603132604</v>
      </c>
      <c r="H16">
        <f>' Lending rate'!B19-' Lending rate'!E19</f>
        <v>3.8922703269799301</v>
      </c>
      <c r="I16">
        <f t="shared" si="1"/>
        <v>2.9080654852032009</v>
      </c>
      <c r="J16">
        <f t="shared" si="2"/>
        <v>2.860202270542461</v>
      </c>
      <c r="K16">
        <f t="shared" si="3"/>
        <v>4.2067613578044307</v>
      </c>
    </row>
    <row r="17" spans="1:11" x14ac:dyDescent="0.3">
      <c r="A17">
        <v>2006</v>
      </c>
      <c r="B17">
        <f>' Lending rate'!B20-Inflation!B47</f>
        <v>4.4227285482901912</v>
      </c>
      <c r="C17">
        <f>' Lending rate'!C20-Inflation!C47</f>
        <v>2.63097837484082</v>
      </c>
      <c r="D17">
        <f>' Lending rate'!D20-Inflation!D47</f>
        <v>4.8736632664713397</v>
      </c>
      <c r="E17">
        <f>' Lending rate'!E20-Inflation!E47</f>
        <v>1.8458212043793703</v>
      </c>
      <c r="F17">
        <f>' Lending rate'!B20-' Lending rate'!C20</f>
        <v>2.457635821326571</v>
      </c>
      <c r="G17">
        <f>' Lending rate'!B20-' Lending rate'!D20</f>
        <v>0.1219149879932413</v>
      </c>
      <c r="H17">
        <f>' Lending rate'!B20-' Lending rate'!E20</f>
        <v>3.4411566546599106</v>
      </c>
      <c r="I17">
        <f t="shared" si="1"/>
        <v>1.7917501734493713</v>
      </c>
      <c r="J17">
        <f t="shared" si="2"/>
        <v>-0.4509347181811485</v>
      </c>
      <c r="K17">
        <f t="shared" si="3"/>
        <v>2.576907343910821</v>
      </c>
    </row>
    <row r="18" spans="1:11" x14ac:dyDescent="0.3">
      <c r="A18">
        <v>2007</v>
      </c>
      <c r="B18">
        <f>' Lending rate'!B21-Inflation!B48</f>
        <v>3.6422702790650794</v>
      </c>
      <c r="C18">
        <f>' Lending rate'!C21-Inflation!C48</f>
        <v>3.7241284104133499</v>
      </c>
      <c r="D18">
        <f>' Lending rate'!D21-Inflation!D48</f>
        <v>5.3407415134130503</v>
      </c>
      <c r="E18">
        <f>' Lending rate'!E21-Inflation!E48</f>
        <v>3.26072524662204</v>
      </c>
      <c r="F18">
        <f>' Lending rate'!B21-' Lending rate'!C21</f>
        <v>2.7512474957309099</v>
      </c>
      <c r="G18">
        <f>' Lending rate'!B21-' Lending rate'!D21</f>
        <v>1.0359474957309089</v>
      </c>
      <c r="H18">
        <f>' Lending rate'!B21-' Lending rate'!E21</f>
        <v>3.5772391623975794</v>
      </c>
      <c r="I18">
        <f t="shared" si="1"/>
        <v>-8.1858131348270469E-2</v>
      </c>
      <c r="J18">
        <f t="shared" si="2"/>
        <v>-1.6984712343479709</v>
      </c>
      <c r="K18">
        <f t="shared" si="3"/>
        <v>0.38154503244303939</v>
      </c>
    </row>
    <row r="19" spans="1:11" x14ac:dyDescent="0.3">
      <c r="A19">
        <v>2008</v>
      </c>
      <c r="B19">
        <f>' Lending rate'!B22-Inflation!B49</f>
        <v>5.3755290708572607</v>
      </c>
      <c r="C19">
        <f>' Lending rate'!C22-Inflation!C49</f>
        <v>3.8258354041619604</v>
      </c>
      <c r="D19">
        <f>' Lending rate'!D22-Inflation!D49</f>
        <v>3.1607903010046203</v>
      </c>
      <c r="E19">
        <f>' Lending rate'!E22-Inflation!E49</f>
        <v>1.2481132871292302</v>
      </c>
      <c r="F19">
        <f>' Lending rate'!B22-' Lending rate'!C22</f>
        <v>3.3443577384354999</v>
      </c>
      <c r="G19">
        <f>' Lending rate'!B22-' Lending rate'!D22</f>
        <v>5.0941677384355</v>
      </c>
      <c r="H19">
        <f>' Lending rate'!B22-' Lending rate'!E22</f>
        <v>5.5063594051021703</v>
      </c>
      <c r="I19">
        <f t="shared" si="1"/>
        <v>1.5496936666953003</v>
      </c>
      <c r="J19">
        <f t="shared" si="2"/>
        <v>2.2147387698526404</v>
      </c>
      <c r="K19">
        <f t="shared" si="3"/>
        <v>4.127415783728031</v>
      </c>
    </row>
    <row r="29" spans="1:11" x14ac:dyDescent="0.3">
      <c r="E29" t="s">
        <v>17006</v>
      </c>
      <c r="F29">
        <v>1991</v>
      </c>
      <c r="G29">
        <v>2001</v>
      </c>
      <c r="H29">
        <v>2008</v>
      </c>
    </row>
    <row r="30" spans="1:11" x14ac:dyDescent="0.3">
      <c r="E30" t="s">
        <v>17007</v>
      </c>
      <c r="F30">
        <v>12.46</v>
      </c>
    </row>
    <row r="31" spans="1:11" x14ac:dyDescent="0.3">
      <c r="E31" t="s">
        <v>17008</v>
      </c>
      <c r="F31">
        <v>3.3966434981869198</v>
      </c>
    </row>
    <row r="33" spans="5:8" x14ac:dyDescent="0.3">
      <c r="E33" t="s">
        <v>38</v>
      </c>
      <c r="F33">
        <v>35.15</v>
      </c>
    </row>
    <row r="37" spans="5:8" x14ac:dyDescent="0.3">
      <c r="E37" t="s">
        <v>17009</v>
      </c>
    </row>
    <row r="38" spans="5:8" x14ac:dyDescent="0.3">
      <c r="G38" s="18" t="s">
        <v>2</v>
      </c>
      <c r="H38" s="18" t="s">
        <v>17010</v>
      </c>
    </row>
    <row r="39" spans="5:8" x14ac:dyDescent="0.3">
      <c r="G39" s="19">
        <v>2002</v>
      </c>
      <c r="H39" s="19">
        <v>7.1</v>
      </c>
    </row>
    <row r="40" spans="5:8" x14ac:dyDescent="0.3">
      <c r="G40" s="19">
        <v>2003</v>
      </c>
      <c r="H40" s="19">
        <v>6.7</v>
      </c>
    </row>
    <row r="41" spans="5:8" x14ac:dyDescent="0.3">
      <c r="G41" s="19">
        <v>2004</v>
      </c>
      <c r="H41" s="19">
        <v>5.7</v>
      </c>
    </row>
    <row r="42" spans="5:8" x14ac:dyDescent="0.3">
      <c r="G42" s="19">
        <v>2005</v>
      </c>
      <c r="H42" s="19">
        <v>5.4</v>
      </c>
    </row>
    <row r="43" spans="5:8" x14ac:dyDescent="0.3">
      <c r="G43" s="19">
        <v>2006</v>
      </c>
      <c r="H43" s="19">
        <v>4.9000000000000004</v>
      </c>
    </row>
    <row r="44" spans="5:8" x14ac:dyDescent="0.3">
      <c r="G44" s="19">
        <v>2007</v>
      </c>
      <c r="H44" s="19">
        <v>4</v>
      </c>
    </row>
    <row r="45" spans="5:8" x14ac:dyDescent="0.3">
      <c r="G45" s="19">
        <v>2008</v>
      </c>
      <c r="H45" s="19">
        <v>3.34</v>
      </c>
    </row>
    <row r="47" spans="5:8" x14ac:dyDescent="0.3">
      <c r="G47" t="s">
        <v>17011</v>
      </c>
      <c r="H47" s="19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2ABBBC-447D-4ECB-834D-AC49CA9221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Partner1992</vt:lpstr>
      <vt:lpstr>Partner2001</vt:lpstr>
      <vt:lpstr>Partner2008</vt:lpstr>
      <vt:lpstr>EUshare</vt:lpstr>
      <vt:lpstr>Import_tariff_EU</vt:lpstr>
      <vt:lpstr>Importshares</vt:lpstr>
      <vt:lpstr>Foregin credit to NFC</vt:lpstr>
      <vt:lpstr>Real exchange rate</vt:lpstr>
      <vt:lpstr>Hungary Macro-facts</vt:lpstr>
      <vt:lpstr>Hungary Imports</vt:lpstr>
      <vt:lpstr>Hungary TFP</vt:lpstr>
      <vt:lpstr>Hungary Consumption</vt:lpstr>
      <vt:lpstr>Hungary Capital</vt:lpstr>
      <vt:lpstr>Lending rate raw</vt:lpstr>
      <vt:lpstr>GDP deflator</vt:lpstr>
      <vt:lpstr> Lending rate</vt:lpstr>
      <vt:lpstr>Inflation</vt:lpstr>
      <vt:lpstr>Hungary Real Corporate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László Tétényi</cp:lastModifiedBy>
  <dcterms:modified xsi:type="dcterms:W3CDTF">2026-04-27T16:15:41Z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2026-04-27T10:55:16Z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14584432-630b-479c-a9a0-9e357787bf0b</vt:lpwstr>
  </property>
  <property fmtid="{D5CDD505-2E9C-101B-9397-08002B2CF9AE}" pid="8" name="MSIP_Label_f9d4c66a-7c8a-4c88-a41a-dc132491a08a_ContentBits">
    <vt:lpwstr>0</vt:lpwstr>
  </property>
  <property fmtid="{D5CDD505-2E9C-101B-9397-08002B2CF9AE}" pid="9" name="MSIP_Label_f9d4c66a-7c8a-4c88-a41a-dc132491a08a_Tag">
    <vt:lpwstr>10, 0, 1, 1</vt:lpwstr>
  </property>
</Properties>
</file>